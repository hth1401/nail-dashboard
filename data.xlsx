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BILE_VIEW" sheetId="1" r:id="rId4"/>
    <sheet state="visible" name="INPUT" sheetId="2" r:id="rId5"/>
    <sheet state="visible" name="DAILY_VIEW" sheetId="3" r:id="rId6"/>
    <sheet state="visible" name="WEEKLY_SUMMARY" sheetId="4" r:id="rId7"/>
    <sheet state="visible" name="MONTHLY_SUMMARY" sheetId="5" r:id="rId8"/>
    <sheet state="visible" name="CHARTS" sheetId="6" r:id="rId9"/>
    <sheet state="visible" name="GUIDE" sheetId="7" r:id="rId10"/>
    <sheet state="visible" name="SETUP" sheetId="8" r:id="rId11"/>
    <sheet state="visible" name="LISTS" sheetId="9" r:id="rId12"/>
  </sheets>
  <definedNames/>
  <calcPr/>
  <extLst>
    <ext uri="GoogleSheetsCustomDataVersion2">
      <go:sheetsCustomData xmlns:go="http://customooxmlschemas.google.com/" r:id="rId13" roundtripDataChecksum="I2A8E178+gwOKLsOqVGU1/+ooqN//X6D2nLlH65lv+g="/>
    </ext>
  </extLst>
</workbook>
</file>

<file path=xl/sharedStrings.xml><?xml version="1.0" encoding="utf-8"?>
<sst xmlns="http://schemas.openxmlformats.org/spreadsheetml/2006/main" count="966" uniqueCount="96">
  <si>
    <t>MOBILE_VIEW - Xem nhanh trên điện thoại (không nhập dữ liệu)</t>
  </si>
  <si>
    <t>Chọn ngày:</t>
  </si>
  <si>
    <t>Chọn thợ:</t>
  </si>
  <si>
    <t>tony</t>
  </si>
  <si>
    <t>Chọn tuần (WeekStart Mon):</t>
  </si>
  <si>
    <t>Chọn tháng (yyyy-mm):</t>
  </si>
  <si>
    <t>TỔNG NGÀY (theo thợ)</t>
  </si>
  <si>
    <t>TỔNG TUẦN (Selected Tech theo ngày)</t>
  </si>
  <si>
    <t>Tech</t>
  </si>
  <si>
    <t># Khách</t>
  </si>
  <si>
    <t>Service</t>
  </si>
  <si>
    <t>Tech Share</t>
  </si>
  <si>
    <t>Tip</t>
  </si>
  <si>
    <t>Salon Net</t>
  </si>
  <si>
    <t>Date</t>
  </si>
  <si>
    <t>#</t>
  </si>
  <si>
    <t>KEN</t>
  </si>
  <si>
    <t>RYAN</t>
  </si>
  <si>
    <t>CRIS</t>
  </si>
  <si>
    <t>HANNI</t>
  </si>
  <si>
    <t>AMY</t>
  </si>
  <si>
    <t>TONY</t>
  </si>
  <si>
    <t>STEVEN</t>
  </si>
  <si>
    <t>BEN</t>
  </si>
  <si>
    <t>TOTAL</t>
  </si>
  <si>
    <t>CHI TIẾT NGÀY (chỉ thợ đã chọn)</t>
  </si>
  <si>
    <t>TỔNG THÁNG (Selected Tech)</t>
  </si>
  <si>
    <t>Discount %</t>
  </si>
  <si>
    <t>Gift</t>
  </si>
  <si>
    <t>Salon Gross</t>
  </si>
  <si>
    <t>INPUT - 1 khách = 1 dòng. Nhập: Date (dd/mm/yyyy), Tech (dropdown hoặc gõ code RY/HA...), Service, Tip, Discount%, Gift.</t>
  </si>
  <si>
    <t>Salon Share (gross)</t>
  </si>
  <si>
    <t>Gift Card</t>
  </si>
  <si>
    <t>TechNorm (hidden)</t>
  </si>
  <si>
    <t>WeekStart(Mon) (hidden)</t>
  </si>
  <si>
    <t>DateOnly (hidden)</t>
  </si>
  <si>
    <t>MonthKey (hidden)</t>
  </si>
  <si>
    <t>ken</t>
  </si>
  <si>
    <t>DAILY_VIEW - Chọn 1 ngày -&gt; thấy chi tiết từng khách + tổng theo thợ</t>
  </si>
  <si>
    <t>Selected Date:</t>
  </si>
  <si>
    <t>Salon Share</t>
  </si>
  <si>
    <t>WEEKLY_SUMMARY - Chọn WeekStart (Mon) -&gt; tổng theo thợ</t>
  </si>
  <si>
    <t>WeekStart (Mon):</t>
  </si>
  <si>
    <t>Selected Tech:</t>
  </si>
  <si>
    <t>ryan</t>
  </si>
  <si>
    <t>(WeekStart = Thứ 2)</t>
  </si>
  <si>
    <t>CHI TIẾT THEO NGÀY (trong tuần) - theo Selected Tech</t>
  </si>
  <si>
    <t>TOTAL (Tuần)</t>
  </si>
  <si>
    <t>MONTHLY_SUMMARY (Chưa chia) - Tổng Service theo tháng</t>
  </si>
  <si>
    <t>Month (yyyy-mm):</t>
  </si>
  <si>
    <t>2026-02</t>
  </si>
  <si>
    <t>Service (Chưa chia)</t>
  </si>
  <si>
    <t>Tech Share (Đã chia)</t>
  </si>
  <si>
    <t>Salon Gross (Đã chia)</t>
  </si>
  <si>
    <t>Salon Net (sau discount/gift)</t>
  </si>
  <si>
    <t>TOTAL (Tháng)</t>
  </si>
  <si>
    <t>CHARTS - Data theo tháng (Insert &gt; Chart trong Google Sheets)</t>
  </si>
  <si>
    <t>Selected Month:</t>
  </si>
  <si>
    <t>HƯỚNG DẪN (bản Google Sheets)</t>
  </si>
  <si>
    <t>1) Upload file này lên Google Drive -&gt; Open with Google Sheets.</t>
  </si>
  <si>
    <t>2) Vào File &gt; Save as Google Sheets để chuyển sang file Google Sheets thật (không còn lỗi #ERROR do .xlsx).</t>
  </si>
  <si>
    <t>INPUT:</t>
  </si>
  <si>
    <t>- Date nhập dạng 01/03/2026 (dd/mm/yyyy).</t>
  </si>
  <si>
    <t>- Tech: chọn dropdown 'RY - RYAN' hoặc gõ code RY/HA/ST... hoặc gõ tên.</t>
  </si>
  <si>
    <t>- Service/Tip nhập số. Discount% nhập 20% (hoặc 0.2). Gift nhập số tiền.</t>
  </si>
  <si>
    <t>DAILY_VIEW: đổi Selected Date để xem chi tiết + tổng theo thợ.</t>
  </si>
  <si>
    <t>WEEKLY_SUMMARY: nhập WeekStart (Thứ 2) để xem tổng theo tuần.</t>
  </si>
  <si>
    <t>MONTHLY_SUMMARY: nhập Month (yyyy-mm) để xem tổng Service (chưa chia) theo thợ.</t>
  </si>
  <si>
    <t>CHARTS: bôi đen A5:B13 -&gt; Insert &gt; Chart -&gt; Column chart.</t>
  </si>
  <si>
    <t>SETUP - Danh sách thợ, code gõ nhanh &amp; % ăn chia (chỉ chỉnh ở đây)</t>
  </si>
  <si>
    <t>Tech (NAME)</t>
  </si>
  <si>
    <t>Code (type)</t>
  </si>
  <si>
    <t>Tech %</t>
  </si>
  <si>
    <t>Salon %</t>
  </si>
  <si>
    <t>Pick (CODE - NAME)</t>
  </si>
  <si>
    <t>K</t>
  </si>
  <si>
    <t>K - KEN</t>
  </si>
  <si>
    <t>RY</t>
  </si>
  <si>
    <t>RY - RYAN</t>
  </si>
  <si>
    <t>CR</t>
  </si>
  <si>
    <t>CR - CRIS</t>
  </si>
  <si>
    <t>HA</t>
  </si>
  <si>
    <t>HA - HANNI</t>
  </si>
  <si>
    <t>AM</t>
  </si>
  <si>
    <t>AM - AMY</t>
  </si>
  <si>
    <t>TO</t>
  </si>
  <si>
    <t>TO - TONY</t>
  </si>
  <si>
    <t>ST</t>
  </si>
  <si>
    <t>ST - STEVEN</t>
  </si>
  <si>
    <t>BE</t>
  </si>
  <si>
    <t>BE - BEN</t>
  </si>
  <si>
    <t>Dates</t>
  </si>
  <si>
    <t>WeekStarts (Mon)</t>
  </si>
  <si>
    <t>Months (yyyy-mm)</t>
  </si>
  <si>
    <t>TechList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</si>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</sst>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7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>
      <i/>
      <color rgb="FF666666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164" xfId="0" applyFont="1" applyNumberFormat="1"/>
    <xf borderId="0" fillId="0" fontId="3" numFmtId="164" xfId="0" applyAlignment="1" applyFont="1" applyNumberFormat="1">
      <alignment horizontal="left" shrinkToFit="0" vertical="center" wrapText="1"/>
    </xf>
    <xf borderId="1" fillId="0" fontId="4" numFmtId="165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49" xfId="0" applyAlignment="1" applyBorder="1" applyFont="1" applyNumberFormat="1">
      <alignment horizontal="center" shrinkToFit="0" vertical="center" wrapText="1"/>
    </xf>
    <xf borderId="0" fillId="0" fontId="3" numFmtId="0" xfId="0" applyFont="1"/>
    <xf borderId="1" fillId="2" fontId="5" numFmtId="164" xfId="0" applyAlignment="1" applyBorder="1" applyFill="1" applyFont="1" applyNumberForma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65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Font="1" applyNumberFormat="1"/>
    <xf borderId="0" fillId="0" fontId="4" numFmtId="164" xfId="0" applyAlignment="1" applyFont="1" applyNumberFormat="1">
      <alignment horizontal="left" shrinkToFit="0" vertical="center" wrapText="1"/>
    </xf>
    <xf borderId="0" fillId="0" fontId="2" numFmtId="0" xfId="0" applyFont="1"/>
    <xf borderId="0" fillId="0" fontId="1" numFmtId="0" xfId="0" applyFont="1"/>
    <xf borderId="1" fillId="0" fontId="4" numFmtId="165" xfId="0" applyAlignment="1" applyBorder="1" applyFont="1" applyNumberForma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vertical="bottom"/>
    </xf>
    <xf borderId="1" fillId="0" fontId="4" numFmtId="9" xfId="0" applyAlignment="1" applyBorder="1" applyFont="1" applyNumberFormat="1">
      <alignment horizontal="center" shrinkToFit="0" vertical="center" wrapText="1"/>
    </xf>
    <xf borderId="0" fillId="0" fontId="4" numFmtId="165" xfId="0" applyFont="1" applyNumberFormat="1"/>
    <xf borderId="1" fillId="0" fontId="4" numFmtId="0" xfId="0" applyAlignment="1" applyBorder="1" applyFon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6" numFmtId="0" xfId="0" applyFont="1"/>
    <xf borderId="0" fillId="0" fontId="2" numFmtId="0" xfId="0" applyFont="1"/>
    <xf borderId="0" fillId="2" fontId="2" numFmtId="0" xfId="0" applyFont="1"/>
    <xf borderId="1" fillId="0" fontId="2" numFmtId="165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4" numFmtId="49" xfId="0" applyAlignment="1" applyBorder="1" applyFont="1" applyNumberFormat="1">
      <alignment horizontal="center" readingOrder="0" shrinkToFit="0" vertical="center" wrapText="1"/>
    </xf>
    <xf borderId="0" fillId="0" fontId="2" numFmtId="49" xfId="0" applyFont="1" applyNumberFormat="1"/>
    <xf borderId="1" fillId="0" fontId="4" numFmtId="9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6.0"/>
    <col customWidth="1" min="2" max="2" width="18.0"/>
    <col customWidth="1" min="3" max="7" width="14.0"/>
    <col customWidth="1" min="8" max="8" width="12.0"/>
    <col customWidth="1" min="9" max="11" width="10.0"/>
    <col customWidth="1" min="12" max="14" width="12.0"/>
    <col customWidth="1" min="15" max="26" width="8.71"/>
  </cols>
  <sheetData>
    <row r="1">
      <c r="A1" s="1" t="s">
        <v>0</v>
      </c>
    </row>
    <row r="2">
      <c r="A2" s="2"/>
    </row>
    <row r="3">
      <c r="A3" s="3" t="s">
        <v>1</v>
      </c>
      <c r="B3" s="4">
        <v>46071.0</v>
      </c>
    </row>
    <row r="4">
      <c r="A4" s="3" t="s">
        <v>2</v>
      </c>
      <c r="B4" s="5" t="s">
        <v>3</v>
      </c>
    </row>
    <row r="5">
      <c r="A5" s="3" t="s">
        <v>4</v>
      </c>
      <c r="B5" s="4">
        <v>46082.0</v>
      </c>
    </row>
    <row r="6">
      <c r="A6" s="3" t="s">
        <v>5</v>
      </c>
      <c r="B6" s="6" t="str">
        <f>TEXT(TODAY(),"yyyy-mm")</f>
        <v>2026-03</v>
      </c>
    </row>
    <row r="7">
      <c r="A7" s="2"/>
    </row>
    <row r="8">
      <c r="A8" s="3" t="s">
        <v>6</v>
      </c>
      <c r="H8" s="7" t="s">
        <v>7</v>
      </c>
    </row>
    <row r="9">
      <c r="A9" s="8" t="s">
        <v>8</v>
      </c>
      <c r="B9" s="9" t="s">
        <v>9</v>
      </c>
      <c r="C9" s="9" t="s">
        <v>10</v>
      </c>
      <c r="D9" s="9" t="s">
        <v>11</v>
      </c>
      <c r="E9" s="9" t="s">
        <v>12</v>
      </c>
      <c r="F9" s="9" t="s">
        <v>13</v>
      </c>
      <c r="H9" s="9" t="s">
        <v>14</v>
      </c>
      <c r="I9" s="9" t="s">
        <v>15</v>
      </c>
      <c r="J9" s="9" t="s">
        <v>10</v>
      </c>
      <c r="K9" s="9" t="s">
        <v>12</v>
      </c>
      <c r="L9" s="9" t="s">
        <v>11</v>
      </c>
      <c r="M9" s="9" t="s">
        <v>13</v>
      </c>
    </row>
    <row r="10">
      <c r="A10" s="10" t="s">
        <v>16</v>
      </c>
      <c r="B10" s="11">
        <f>COUNTIFS(INPUT!J:J,$A10, INPUT!L:L, INT($B$3))</f>
        <v>0</v>
      </c>
      <c r="C10" s="11">
        <f>SUMIFS(INPUT!C:C, INPUT!J:J,$A10, INPUT!L:L, INT($B$3))</f>
        <v>0</v>
      </c>
      <c r="D10" s="11">
        <f>SUMIFS(INPUT!E:E, INPUT!J:J,$A10, INPUT!L:L, INT($B$3))</f>
        <v>0</v>
      </c>
      <c r="E10" s="11">
        <f>SUMIFS(INPUT!D:D, INPUT!J:J,$A10, INPUT!L:L, INT($B$3))</f>
        <v>0</v>
      </c>
      <c r="F10" s="11">
        <f>SUMIFS(INPUT!G:G, INPUT!J:J,$A10, INPUT!L:L, INT($B$3))</f>
        <v>0</v>
      </c>
      <c r="H10" s="12">
        <f>IF($B$5="","", $B$5+0)</f>
        <v>46082</v>
      </c>
      <c r="I10" s="11">
        <f>IF($B$5="","",IF($B$4="ALL",COUNTIFS(INPUT!K:K,$B$5,INPUT!L:L,H10),COUNTIFS(INPUT!J:J,$B$4,INPUT!K:K,$B$5,INPUT!L:L,H10)))</f>
        <v>0</v>
      </c>
      <c r="J10" s="11">
        <f>IF($B$5="","",IF($B$4="ALL",SUMIFS(INPUT!C:C,INPUT!K:K,$B$5,INPUT!L:L,H10),SUMIFS(INPUT!C:C,INPUT!J:J,$B$4,INPUT!K:K,$B$5,INPUT!L:L,H10)))</f>
        <v>0</v>
      </c>
      <c r="K10" s="11">
        <f>IF($B$5="","",IF($B$4="ALL",SUMIFS(INPUT!D:D,INPUT!K:K,$B$5,INPUT!L:L,H10),SUMIFS(INPUT!D:D,INPUT!J:J,$B$4,INPUT!K:K,$B$5,INPUT!L:L,H10)))</f>
        <v>0</v>
      </c>
      <c r="L10" s="11">
        <f>IF($B$5="","",IF($B$4="ALL",SUMIFS(INPUT!E:E,INPUT!K:K,$B$5,INPUT!L:L,H10),SUMIFS(INPUT!E:E,INPUT!J:J,$B$4,INPUT!K:K,$B$5,INPUT!L:L,H10)))</f>
        <v>0</v>
      </c>
      <c r="M10" s="11">
        <f>IF($B$5="","",IF($B$4="ALL",SUMIFS(INPUT!G:G,INPUT!K:K,$B$5,INPUT!L:L,H10),SUMIFS(INPUT!G:G,INPUT!J:J,$B$4,INPUT!K:K,$B$5,INPUT!L:L,H10)))</f>
        <v>0</v>
      </c>
    </row>
    <row r="11">
      <c r="A11" s="10" t="s">
        <v>17</v>
      </c>
      <c r="B11" s="11">
        <f>COUNTIFS(INPUT!J:J,$A11, INPUT!L:L, INT($B$3))</f>
        <v>6</v>
      </c>
      <c r="C11" s="11">
        <f>SUMIFS(INPUT!C:C, INPUT!J:J,$A11, INPUT!L:L, INT($B$3))</f>
        <v>388</v>
      </c>
      <c r="D11" s="11">
        <f>SUMIFS(INPUT!E:E, INPUT!J:J,$A11, INPUT!L:L, INT($B$3))</f>
        <v>232.8</v>
      </c>
      <c r="E11" s="11">
        <f>SUMIFS(INPUT!D:D, INPUT!J:J,$A11, INPUT!L:L, INT($B$3))</f>
        <v>0</v>
      </c>
      <c r="F11" s="11">
        <f>SUMIFS(INPUT!G:G, INPUT!J:J,$A11, INPUT!L:L, INT($B$3))</f>
        <v>155.2</v>
      </c>
      <c r="H11" s="12">
        <f>IF($B$5="","", $B$5+1)</f>
        <v>46083</v>
      </c>
      <c r="I11" s="11">
        <f>IF($B$5="","",IF($B$4="ALL",COUNTIFS(INPUT!K:K,$B$5,INPUT!L:L,H11),COUNTIFS(INPUT!J:J,$B$4,INPUT!K:K,$B$5,INPUT!L:L,H11)))</f>
        <v>0</v>
      </c>
      <c r="J11" s="11">
        <f>IF($B$5="","",IF($B$4="ALL",SUMIFS(INPUT!C:C,INPUT!K:K,$B$5,INPUT!L:L,H11),SUMIFS(INPUT!C:C,INPUT!J:J,$B$4,INPUT!K:K,$B$5,INPUT!L:L,H11)))</f>
        <v>0</v>
      </c>
      <c r="K11" s="11">
        <f>IF($B$5="","",IF($B$4="ALL",SUMIFS(INPUT!D:D,INPUT!K:K,$B$5,INPUT!L:L,H11),SUMIFS(INPUT!D:D,INPUT!J:J,$B$4,INPUT!K:K,$B$5,INPUT!L:L,H11)))</f>
        <v>0</v>
      </c>
      <c r="L11" s="11">
        <f>IF($B$5="","",IF($B$4="ALL",SUMIFS(INPUT!E:E,INPUT!K:K,$B$5,INPUT!L:L,H11),SUMIFS(INPUT!E:E,INPUT!J:J,$B$4,INPUT!K:K,$B$5,INPUT!L:L,H11)))</f>
        <v>0</v>
      </c>
      <c r="M11" s="11">
        <f>IF($B$5="","",IF($B$4="ALL",SUMIFS(INPUT!G:G,INPUT!K:K,$B$5,INPUT!L:L,H11),SUMIFS(INPUT!G:G,INPUT!J:J,$B$4,INPUT!K:K,$B$5,INPUT!L:L,H11)))</f>
        <v>0</v>
      </c>
    </row>
    <row r="12">
      <c r="A12" s="10" t="s">
        <v>18</v>
      </c>
      <c r="B12" s="11">
        <f>COUNTIFS(INPUT!J:J,$A12, INPUT!L:L, INT($B$3))</f>
        <v>7</v>
      </c>
      <c r="C12" s="11">
        <f>SUMIFS(INPUT!C:C, INPUT!J:J,$A12, INPUT!L:L, INT($B$3))</f>
        <v>375</v>
      </c>
      <c r="D12" s="11">
        <f>SUMIFS(INPUT!E:E, INPUT!J:J,$A12, INPUT!L:L, INT($B$3))</f>
        <v>187.5</v>
      </c>
      <c r="E12" s="11">
        <f>SUMIFS(INPUT!D:D, INPUT!J:J,$A12, INPUT!L:L, INT($B$3))</f>
        <v>0</v>
      </c>
      <c r="F12" s="11">
        <f>SUMIFS(INPUT!G:G, INPUT!J:J,$A12, INPUT!L:L, INT($B$3))</f>
        <v>187.5</v>
      </c>
      <c r="H12" s="12">
        <f>IF($B$5="","", $B$5+2)</f>
        <v>46084</v>
      </c>
      <c r="I12" s="11">
        <f>IF($B$5="","",IF($B$4="ALL",COUNTIFS(INPUT!K:K,$B$5,INPUT!L:L,H12),COUNTIFS(INPUT!J:J,$B$4,INPUT!K:K,$B$5,INPUT!L:L,H12)))</f>
        <v>0</v>
      </c>
      <c r="J12" s="11">
        <f>IF($B$5="","",IF($B$4="ALL",SUMIFS(INPUT!C:C,INPUT!K:K,$B$5,INPUT!L:L,H12),SUMIFS(INPUT!C:C,INPUT!J:J,$B$4,INPUT!K:K,$B$5,INPUT!L:L,H12)))</f>
        <v>0</v>
      </c>
      <c r="K12" s="11">
        <f>IF($B$5="","",IF($B$4="ALL",SUMIFS(INPUT!D:D,INPUT!K:K,$B$5,INPUT!L:L,H12),SUMIFS(INPUT!D:D,INPUT!J:J,$B$4,INPUT!K:K,$B$5,INPUT!L:L,H12)))</f>
        <v>0</v>
      </c>
      <c r="L12" s="11">
        <f>IF($B$5="","",IF($B$4="ALL",SUMIFS(INPUT!E:E,INPUT!K:K,$B$5,INPUT!L:L,H12),SUMIFS(INPUT!E:E,INPUT!J:J,$B$4,INPUT!K:K,$B$5,INPUT!L:L,H12)))</f>
        <v>0</v>
      </c>
      <c r="M12" s="11">
        <f>IF($B$5="","",IF($B$4="ALL",SUMIFS(INPUT!G:G,INPUT!K:K,$B$5,INPUT!L:L,H12),SUMIFS(INPUT!G:G,INPUT!J:J,$B$4,INPUT!K:K,$B$5,INPUT!L:L,H12)))</f>
        <v>0</v>
      </c>
    </row>
    <row r="13">
      <c r="A13" s="10" t="s">
        <v>19</v>
      </c>
      <c r="B13" s="11">
        <f>COUNTIFS(INPUT!J:J,$A13, INPUT!L:L, INT($B$3))</f>
        <v>3</v>
      </c>
      <c r="C13" s="11">
        <f>SUMIFS(INPUT!C:C, INPUT!J:J,$A13, INPUT!L:L, INT($B$3))</f>
        <v>217</v>
      </c>
      <c r="D13" s="11">
        <f>SUMIFS(INPUT!E:E, INPUT!J:J,$A13, INPUT!L:L, INT($B$3))</f>
        <v>0</v>
      </c>
      <c r="E13" s="11">
        <f>SUMIFS(INPUT!D:D, INPUT!J:J,$A13, INPUT!L:L, INT($B$3))</f>
        <v>0</v>
      </c>
      <c r="F13" s="11">
        <f>SUMIFS(INPUT!G:G, INPUT!J:J,$A13, INPUT!L:L, INT($B$3))</f>
        <v>217</v>
      </c>
      <c r="H13" s="12">
        <f>IF($B$5="","", $B$5+3)</f>
        <v>46085</v>
      </c>
      <c r="I13" s="11">
        <f>IF($B$5="","",IF($B$4="ALL",COUNTIFS(INPUT!K:K,$B$5,INPUT!L:L,H13),COUNTIFS(INPUT!J:J,$B$4,INPUT!K:K,$B$5,INPUT!L:L,H13)))</f>
        <v>0</v>
      </c>
      <c r="J13" s="11">
        <f>IF($B$5="","",IF($B$4="ALL",SUMIFS(INPUT!C:C,INPUT!K:K,$B$5,INPUT!L:L,H13),SUMIFS(INPUT!C:C,INPUT!J:J,$B$4,INPUT!K:K,$B$5,INPUT!L:L,H13)))</f>
        <v>0</v>
      </c>
      <c r="K13" s="11">
        <f>IF($B$5="","",IF($B$4="ALL",SUMIFS(INPUT!D:D,INPUT!K:K,$B$5,INPUT!L:L,H13),SUMIFS(INPUT!D:D,INPUT!J:J,$B$4,INPUT!K:K,$B$5,INPUT!L:L,H13)))</f>
        <v>0</v>
      </c>
      <c r="L13" s="11">
        <f>IF($B$5="","",IF($B$4="ALL",SUMIFS(INPUT!E:E,INPUT!K:K,$B$5,INPUT!L:L,H13),SUMIFS(INPUT!E:E,INPUT!J:J,$B$4,INPUT!K:K,$B$5,INPUT!L:L,H13)))</f>
        <v>0</v>
      </c>
      <c r="M13" s="11">
        <f>IF($B$5="","",IF($B$4="ALL",SUMIFS(INPUT!G:G,INPUT!K:K,$B$5,INPUT!L:L,H13),SUMIFS(INPUT!G:G,INPUT!J:J,$B$4,INPUT!K:K,$B$5,INPUT!L:L,H13)))</f>
        <v>0</v>
      </c>
    </row>
    <row r="14">
      <c r="A14" s="10" t="s">
        <v>20</v>
      </c>
      <c r="B14" s="11">
        <f>COUNTIFS(INPUT!J:J,$A14, INPUT!L:L, INT($B$3))</f>
        <v>7</v>
      </c>
      <c r="C14" s="11">
        <f>SUMIFS(INPUT!C:C, INPUT!J:J,$A14, INPUT!L:L, INT($B$3))</f>
        <v>466</v>
      </c>
      <c r="D14" s="11">
        <f>SUMIFS(INPUT!E:E, INPUT!J:J,$A14, INPUT!L:L, INT($B$3))</f>
        <v>279.6</v>
      </c>
      <c r="E14" s="11">
        <f>SUMIFS(INPUT!D:D, INPUT!J:J,$A14, INPUT!L:L, INT($B$3))</f>
        <v>0</v>
      </c>
      <c r="F14" s="11">
        <f>SUMIFS(INPUT!G:G, INPUT!J:J,$A14, INPUT!L:L, INT($B$3))</f>
        <v>186.4</v>
      </c>
      <c r="H14" s="12">
        <f>IF($B$5="","", $B$5+4)</f>
        <v>46086</v>
      </c>
      <c r="I14" s="11">
        <f>IF($B$5="","",IF($B$4="ALL",COUNTIFS(INPUT!K:K,$B$5,INPUT!L:L,H14),COUNTIFS(INPUT!J:J,$B$4,INPUT!K:K,$B$5,INPUT!L:L,H14)))</f>
        <v>0</v>
      </c>
      <c r="J14" s="11">
        <f>IF($B$5="","",IF($B$4="ALL",SUMIFS(INPUT!C:C,INPUT!K:K,$B$5,INPUT!L:L,H14),SUMIFS(INPUT!C:C,INPUT!J:J,$B$4,INPUT!K:K,$B$5,INPUT!L:L,H14)))</f>
        <v>0</v>
      </c>
      <c r="K14" s="11">
        <f>IF($B$5="","",IF($B$4="ALL",SUMIFS(INPUT!D:D,INPUT!K:K,$B$5,INPUT!L:L,H14),SUMIFS(INPUT!D:D,INPUT!J:J,$B$4,INPUT!K:K,$B$5,INPUT!L:L,H14)))</f>
        <v>0</v>
      </c>
      <c r="L14" s="11">
        <f>IF($B$5="","",IF($B$4="ALL",SUMIFS(INPUT!E:E,INPUT!K:K,$B$5,INPUT!L:L,H14),SUMIFS(INPUT!E:E,INPUT!J:J,$B$4,INPUT!K:K,$B$5,INPUT!L:L,H14)))</f>
        <v>0</v>
      </c>
      <c r="M14" s="11">
        <f>IF($B$5="","",IF($B$4="ALL",SUMIFS(INPUT!G:G,INPUT!K:K,$B$5,INPUT!L:L,H14),SUMIFS(INPUT!G:G,INPUT!J:J,$B$4,INPUT!K:K,$B$5,INPUT!L:L,H14)))</f>
        <v>0</v>
      </c>
    </row>
    <row r="15">
      <c r="A15" s="10" t="s">
        <v>21</v>
      </c>
      <c r="B15" s="11">
        <f>COUNTIFS(INPUT!J:J,$A15, INPUT!L:L, INT($B$3))</f>
        <v>7</v>
      </c>
      <c r="C15" s="11">
        <f>SUMIFS(INPUT!C:C, INPUT!J:J,$A15, INPUT!L:L, INT($B$3))</f>
        <v>377</v>
      </c>
      <c r="D15" s="11">
        <f>SUMIFS(INPUT!E:E, INPUT!J:J,$A15, INPUT!L:L, INT($B$3))</f>
        <v>226.2</v>
      </c>
      <c r="E15" s="11">
        <f>SUMIFS(INPUT!D:D, INPUT!J:J,$A15, INPUT!L:L, INT($B$3))</f>
        <v>0</v>
      </c>
      <c r="F15" s="11">
        <f>SUMIFS(INPUT!G:G, INPUT!J:J,$A15, INPUT!L:L, INT($B$3))</f>
        <v>150.8</v>
      </c>
      <c r="H15" s="12">
        <f>IF($B$5="","", $B$5+5)</f>
        <v>46087</v>
      </c>
      <c r="I15" s="11">
        <f>IF($B$5="","",IF($B$4="ALL",COUNTIFS(INPUT!K:K,$B$5,INPUT!L:L,H15),COUNTIFS(INPUT!J:J,$B$4,INPUT!K:K,$B$5,INPUT!L:L,H15)))</f>
        <v>0</v>
      </c>
      <c r="J15" s="11">
        <f>IF($B$5="","",IF($B$4="ALL",SUMIFS(INPUT!C:C,INPUT!K:K,$B$5,INPUT!L:L,H15),SUMIFS(INPUT!C:C,INPUT!J:J,$B$4,INPUT!K:K,$B$5,INPUT!L:L,H15)))</f>
        <v>0</v>
      </c>
      <c r="K15" s="11">
        <f>IF($B$5="","",IF($B$4="ALL",SUMIFS(INPUT!D:D,INPUT!K:K,$B$5,INPUT!L:L,H15),SUMIFS(INPUT!D:D,INPUT!J:J,$B$4,INPUT!K:K,$B$5,INPUT!L:L,H15)))</f>
        <v>0</v>
      </c>
      <c r="L15" s="11">
        <f>IF($B$5="","",IF($B$4="ALL",SUMIFS(INPUT!E:E,INPUT!K:K,$B$5,INPUT!L:L,H15),SUMIFS(INPUT!E:E,INPUT!J:J,$B$4,INPUT!K:K,$B$5,INPUT!L:L,H15)))</f>
        <v>0</v>
      </c>
      <c r="M15" s="11">
        <f>IF($B$5="","",IF($B$4="ALL",SUMIFS(INPUT!G:G,INPUT!K:K,$B$5,INPUT!L:L,H15),SUMIFS(INPUT!G:G,INPUT!J:J,$B$4,INPUT!K:K,$B$5,INPUT!L:L,H15)))</f>
        <v>0</v>
      </c>
    </row>
    <row r="16">
      <c r="A16" s="10" t="s">
        <v>22</v>
      </c>
      <c r="B16" s="11">
        <f>COUNTIFS(INPUT!J:J,$A16, INPUT!L:L, INT($B$3))</f>
        <v>0</v>
      </c>
      <c r="C16" s="11">
        <f>SUMIFS(INPUT!C:C, INPUT!J:J,$A16, INPUT!L:L, INT($B$3))</f>
        <v>0</v>
      </c>
      <c r="D16" s="11">
        <f>SUMIFS(INPUT!E:E, INPUT!J:J,$A16, INPUT!L:L, INT($B$3))</f>
        <v>0</v>
      </c>
      <c r="E16" s="11">
        <f>SUMIFS(INPUT!D:D, INPUT!J:J,$A16, INPUT!L:L, INT($B$3))</f>
        <v>0</v>
      </c>
      <c r="F16" s="11">
        <f>SUMIFS(INPUT!G:G, INPUT!J:J,$A16, INPUT!L:L, INT($B$3))</f>
        <v>0</v>
      </c>
      <c r="H16" s="12">
        <f>IF($B$5="","", $B$5+6)</f>
        <v>46088</v>
      </c>
      <c r="I16" s="11">
        <f>IF($B$5="","",IF($B$4="ALL",COUNTIFS(INPUT!K:K,$B$5,INPUT!L:L,H16),COUNTIFS(INPUT!J:J,$B$4,INPUT!K:K,$B$5,INPUT!L:L,H16)))</f>
        <v>0</v>
      </c>
      <c r="J16" s="11">
        <f>IF($B$5="","",IF($B$4="ALL",SUMIFS(INPUT!C:C,INPUT!K:K,$B$5,INPUT!L:L,H16),SUMIFS(INPUT!C:C,INPUT!J:J,$B$4,INPUT!K:K,$B$5,INPUT!L:L,H16)))</f>
        <v>0</v>
      </c>
      <c r="K16" s="11">
        <f>IF($B$5="","",IF($B$4="ALL",SUMIFS(INPUT!D:D,INPUT!K:K,$B$5,INPUT!L:L,H16),SUMIFS(INPUT!D:D,INPUT!J:J,$B$4,INPUT!K:K,$B$5,INPUT!L:L,H16)))</f>
        <v>0</v>
      </c>
      <c r="L16" s="11">
        <f>IF($B$5="","",IF($B$4="ALL",SUMIFS(INPUT!E:E,INPUT!K:K,$B$5,INPUT!L:L,H16),SUMIFS(INPUT!E:E,INPUT!J:J,$B$4,INPUT!K:K,$B$5,INPUT!L:L,H16)))</f>
        <v>0</v>
      </c>
      <c r="M16" s="11">
        <f>IF($B$5="","",IF($B$4="ALL",SUMIFS(INPUT!G:G,INPUT!K:K,$B$5,INPUT!L:L,H16),SUMIFS(INPUT!G:G,INPUT!J:J,$B$4,INPUT!K:K,$B$5,INPUT!L:L,H16)))</f>
        <v>0</v>
      </c>
    </row>
    <row r="17">
      <c r="A17" s="10" t="s">
        <v>23</v>
      </c>
      <c r="B17" s="11">
        <f>COUNTIFS(INPUT!J:J,$A17, INPUT!L:L, INT($B$3))</f>
        <v>0</v>
      </c>
      <c r="C17" s="11">
        <f>SUMIFS(INPUT!C:C, INPUT!J:J,$A17, INPUT!L:L, INT($B$3))</f>
        <v>0</v>
      </c>
      <c r="D17" s="11">
        <f>SUMIFS(INPUT!E:E, INPUT!J:J,$A17, INPUT!L:L, INT($B$3))</f>
        <v>0</v>
      </c>
      <c r="E17" s="11">
        <f>SUMIFS(INPUT!D:D, INPUT!J:J,$A17, INPUT!L:L, INT($B$3))</f>
        <v>0</v>
      </c>
      <c r="F17" s="11">
        <f>SUMIFS(INPUT!G:G, INPUT!J:J,$A17, INPUT!L:L, INT($B$3))</f>
        <v>0</v>
      </c>
      <c r="H17" s="13" t="s">
        <v>24</v>
      </c>
      <c r="I17" s="13">
        <f t="shared" ref="I17:M17" si="1">SUM(I10:I16)</f>
        <v>0</v>
      </c>
      <c r="J17" s="13">
        <f t="shared" si="1"/>
        <v>0</v>
      </c>
      <c r="K17" s="13">
        <f t="shared" si="1"/>
        <v>0</v>
      </c>
      <c r="L17" s="13">
        <f t="shared" si="1"/>
        <v>0</v>
      </c>
      <c r="M17" s="13">
        <f t="shared" si="1"/>
        <v>0</v>
      </c>
    </row>
    <row r="18">
      <c r="A18" s="14" t="s">
        <v>24</v>
      </c>
      <c r="B18" s="13">
        <f t="shared" ref="B18:F18" si="2">SUM(B10:B17)</f>
        <v>30</v>
      </c>
      <c r="C18" s="13">
        <f t="shared" si="2"/>
        <v>1823</v>
      </c>
      <c r="D18" s="13">
        <f t="shared" si="2"/>
        <v>926.1</v>
      </c>
      <c r="E18" s="13">
        <f t="shared" si="2"/>
        <v>0</v>
      </c>
      <c r="F18" s="13">
        <f t="shared" si="2"/>
        <v>896.9</v>
      </c>
    </row>
    <row r="19">
      <c r="A19" s="2"/>
    </row>
    <row r="20">
      <c r="A20" s="15" t="s">
        <v>25</v>
      </c>
      <c r="H20" s="7" t="s">
        <v>26</v>
      </c>
    </row>
    <row r="21" ht="15.75" customHeight="1">
      <c r="A21" s="8" t="s">
        <v>14</v>
      </c>
      <c r="B21" s="9" t="s">
        <v>10</v>
      </c>
      <c r="C21" s="9" t="s">
        <v>12</v>
      </c>
      <c r="D21" s="9" t="s">
        <v>27</v>
      </c>
      <c r="E21" s="9" t="s">
        <v>28</v>
      </c>
      <c r="F21" s="9" t="s">
        <v>11</v>
      </c>
      <c r="G21" s="9" t="s">
        <v>13</v>
      </c>
      <c r="H21" s="9" t="s">
        <v>8</v>
      </c>
      <c r="I21" s="9" t="s">
        <v>9</v>
      </c>
      <c r="J21" s="9" t="s">
        <v>10</v>
      </c>
      <c r="K21" s="9" t="s">
        <v>12</v>
      </c>
      <c r="L21" s="9" t="s">
        <v>11</v>
      </c>
      <c r="M21" s="9" t="s">
        <v>29</v>
      </c>
      <c r="N21" s="9" t="s">
        <v>13</v>
      </c>
    </row>
    <row r="22" ht="15.75" customHeight="1">
      <c r="A22" s="16">
        <f>IFERROR(__xludf.DUMMYFUNCTION("IF($B$4=""ALL"",IFERROR(FILTER({INPUT!A:A,INPUT!C:C,INPUT!D:D,INPUT!H:H,INPUT!I:I,INPUT!E:E,INPUT!G:G},INPUT!L:L=INT($B$3)),""""),IFERROR(FILTER({INPUT!A:A,INPUT!C:C,INPUT!D:D,INPUT!H:H,INPUT!I:I,INPUT!E:E,INPUT!G:G},INPUT!J:J=$B$4,INPUT!L:L=INT($B$3)),"""&amp;"""))"),46071.0)</f>
        <v>46071</v>
      </c>
      <c r="B22" s="17">
        <f>IFERROR(__xludf.DUMMYFUNCTION("""COMPUTED_VALUE"""),57.0)</f>
        <v>57</v>
      </c>
      <c r="C22" s="17"/>
      <c r="D22" s="17"/>
      <c r="E22" s="17"/>
      <c r="F22" s="17">
        <f>IFERROR(__xludf.DUMMYFUNCTION("""COMPUTED_VALUE"""),34.199999999999996)</f>
        <v>34.2</v>
      </c>
      <c r="G22" s="17">
        <f>IFERROR(__xludf.DUMMYFUNCTION("""COMPUTED_VALUE"""),22.8)</f>
        <v>22.8</v>
      </c>
      <c r="H22" s="11" t="str">
        <f>$B$4</f>
        <v>tony</v>
      </c>
      <c r="I22" s="11">
        <f>IF($B$4="ALL",COUNTIFS(INPUT!L:L,"&gt;="&amp;DATE(LEFT($B$6,4),RIGHT($B$6,2),1),INPUT!L:L,"&lt;"&amp;EOMONTH(DATE(LEFT($B$6,4),RIGHT($B$6,2),1),0)+1),COUNTIFS(INPUT!J:J,$B$4,INPUT!L:L,"&gt;="&amp;DATE(LEFT($B$6,4),RIGHT($B$6,2),1),INPUT!L:L,"&lt;"&amp;EOMONTH(DATE(LEFT($B$6,4),RIGHT($B$6,2),1),0)+1))</f>
        <v>5</v>
      </c>
      <c r="J22" s="11">
        <f>IF($B$4="ALL",SUMIFS(INPUT!C:C,INPUT!L:L,"&gt;="&amp;DATE(LEFT($B$6,4),RIGHT($B$6,2),1),INPUT!L:L,"&lt;"&amp;EOMONTH(DATE(LEFT($B$6,4),RIGHT($B$6,2),1),0)+1),SUMIFS(INPUT!C:C,INPUT!J:J,$B$4,INPUT!L:L,"&gt;="&amp;DATE(LEFT($B$6,4),RIGHT($B$6,2),1),INPUT!L:L,"&lt;"&amp;EOMONTH(DATE(LEFT($B$6,4),RIGHT($B$6,2),1),0)+1))</f>
        <v>286</v>
      </c>
      <c r="K22" s="11">
        <f>IF($B$4="ALL",SUMIFS(INPUT!D:D,INPUT!L:L,"&gt;="&amp;DATE(LEFT($B$6,4),RIGHT($B$6,2),1),INPUT!L:L,"&lt;"&amp;EOMONTH(DATE(LEFT($B$6,4),RIGHT($B$6,2),1),0)+1),SUMIFS(INPUT!D:D,INPUT!J:J,$B$4,INPUT!L:L,"&gt;="&amp;DATE(LEFT($B$6,4),RIGHT($B$6,2),1),INPUT!L:L,"&lt;"&amp;EOMONTH(DATE(LEFT($B$6,4),RIGHT($B$6,2),1),0)+1))</f>
        <v>0</v>
      </c>
      <c r="L22" s="11">
        <f>IF($B$4="ALL",SUMIFS(INPUT!E:E,INPUT!L:L,"&gt;="&amp;DATE(LEFT($B$6,4),RIGHT($B$6,2),1),INPUT!L:L,"&lt;"&amp;EOMONTH(DATE(LEFT($B$6,4),RIGHT($B$6,2),1),0)+1),SUMIFS(INPUT!E:E,INPUT!J:J,$B$4,INPUT!L:L,"&gt;="&amp;DATE(LEFT($B$6,4),RIGHT($B$6,2),1),INPUT!L:L,"&lt;"&amp;EOMONTH(DATE(LEFT($B$6,4),RIGHT($B$6,2),1),0)+1))</f>
        <v>171.6</v>
      </c>
      <c r="M22" s="11">
        <f>IF($B$4="ALL",SUMIFS(INPUT!F:F,INPUT!L:L,"&gt;="&amp;DATE(LEFT($B$6,4),RIGHT($B$6,2),1),INPUT!L:L,"&lt;"&amp;EOMONTH(DATE(LEFT($B$6,4),RIGHT($B$6,2),1),0)+1),SUMIFS(INPUT!F:F,INPUT!J:J,$B$4,INPUT!L:L,"&gt;="&amp;DATE(LEFT($B$6,4),RIGHT($B$6,2),1),INPUT!L:L,"&lt;"&amp;EOMONTH(DATE(LEFT($B$6,4),RIGHT($B$6,2),1),0)+1))</f>
        <v>114.4</v>
      </c>
      <c r="N22" s="11">
        <f>IF($B$4="ALL",SUMIFS(INPUT!G:G,INPUT!L:L,"&gt;="&amp;DATE(LEFT($B$6,4),RIGHT($B$6,2),1),INPUT!L:L,"&lt;"&amp;EOMONTH(DATE(LEFT($B$6,4),RIGHT($B$6,2),1),0)+1),SUMIFS(INPUT!G:G,INPUT!J:J,$B$4,INPUT!L:L,"&gt;="&amp;DATE(LEFT($B$6,4),RIGHT($B$6,2),1),INPUT!L:L,"&lt;"&amp;EOMONTH(DATE(LEFT($B$6,4),RIGHT($B$6,2),1),0)+1))</f>
        <v>114.4</v>
      </c>
    </row>
    <row r="23" ht="15.75" customHeight="1">
      <c r="A23" s="2">
        <f>IFERROR(__xludf.DUMMYFUNCTION("""COMPUTED_VALUE"""),46071.0)</f>
        <v>46071</v>
      </c>
      <c r="B23" s="17">
        <f>IFERROR(__xludf.DUMMYFUNCTION("""COMPUTED_VALUE"""),77.0)</f>
        <v>77</v>
      </c>
      <c r="C23" s="17"/>
      <c r="D23" s="17"/>
      <c r="E23" s="17"/>
      <c r="F23" s="17">
        <f>IFERROR(__xludf.DUMMYFUNCTION("""COMPUTED_VALUE"""),46.199999999999996)</f>
        <v>46.2</v>
      </c>
      <c r="G23" s="17">
        <f>IFERROR(__xludf.DUMMYFUNCTION("""COMPUTED_VALUE"""),30.8)</f>
        <v>30.8</v>
      </c>
    </row>
    <row r="24" ht="15.75" customHeight="1">
      <c r="A24" s="2">
        <f>IFERROR(__xludf.DUMMYFUNCTION("""COMPUTED_VALUE"""),46071.0)</f>
        <v>46071</v>
      </c>
      <c r="B24" s="17">
        <f>IFERROR(__xludf.DUMMYFUNCTION("""COMPUTED_VALUE"""),47.0)</f>
        <v>47</v>
      </c>
      <c r="C24" s="17"/>
      <c r="D24" s="17"/>
      <c r="E24" s="17"/>
      <c r="F24" s="17">
        <f>IFERROR(__xludf.DUMMYFUNCTION("""COMPUTED_VALUE"""),28.2)</f>
        <v>28.2</v>
      </c>
      <c r="G24" s="17">
        <f>IFERROR(__xludf.DUMMYFUNCTION("""COMPUTED_VALUE"""),18.8)</f>
        <v>18.8</v>
      </c>
    </row>
    <row r="25" ht="15.75" customHeight="1">
      <c r="A25" s="2">
        <f>IFERROR(__xludf.DUMMYFUNCTION("""COMPUTED_VALUE"""),46071.0)</f>
        <v>46071</v>
      </c>
      <c r="B25" s="17">
        <f>IFERROR(__xludf.DUMMYFUNCTION("""COMPUTED_VALUE"""),47.0)</f>
        <v>47</v>
      </c>
      <c r="C25" s="17"/>
      <c r="D25" s="17"/>
      <c r="E25" s="17"/>
      <c r="F25" s="17">
        <f>IFERROR(__xludf.DUMMYFUNCTION("""COMPUTED_VALUE"""),28.2)</f>
        <v>28.2</v>
      </c>
      <c r="G25" s="17">
        <f>IFERROR(__xludf.DUMMYFUNCTION("""COMPUTED_VALUE"""),18.8)</f>
        <v>18.8</v>
      </c>
    </row>
    <row r="26" ht="15.75" customHeight="1">
      <c r="A26" s="2">
        <f>IFERROR(__xludf.DUMMYFUNCTION("""COMPUTED_VALUE"""),46071.0)</f>
        <v>46071</v>
      </c>
      <c r="B26" s="17">
        <f>IFERROR(__xludf.DUMMYFUNCTION("""COMPUTED_VALUE"""),62.0)</f>
        <v>62</v>
      </c>
      <c r="C26" s="17"/>
      <c r="D26" s="17"/>
      <c r="E26" s="17"/>
      <c r="F26" s="17">
        <f>IFERROR(__xludf.DUMMYFUNCTION("""COMPUTED_VALUE"""),37.199999999999996)</f>
        <v>37.2</v>
      </c>
      <c r="G26" s="17">
        <f>IFERROR(__xludf.DUMMYFUNCTION("""COMPUTED_VALUE"""),24.8)</f>
        <v>24.8</v>
      </c>
    </row>
    <row r="27" ht="15.75" customHeight="1">
      <c r="A27" s="2">
        <f>IFERROR(__xludf.DUMMYFUNCTION("""COMPUTED_VALUE"""),46071.0)</f>
        <v>46071</v>
      </c>
      <c r="B27" s="17">
        <f>IFERROR(__xludf.DUMMYFUNCTION("""COMPUTED_VALUE"""),47.0)</f>
        <v>47</v>
      </c>
      <c r="C27" s="17"/>
      <c r="D27" s="17"/>
      <c r="E27" s="17"/>
      <c r="F27" s="17">
        <f>IFERROR(__xludf.DUMMYFUNCTION("""COMPUTED_VALUE"""),28.2)</f>
        <v>28.2</v>
      </c>
      <c r="G27" s="17">
        <f>IFERROR(__xludf.DUMMYFUNCTION("""COMPUTED_VALUE"""),18.8)</f>
        <v>18.8</v>
      </c>
    </row>
    <row r="28" ht="15.75" customHeight="1">
      <c r="A28" s="2">
        <f>IFERROR(__xludf.DUMMYFUNCTION("""COMPUTED_VALUE"""),46071.0)</f>
        <v>46071</v>
      </c>
      <c r="B28" s="17">
        <f>IFERROR(__xludf.DUMMYFUNCTION("""COMPUTED_VALUE"""),40.0)</f>
        <v>40</v>
      </c>
      <c r="C28" s="17"/>
      <c r="D28" s="17"/>
      <c r="E28" s="17"/>
      <c r="F28" s="17">
        <f>IFERROR(__xludf.DUMMYFUNCTION("""COMPUTED_VALUE"""),24.0)</f>
        <v>24</v>
      </c>
      <c r="G28" s="17">
        <f>IFERROR(__xludf.DUMMYFUNCTION("""COMPUTED_VALUE"""),16.0)</f>
        <v>16</v>
      </c>
    </row>
    <row r="29" ht="15.75" customHeight="1">
      <c r="A29" s="2"/>
    </row>
    <row r="30" ht="15.75" customHeight="1">
      <c r="A30" s="2"/>
    </row>
    <row r="31" ht="15.75" customHeight="1">
      <c r="A31" s="2"/>
    </row>
    <row r="32" ht="15.75" customHeight="1">
      <c r="A32" s="2"/>
    </row>
    <row r="33" ht="15.75" customHeight="1">
      <c r="A33" s="2"/>
    </row>
    <row r="34" ht="15.75" customHeight="1">
      <c r="A34" s="2"/>
    </row>
    <row r="35" ht="15.75" customHeight="1">
      <c r="A35" s="2"/>
    </row>
    <row r="36" ht="15.75" customHeight="1">
      <c r="A36" s="2"/>
    </row>
    <row r="37" ht="15.75" customHeight="1">
      <c r="A37" s="2"/>
    </row>
    <row r="38" ht="15.75" customHeight="1">
      <c r="A38" s="2"/>
    </row>
    <row r="39" ht="15.75" customHeight="1">
      <c r="A39" s="2"/>
    </row>
    <row r="40" ht="15.75" customHeight="1">
      <c r="A40" s="2"/>
    </row>
    <row r="41" ht="15.75" customHeight="1">
      <c r="A41" s="2"/>
    </row>
    <row r="42" ht="15.75" customHeight="1">
      <c r="A42" s="2"/>
    </row>
    <row r="43" ht="15.75" customHeight="1">
      <c r="A43" s="2"/>
    </row>
    <row r="44" ht="15.75" customHeight="1">
      <c r="A44" s="2"/>
    </row>
    <row r="45" ht="15.75" customHeight="1">
      <c r="A45" s="2"/>
    </row>
    <row r="46" ht="15.75" customHeight="1">
      <c r="A46" s="2"/>
    </row>
    <row r="47" ht="15.75" customHeight="1">
      <c r="A47" s="2"/>
    </row>
    <row r="48" ht="15.75" customHeight="1">
      <c r="A48" s="2"/>
    </row>
    <row r="49" ht="15.75" customHeight="1">
      <c r="A49" s="2"/>
    </row>
    <row r="50" ht="15.75" customHeight="1">
      <c r="A50" s="2"/>
    </row>
    <row r="51" ht="15.75" customHeight="1">
      <c r="A51" s="2"/>
    </row>
    <row r="52" ht="15.75" customHeight="1">
      <c r="A52" s="2"/>
    </row>
    <row r="53" ht="15.75" customHeight="1">
      <c r="A53" s="2"/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10.0"/>
    <col customWidth="1" min="4" max="4" width="8.0"/>
    <col customWidth="1" min="5" max="5" width="12.0"/>
    <col customWidth="1" min="6" max="6" width="18.0"/>
    <col customWidth="1" min="7" max="8" width="12.0"/>
    <col customWidth="1" min="9" max="9" width="10.0"/>
    <col customWidth="1" hidden="1" min="10" max="11" width="13.0"/>
    <col customWidth="1" hidden="1" min="12" max="12" width="18.0"/>
    <col customWidth="1" min="13" max="13" width="8.71"/>
  </cols>
  <sheetData>
    <row r="1">
      <c r="A1" s="18" t="s">
        <v>30</v>
      </c>
    </row>
    <row r="3">
      <c r="A3" s="9" t="s">
        <v>14</v>
      </c>
      <c r="B3" s="9" t="s">
        <v>8</v>
      </c>
      <c r="C3" s="9" t="s">
        <v>10</v>
      </c>
      <c r="D3" s="9" t="s">
        <v>12</v>
      </c>
      <c r="E3" s="9" t="s">
        <v>11</v>
      </c>
      <c r="F3" s="9" t="s">
        <v>31</v>
      </c>
      <c r="G3" s="9" t="s">
        <v>13</v>
      </c>
      <c r="H3" s="9" t="s">
        <v>27</v>
      </c>
      <c r="I3" s="9" t="s">
        <v>32</v>
      </c>
      <c r="J3" s="7" t="s">
        <v>33</v>
      </c>
      <c r="K3" s="7" t="s">
        <v>34</v>
      </c>
      <c r="L3" s="7" t="s">
        <v>35</v>
      </c>
      <c r="M3" s="17" t="s">
        <v>36</v>
      </c>
    </row>
    <row r="4">
      <c r="A4" s="19">
        <v>46054.0</v>
      </c>
      <c r="B4" s="20" t="s">
        <v>17</v>
      </c>
      <c r="C4" s="20">
        <v>85.0</v>
      </c>
      <c r="D4" s="21"/>
      <c r="E4" s="11">
        <f>IF(J4="","", C4 * IFERROR(VLOOKUP(J4, SETUP!$A:$D, 3, FALSE), 0))</f>
        <v>51</v>
      </c>
      <c r="F4" s="11">
        <f>IF(J4="","", C4 * IFERROR(VLOOKUP(J4, SETUP!$A:$D, 4, FALSE), 0))</f>
        <v>34</v>
      </c>
      <c r="G4" s="11">
        <f t="shared" ref="G4:G2003" si="1">IF(J4="","", F4 - (C4*IF(H4="",0,H4)) - IF(I4="",0,I4))</f>
        <v>34</v>
      </c>
      <c r="H4" s="22"/>
      <c r="I4" s="11"/>
      <c r="J4" s="17" t="str">
        <f>IF(TRIM(B4)="","",IF(ISNUMBER(SEARCH(" - ",B4)),TRIM(RIGHT(B4,LEN(B4)-FIND(" - ",B4)-2)),IFERROR(VLOOKUP(UPPER(TRIM(B4)), SETUP!$B$4:$C$11, 2, FALSE), UPPER(TRIM(B4)))))</f>
        <v>RYAN</v>
      </c>
      <c r="K4" s="23">
        <f t="shared" ref="K4:K2003" si="2">IF(A4="","", INT(A4) - WEEKDAY(INT(A4),2) + 1)</f>
        <v>46048</v>
      </c>
      <c r="L4" s="17">
        <f t="shared" ref="L4:L2003" si="3">IF(A4="","", INT(A4))</f>
        <v>46054</v>
      </c>
      <c r="M4" s="17" t="str">
        <f t="shared" ref="M4:M2003" si="4">IF(A4="","",TEXT(L4,"yyyy-mm"))</f>
        <v>2026-02</v>
      </c>
    </row>
    <row r="5">
      <c r="A5" s="19">
        <v>46054.0</v>
      </c>
      <c r="B5" s="20" t="s">
        <v>17</v>
      </c>
      <c r="C5" s="20">
        <v>47.0</v>
      </c>
      <c r="D5" s="21"/>
      <c r="E5" s="11">
        <f>IF(J5="","", C5 * IFERROR(VLOOKUP(J5, SETUP!$A:$D, 3, FALSE), 0))</f>
        <v>28.2</v>
      </c>
      <c r="F5" s="11">
        <f>IF(J5="","", C5 * IFERROR(VLOOKUP(J5, SETUP!$A:$D, 4, FALSE), 0))</f>
        <v>18.8</v>
      </c>
      <c r="G5" s="11">
        <f t="shared" si="1"/>
        <v>18.8</v>
      </c>
      <c r="H5" s="22"/>
      <c r="I5" s="11"/>
      <c r="J5" s="17" t="str">
        <f>IF(TRIM(B5)="","",IF(ISNUMBER(SEARCH(" - ",B5)),TRIM(RIGHT(B5,LEN(B5)-FIND(" - ",B5)-2)),IFERROR(VLOOKUP(UPPER(TRIM(B5)), SETUP!$B$4:$C$11, 2, FALSE), UPPER(TRIM(B5)))))</f>
        <v>RYAN</v>
      </c>
      <c r="K5" s="23">
        <f t="shared" si="2"/>
        <v>46048</v>
      </c>
      <c r="L5" s="17">
        <f t="shared" si="3"/>
        <v>46054</v>
      </c>
      <c r="M5" s="17" t="str">
        <f t="shared" si="4"/>
        <v>2026-02</v>
      </c>
    </row>
    <row r="6">
      <c r="A6" s="19">
        <v>46054.0</v>
      </c>
      <c r="B6" s="20" t="s">
        <v>17</v>
      </c>
      <c r="C6" s="20">
        <v>57.0</v>
      </c>
      <c r="D6" s="21"/>
      <c r="E6" s="11">
        <f>IF(J6="","", C6 * IFERROR(VLOOKUP(J6, SETUP!$A:$D, 3, FALSE), 0))</f>
        <v>34.2</v>
      </c>
      <c r="F6" s="11">
        <f>IF(J6="","", C6 * IFERROR(VLOOKUP(J6, SETUP!$A:$D, 4, FALSE), 0))</f>
        <v>22.8</v>
      </c>
      <c r="G6" s="11">
        <f t="shared" si="1"/>
        <v>22.8</v>
      </c>
      <c r="H6" s="22"/>
      <c r="I6" s="11"/>
      <c r="J6" s="17" t="str">
        <f>IF(TRIM(B6)="","",IF(ISNUMBER(SEARCH(" - ",B6)),TRIM(RIGHT(B6,LEN(B6)-FIND(" - ",B6)-2)),IFERROR(VLOOKUP(UPPER(TRIM(B6)), SETUP!$B$4:$C$11, 2, FALSE), UPPER(TRIM(B6)))))</f>
        <v>RYAN</v>
      </c>
      <c r="K6" s="23">
        <f t="shared" si="2"/>
        <v>46048</v>
      </c>
      <c r="L6" s="17">
        <f t="shared" si="3"/>
        <v>46054</v>
      </c>
      <c r="M6" s="17" t="str">
        <f t="shared" si="4"/>
        <v>2026-02</v>
      </c>
    </row>
    <row r="7">
      <c r="A7" s="19">
        <v>46054.0</v>
      </c>
      <c r="B7" s="20" t="s">
        <v>17</v>
      </c>
      <c r="C7" s="20">
        <v>70.0</v>
      </c>
      <c r="D7" s="21"/>
      <c r="E7" s="11">
        <f>IF(J7="","", C7 * IFERROR(VLOOKUP(J7, SETUP!$A:$D, 3, FALSE), 0))</f>
        <v>42</v>
      </c>
      <c r="F7" s="11">
        <f>IF(J7="","", C7 * IFERROR(VLOOKUP(J7, SETUP!$A:$D, 4, FALSE), 0))</f>
        <v>28</v>
      </c>
      <c r="G7" s="11">
        <f t="shared" si="1"/>
        <v>28</v>
      </c>
      <c r="H7" s="22"/>
      <c r="I7" s="11"/>
      <c r="J7" s="17" t="str">
        <f>IF(TRIM(B7)="","",IF(ISNUMBER(SEARCH(" - ",B7)),TRIM(RIGHT(B7,LEN(B7)-FIND(" - ",B7)-2)),IFERROR(VLOOKUP(UPPER(TRIM(B7)), SETUP!$B$4:$C$11, 2, FALSE), UPPER(TRIM(B7)))))</f>
        <v>RYAN</v>
      </c>
      <c r="K7" s="23">
        <f t="shared" si="2"/>
        <v>46048</v>
      </c>
      <c r="L7" s="17">
        <f t="shared" si="3"/>
        <v>46054</v>
      </c>
      <c r="M7" s="17" t="str">
        <f t="shared" si="4"/>
        <v>2026-02</v>
      </c>
    </row>
    <row r="8">
      <c r="A8" s="19">
        <v>46054.0</v>
      </c>
      <c r="B8" s="20" t="s">
        <v>17</v>
      </c>
      <c r="C8" s="20">
        <v>65.0</v>
      </c>
      <c r="D8" s="21"/>
      <c r="E8" s="11">
        <f>IF(J8="","", C8 * IFERROR(VLOOKUP(J8, SETUP!$A:$D, 3, FALSE), 0))</f>
        <v>39</v>
      </c>
      <c r="F8" s="11">
        <f>IF(J8="","", C8 * IFERROR(VLOOKUP(J8, SETUP!$A:$D, 4, FALSE), 0))</f>
        <v>26</v>
      </c>
      <c r="G8" s="11">
        <f t="shared" si="1"/>
        <v>26</v>
      </c>
      <c r="H8" s="22"/>
      <c r="I8" s="11"/>
      <c r="J8" s="17" t="str">
        <f>IF(TRIM(B8)="","",IF(ISNUMBER(SEARCH(" - ",B8)),TRIM(RIGHT(B8,LEN(B8)-FIND(" - ",B8)-2)),IFERROR(VLOOKUP(UPPER(TRIM(B8)), SETUP!$B$4:$C$11, 2, FALSE), UPPER(TRIM(B8)))))</f>
        <v>RYAN</v>
      </c>
      <c r="K8" s="23">
        <f t="shared" si="2"/>
        <v>46048</v>
      </c>
      <c r="L8" s="17">
        <f t="shared" si="3"/>
        <v>46054</v>
      </c>
      <c r="M8" s="17" t="str">
        <f t="shared" si="4"/>
        <v>2026-02</v>
      </c>
    </row>
    <row r="9">
      <c r="A9" s="19">
        <v>46054.0</v>
      </c>
      <c r="B9" s="20" t="s">
        <v>17</v>
      </c>
      <c r="C9" s="20">
        <v>67.0</v>
      </c>
      <c r="D9" s="20">
        <v>15.0</v>
      </c>
      <c r="E9" s="11">
        <f>IF(J9="","", C9 * IFERROR(VLOOKUP(J9, SETUP!$A:$D, 3, FALSE), 0))</f>
        <v>40.2</v>
      </c>
      <c r="F9" s="11">
        <f>IF(J9="","", C9 * IFERROR(VLOOKUP(J9, SETUP!$A:$D, 4, FALSE), 0))</f>
        <v>26.8</v>
      </c>
      <c r="G9" s="11">
        <f t="shared" si="1"/>
        <v>26.8</v>
      </c>
      <c r="H9" s="22"/>
      <c r="I9" s="11"/>
      <c r="J9" s="17" t="str">
        <f>IF(TRIM(B9)="","",IF(ISNUMBER(SEARCH(" - ",B9)),TRIM(RIGHT(B9,LEN(B9)-FIND(" - ",B9)-2)),IFERROR(VLOOKUP(UPPER(TRIM(B9)), SETUP!$B$4:$C$11, 2, FALSE), UPPER(TRIM(B9)))))</f>
        <v>RYAN</v>
      </c>
      <c r="K9" s="23">
        <f t="shared" si="2"/>
        <v>46048</v>
      </c>
      <c r="L9" s="17">
        <f t="shared" si="3"/>
        <v>46054</v>
      </c>
      <c r="M9" s="17" t="str">
        <f t="shared" si="4"/>
        <v>2026-02</v>
      </c>
    </row>
    <row r="10">
      <c r="A10" s="19">
        <v>46054.0</v>
      </c>
      <c r="B10" s="20" t="s">
        <v>18</v>
      </c>
      <c r="C10" s="20">
        <v>40.0</v>
      </c>
      <c r="D10" s="20">
        <v>6.0</v>
      </c>
      <c r="E10" s="11">
        <f>IF(J10="","", C10 * IFERROR(VLOOKUP(J10, SETUP!$A:$D, 3, FALSE), 0))</f>
        <v>20</v>
      </c>
      <c r="F10" s="11">
        <f>IF(J10="","", C10 * IFERROR(VLOOKUP(J10, SETUP!$A:$D, 4, FALSE), 0))</f>
        <v>20</v>
      </c>
      <c r="G10" s="11">
        <f t="shared" si="1"/>
        <v>20</v>
      </c>
      <c r="H10" s="22"/>
      <c r="I10" s="11"/>
      <c r="J10" s="17" t="str">
        <f>IF(TRIM(B10)="","",IF(ISNUMBER(SEARCH(" - ",B10)),TRIM(RIGHT(B10,LEN(B10)-FIND(" - ",B10)-2)),IFERROR(VLOOKUP(UPPER(TRIM(B10)), SETUP!$B$4:$C$11, 2, FALSE), UPPER(TRIM(B10)))))</f>
        <v>CRIS</v>
      </c>
      <c r="K10" s="23">
        <f t="shared" si="2"/>
        <v>46048</v>
      </c>
      <c r="L10" s="17">
        <f t="shared" si="3"/>
        <v>46054</v>
      </c>
      <c r="M10" s="17" t="str">
        <f t="shared" si="4"/>
        <v>2026-02</v>
      </c>
    </row>
    <row r="11">
      <c r="A11" s="19">
        <v>46054.0</v>
      </c>
      <c r="B11" s="20" t="s">
        <v>18</v>
      </c>
      <c r="C11" s="20">
        <v>40.0</v>
      </c>
      <c r="D11" s="20">
        <v>12.0</v>
      </c>
      <c r="E11" s="11">
        <f>IF(J11="","", C11 * IFERROR(VLOOKUP(J11, SETUP!$A:$D, 3, FALSE), 0))</f>
        <v>20</v>
      </c>
      <c r="F11" s="11">
        <f>IF(J11="","", C11 * IFERROR(VLOOKUP(J11, SETUP!$A:$D, 4, FALSE), 0))</f>
        <v>20</v>
      </c>
      <c r="G11" s="11">
        <f t="shared" si="1"/>
        <v>20</v>
      </c>
      <c r="H11" s="22"/>
      <c r="I11" s="11"/>
      <c r="J11" s="17" t="str">
        <f>IF(TRIM(B11)="","",IF(ISNUMBER(SEARCH(" - ",B11)),TRIM(RIGHT(B11,LEN(B11)-FIND(" - ",B11)-2)),IFERROR(VLOOKUP(UPPER(TRIM(B11)), SETUP!$B$4:$C$11, 2, FALSE), UPPER(TRIM(B11)))))</f>
        <v>CRIS</v>
      </c>
      <c r="K11" s="23">
        <f t="shared" si="2"/>
        <v>46048</v>
      </c>
      <c r="L11" s="17">
        <f t="shared" si="3"/>
        <v>46054</v>
      </c>
      <c r="M11" s="17" t="str">
        <f t="shared" si="4"/>
        <v>2026-02</v>
      </c>
    </row>
    <row r="12">
      <c r="A12" s="19">
        <v>46054.0</v>
      </c>
      <c r="B12" s="20" t="s">
        <v>18</v>
      </c>
      <c r="C12" s="20">
        <v>50.0</v>
      </c>
      <c r="D12" s="21"/>
      <c r="E12" s="11">
        <f>IF(J12="","", C12 * IFERROR(VLOOKUP(J12, SETUP!$A:$D, 3, FALSE), 0))</f>
        <v>25</v>
      </c>
      <c r="F12" s="11">
        <f>IF(J12="","", C12 * IFERROR(VLOOKUP(J12, SETUP!$A:$D, 4, FALSE), 0))</f>
        <v>25</v>
      </c>
      <c r="G12" s="11">
        <f t="shared" si="1"/>
        <v>25</v>
      </c>
      <c r="H12" s="22"/>
      <c r="I12" s="11"/>
      <c r="J12" s="17" t="str">
        <f>IF(TRIM(B12)="","",IF(ISNUMBER(SEARCH(" - ",B12)),TRIM(RIGHT(B12,LEN(B12)-FIND(" - ",B12)-2)),IFERROR(VLOOKUP(UPPER(TRIM(B12)), SETUP!$B$4:$C$11, 2, FALSE), UPPER(TRIM(B12)))))</f>
        <v>CRIS</v>
      </c>
      <c r="K12" s="23">
        <f t="shared" si="2"/>
        <v>46048</v>
      </c>
      <c r="L12" s="17">
        <f t="shared" si="3"/>
        <v>46054</v>
      </c>
      <c r="M12" s="17" t="str">
        <f t="shared" si="4"/>
        <v>2026-02</v>
      </c>
    </row>
    <row r="13">
      <c r="A13" s="19">
        <v>46054.0</v>
      </c>
      <c r="B13" s="20" t="s">
        <v>18</v>
      </c>
      <c r="C13" s="20">
        <v>50.0</v>
      </c>
      <c r="D13" s="21"/>
      <c r="E13" s="11">
        <f>IF(J13="","", C13 * IFERROR(VLOOKUP(J13, SETUP!$A:$D, 3, FALSE), 0))</f>
        <v>25</v>
      </c>
      <c r="F13" s="11">
        <f>IF(J13="","", C13 * IFERROR(VLOOKUP(J13, SETUP!$A:$D, 4, FALSE), 0))</f>
        <v>25</v>
      </c>
      <c r="G13" s="11">
        <f t="shared" si="1"/>
        <v>25</v>
      </c>
      <c r="H13" s="22"/>
      <c r="I13" s="11"/>
      <c r="J13" s="17" t="str">
        <f>IF(TRIM(B13)="","",IF(ISNUMBER(SEARCH(" - ",B13)),TRIM(RIGHT(B13,LEN(B13)-FIND(" - ",B13)-2)),IFERROR(VLOOKUP(UPPER(TRIM(B13)), SETUP!$B$4:$C$11, 2, FALSE), UPPER(TRIM(B13)))))</f>
        <v>CRIS</v>
      </c>
      <c r="K13" s="23">
        <f t="shared" si="2"/>
        <v>46048</v>
      </c>
      <c r="L13" s="17">
        <f t="shared" si="3"/>
        <v>46054</v>
      </c>
      <c r="M13" s="17" t="str">
        <f t="shared" si="4"/>
        <v>2026-02</v>
      </c>
    </row>
    <row r="14">
      <c r="A14" s="19">
        <v>46054.0</v>
      </c>
      <c r="B14" s="20" t="s">
        <v>18</v>
      </c>
      <c r="C14" s="20">
        <v>40.0</v>
      </c>
      <c r="D14" s="21"/>
      <c r="E14" s="11">
        <f>IF(J14="","", C14 * IFERROR(VLOOKUP(J14, SETUP!$A:$D, 3, FALSE), 0))</f>
        <v>20</v>
      </c>
      <c r="F14" s="11">
        <f>IF(J14="","", C14 * IFERROR(VLOOKUP(J14, SETUP!$A:$D, 4, FALSE), 0))</f>
        <v>20</v>
      </c>
      <c r="G14" s="11">
        <f t="shared" si="1"/>
        <v>20</v>
      </c>
      <c r="H14" s="22"/>
      <c r="I14" s="11"/>
      <c r="J14" s="17" t="str">
        <f>IF(TRIM(B14)="","",IF(ISNUMBER(SEARCH(" - ",B14)),TRIM(RIGHT(B14,LEN(B14)-FIND(" - ",B14)-2)),IFERROR(VLOOKUP(UPPER(TRIM(B14)), SETUP!$B$4:$C$11, 2, FALSE), UPPER(TRIM(B14)))))</f>
        <v>CRIS</v>
      </c>
      <c r="K14" s="23">
        <f t="shared" si="2"/>
        <v>46048</v>
      </c>
      <c r="L14" s="17">
        <f t="shared" si="3"/>
        <v>46054</v>
      </c>
      <c r="M14" s="17" t="str">
        <f t="shared" si="4"/>
        <v>2026-02</v>
      </c>
    </row>
    <row r="15">
      <c r="A15" s="19">
        <v>46054.0</v>
      </c>
      <c r="B15" s="20" t="s">
        <v>18</v>
      </c>
      <c r="C15" s="20">
        <v>40.0</v>
      </c>
      <c r="D15" s="21"/>
      <c r="E15" s="11">
        <f>IF(J15="","", C15 * IFERROR(VLOOKUP(J15, SETUP!$A:$D, 3, FALSE), 0))</f>
        <v>20</v>
      </c>
      <c r="F15" s="11">
        <f>IF(J15="","", C15 * IFERROR(VLOOKUP(J15, SETUP!$A:$D, 4, FALSE), 0))</f>
        <v>20</v>
      </c>
      <c r="G15" s="11">
        <f t="shared" si="1"/>
        <v>20</v>
      </c>
      <c r="H15" s="22"/>
      <c r="I15" s="11"/>
      <c r="J15" s="17" t="str">
        <f>IF(TRIM(B15)="","",IF(ISNUMBER(SEARCH(" - ",B15)),TRIM(RIGHT(B15,LEN(B15)-FIND(" - ",B15)-2)),IFERROR(VLOOKUP(UPPER(TRIM(B15)), SETUP!$B$4:$C$11, 2, FALSE), UPPER(TRIM(B15)))))</f>
        <v>CRIS</v>
      </c>
      <c r="K15" s="23">
        <f t="shared" si="2"/>
        <v>46048</v>
      </c>
      <c r="L15" s="17">
        <f t="shared" si="3"/>
        <v>46054</v>
      </c>
      <c r="M15" s="17" t="str">
        <f t="shared" si="4"/>
        <v>2026-02</v>
      </c>
    </row>
    <row r="16">
      <c r="A16" s="19">
        <v>46054.0</v>
      </c>
      <c r="B16" s="20" t="s">
        <v>19</v>
      </c>
      <c r="C16" s="20">
        <v>55.0</v>
      </c>
      <c r="D16" s="21"/>
      <c r="E16" s="11">
        <f>IF(J16="","", C16 * IFERROR(VLOOKUP(J16, SETUP!$A:$D, 3, FALSE), 0))</f>
        <v>0</v>
      </c>
      <c r="F16" s="11">
        <f>IF(J16="","", C16 * IFERROR(VLOOKUP(J16, SETUP!$A:$D, 4, FALSE), 0))</f>
        <v>55</v>
      </c>
      <c r="G16" s="11">
        <f t="shared" si="1"/>
        <v>55</v>
      </c>
      <c r="H16" s="22"/>
      <c r="I16" s="11"/>
      <c r="J16" s="17" t="str">
        <f>IF(TRIM(B16)="","",IF(ISNUMBER(SEARCH(" - ",B16)),TRIM(RIGHT(B16,LEN(B16)-FIND(" - ",B16)-2)),IFERROR(VLOOKUP(UPPER(TRIM(B16)), SETUP!$B$4:$C$11, 2, FALSE), UPPER(TRIM(B16)))))</f>
        <v>HANNI</v>
      </c>
      <c r="K16" s="23">
        <f t="shared" si="2"/>
        <v>46048</v>
      </c>
      <c r="L16" s="17">
        <f t="shared" si="3"/>
        <v>46054</v>
      </c>
      <c r="M16" s="17" t="str">
        <f t="shared" si="4"/>
        <v>2026-02</v>
      </c>
    </row>
    <row r="17">
      <c r="A17" s="19">
        <v>46054.0</v>
      </c>
      <c r="B17" s="20" t="s">
        <v>19</v>
      </c>
      <c r="C17" s="20">
        <v>57.0</v>
      </c>
      <c r="D17" s="21"/>
      <c r="E17" s="11">
        <f>IF(J17="","", C17 * IFERROR(VLOOKUP(J17, SETUP!$A:$D, 3, FALSE), 0))</f>
        <v>0</v>
      </c>
      <c r="F17" s="11">
        <f>IF(J17="","", C17 * IFERROR(VLOOKUP(J17, SETUP!$A:$D, 4, FALSE), 0))</f>
        <v>57</v>
      </c>
      <c r="G17" s="11">
        <f t="shared" si="1"/>
        <v>57</v>
      </c>
      <c r="H17" s="22"/>
      <c r="I17" s="11"/>
      <c r="J17" s="17" t="str">
        <f>IF(TRIM(B17)="","",IF(ISNUMBER(SEARCH(" - ",B17)),TRIM(RIGHT(B17,LEN(B17)-FIND(" - ",B17)-2)),IFERROR(VLOOKUP(UPPER(TRIM(B17)), SETUP!$B$4:$C$11, 2, FALSE), UPPER(TRIM(B17)))))</f>
        <v>HANNI</v>
      </c>
      <c r="K17" s="23">
        <f t="shared" si="2"/>
        <v>46048</v>
      </c>
      <c r="L17" s="17">
        <f t="shared" si="3"/>
        <v>46054</v>
      </c>
      <c r="M17" s="17" t="str">
        <f t="shared" si="4"/>
        <v>2026-02</v>
      </c>
    </row>
    <row r="18">
      <c r="A18" s="19">
        <v>46054.0</v>
      </c>
      <c r="B18" s="20" t="s">
        <v>19</v>
      </c>
      <c r="C18" s="20">
        <v>52.0</v>
      </c>
      <c r="D18" s="21"/>
      <c r="E18" s="11">
        <f>IF(J18="","", C18 * IFERROR(VLOOKUP(J18, SETUP!$A:$D, 3, FALSE), 0))</f>
        <v>0</v>
      </c>
      <c r="F18" s="11">
        <f>IF(J18="","", C18 * IFERROR(VLOOKUP(J18, SETUP!$A:$D, 4, FALSE), 0))</f>
        <v>52</v>
      </c>
      <c r="G18" s="11">
        <f t="shared" si="1"/>
        <v>52</v>
      </c>
      <c r="H18" s="22"/>
      <c r="I18" s="11"/>
      <c r="J18" s="17" t="str">
        <f>IF(TRIM(B18)="","",IF(ISNUMBER(SEARCH(" - ",B18)),TRIM(RIGHT(B18,LEN(B18)-FIND(" - ",B18)-2)),IFERROR(VLOOKUP(UPPER(TRIM(B18)), SETUP!$B$4:$C$11, 2, FALSE), UPPER(TRIM(B18)))))</f>
        <v>HANNI</v>
      </c>
      <c r="K18" s="23">
        <f t="shared" si="2"/>
        <v>46048</v>
      </c>
      <c r="L18" s="17">
        <f t="shared" si="3"/>
        <v>46054</v>
      </c>
      <c r="M18" s="17" t="str">
        <f t="shared" si="4"/>
        <v>2026-02</v>
      </c>
    </row>
    <row r="19">
      <c r="A19" s="19">
        <v>46054.0</v>
      </c>
      <c r="B19" s="20" t="s">
        <v>20</v>
      </c>
      <c r="C19" s="20">
        <v>65.0</v>
      </c>
      <c r="D19" s="21"/>
      <c r="E19" s="11">
        <f>IF(J19="","", C19 * IFERROR(VLOOKUP(J19, SETUP!$A:$D, 3, FALSE), 0))</f>
        <v>39</v>
      </c>
      <c r="F19" s="11">
        <f>IF(J19="","", C19 * IFERROR(VLOOKUP(J19, SETUP!$A:$D, 4, FALSE), 0))</f>
        <v>26</v>
      </c>
      <c r="G19" s="11">
        <f t="shared" si="1"/>
        <v>26</v>
      </c>
      <c r="H19" s="22"/>
      <c r="I19" s="11"/>
      <c r="J19" s="17" t="str">
        <f>IF(TRIM(B19)="","",IF(ISNUMBER(SEARCH(" - ",B19)),TRIM(RIGHT(B19,LEN(B19)-FIND(" - ",B19)-2)),IFERROR(VLOOKUP(UPPER(TRIM(B19)), SETUP!$B$4:$C$11, 2, FALSE), UPPER(TRIM(B19)))))</f>
        <v>AMY</v>
      </c>
      <c r="K19" s="23">
        <f t="shared" si="2"/>
        <v>46048</v>
      </c>
      <c r="L19" s="17">
        <f t="shared" si="3"/>
        <v>46054</v>
      </c>
      <c r="M19" s="17" t="str">
        <f t="shared" si="4"/>
        <v>2026-02</v>
      </c>
    </row>
    <row r="20">
      <c r="A20" s="19">
        <v>46054.0</v>
      </c>
      <c r="B20" s="20" t="s">
        <v>20</v>
      </c>
      <c r="C20" s="20">
        <v>107.0</v>
      </c>
      <c r="D20" s="20">
        <v>12.0</v>
      </c>
      <c r="E20" s="11">
        <f>IF(J20="","", C20 * IFERROR(VLOOKUP(J20, SETUP!$A:$D, 3, FALSE), 0))</f>
        <v>64.2</v>
      </c>
      <c r="F20" s="11">
        <f>IF(J20="","", C20 * IFERROR(VLOOKUP(J20, SETUP!$A:$D, 4, FALSE), 0))</f>
        <v>42.8</v>
      </c>
      <c r="G20" s="11">
        <f t="shared" si="1"/>
        <v>42.8</v>
      </c>
      <c r="H20" s="22"/>
      <c r="I20" s="11"/>
      <c r="J20" s="17" t="str">
        <f>IF(TRIM(B20)="","",IF(ISNUMBER(SEARCH(" - ",B20)),TRIM(RIGHT(B20,LEN(B20)-FIND(" - ",B20)-2)),IFERROR(VLOOKUP(UPPER(TRIM(B20)), SETUP!$B$4:$C$11, 2, FALSE), UPPER(TRIM(B20)))))</f>
        <v>AMY</v>
      </c>
      <c r="K20" s="23">
        <f t="shared" si="2"/>
        <v>46048</v>
      </c>
      <c r="L20" s="17">
        <f t="shared" si="3"/>
        <v>46054</v>
      </c>
      <c r="M20" s="17" t="str">
        <f t="shared" si="4"/>
        <v>2026-02</v>
      </c>
    </row>
    <row r="21" ht="15.75" customHeight="1">
      <c r="A21" s="19">
        <v>46054.0</v>
      </c>
      <c r="B21" s="20" t="s">
        <v>20</v>
      </c>
      <c r="C21" s="20">
        <v>72.0</v>
      </c>
      <c r="D21" s="20">
        <v>7.0</v>
      </c>
      <c r="E21" s="11">
        <f>IF(J21="","", C21 * IFERROR(VLOOKUP(J21, SETUP!$A:$D, 3, FALSE), 0))</f>
        <v>43.2</v>
      </c>
      <c r="F21" s="11">
        <f>IF(J21="","", C21 * IFERROR(VLOOKUP(J21, SETUP!$A:$D, 4, FALSE), 0))</f>
        <v>28.8</v>
      </c>
      <c r="G21" s="11">
        <f t="shared" si="1"/>
        <v>28.8</v>
      </c>
      <c r="H21" s="22"/>
      <c r="I21" s="11"/>
      <c r="J21" s="17" t="str">
        <f>IF(TRIM(B21)="","",IF(ISNUMBER(SEARCH(" - ",B21)),TRIM(RIGHT(B21,LEN(B21)-FIND(" - ",B21)-2)),IFERROR(VLOOKUP(UPPER(TRIM(B21)), SETUP!$B$4:$C$11, 2, FALSE), UPPER(TRIM(B21)))))</f>
        <v>AMY</v>
      </c>
      <c r="K21" s="23">
        <f t="shared" si="2"/>
        <v>46048</v>
      </c>
      <c r="L21" s="17">
        <f t="shared" si="3"/>
        <v>46054</v>
      </c>
      <c r="M21" s="17" t="str">
        <f t="shared" si="4"/>
        <v>2026-02</v>
      </c>
    </row>
    <row r="22" ht="15.75" customHeight="1">
      <c r="A22" s="19">
        <v>46054.0</v>
      </c>
      <c r="B22" s="20" t="s">
        <v>20</v>
      </c>
      <c r="C22" s="20">
        <v>67.0</v>
      </c>
      <c r="D22" s="21"/>
      <c r="E22" s="11">
        <f>IF(J22="","", C22 * IFERROR(VLOOKUP(J22, SETUP!$A:$D, 3, FALSE), 0))</f>
        <v>40.2</v>
      </c>
      <c r="F22" s="11">
        <f>IF(J22="","", C22 * IFERROR(VLOOKUP(J22, SETUP!$A:$D, 4, FALSE), 0))</f>
        <v>26.8</v>
      </c>
      <c r="G22" s="11">
        <f t="shared" si="1"/>
        <v>26.8</v>
      </c>
      <c r="H22" s="22"/>
      <c r="I22" s="11"/>
      <c r="J22" s="17" t="str">
        <f>IF(TRIM(B22)="","",IF(ISNUMBER(SEARCH(" - ",B22)),TRIM(RIGHT(B22,LEN(B22)-FIND(" - ",B22)-2)),IFERROR(VLOOKUP(UPPER(TRIM(B22)), SETUP!$B$4:$C$11, 2, FALSE), UPPER(TRIM(B22)))))</f>
        <v>AMY</v>
      </c>
      <c r="K22" s="23">
        <f t="shared" si="2"/>
        <v>46048</v>
      </c>
      <c r="L22" s="17">
        <f t="shared" si="3"/>
        <v>46054</v>
      </c>
      <c r="M22" s="17" t="str">
        <f t="shared" si="4"/>
        <v>2026-02</v>
      </c>
    </row>
    <row r="23" ht="15.75" customHeight="1">
      <c r="A23" s="19">
        <v>46055.0</v>
      </c>
      <c r="B23" s="20" t="s">
        <v>17</v>
      </c>
      <c r="C23" s="20">
        <v>40.0</v>
      </c>
      <c r="D23" s="21"/>
      <c r="E23" s="11">
        <f>IF(J23="","", C23 * IFERROR(VLOOKUP(J23, SETUP!$A:$D, 3, FALSE), 0))</f>
        <v>24</v>
      </c>
      <c r="F23" s="11">
        <f>IF(J23="","", C23 * IFERROR(VLOOKUP(J23, SETUP!$A:$D, 4, FALSE), 0))</f>
        <v>16</v>
      </c>
      <c r="G23" s="11">
        <f t="shared" si="1"/>
        <v>16</v>
      </c>
      <c r="H23" s="22"/>
      <c r="I23" s="11"/>
      <c r="J23" s="17" t="str">
        <f>IF(TRIM(B23)="","",IF(ISNUMBER(SEARCH(" - ",B23)),TRIM(RIGHT(B23,LEN(B23)-FIND(" - ",B23)-2)),IFERROR(VLOOKUP(UPPER(TRIM(B23)), SETUP!$B$4:$C$11, 2, FALSE), UPPER(TRIM(B23)))))</f>
        <v>RYAN</v>
      </c>
      <c r="K23" s="23">
        <f t="shared" si="2"/>
        <v>46055</v>
      </c>
      <c r="L23" s="17">
        <f t="shared" si="3"/>
        <v>46055</v>
      </c>
      <c r="M23" s="17" t="str">
        <f t="shared" si="4"/>
        <v>2026-02</v>
      </c>
    </row>
    <row r="24" ht="15.75" customHeight="1">
      <c r="A24" s="19">
        <v>46055.0</v>
      </c>
      <c r="B24" s="20" t="s">
        <v>17</v>
      </c>
      <c r="C24" s="20">
        <v>127.0</v>
      </c>
      <c r="D24" s="21"/>
      <c r="E24" s="11">
        <f>IF(J24="","", C24 * IFERROR(VLOOKUP(J24, SETUP!$A:$D, 3, FALSE), 0))</f>
        <v>76.2</v>
      </c>
      <c r="F24" s="11">
        <f>IF(J24="","", C24 * IFERROR(VLOOKUP(J24, SETUP!$A:$D, 4, FALSE), 0))</f>
        <v>50.8</v>
      </c>
      <c r="G24" s="11">
        <f t="shared" si="1"/>
        <v>50.8</v>
      </c>
      <c r="H24" s="22"/>
      <c r="I24" s="11"/>
      <c r="J24" s="17" t="str">
        <f>IF(TRIM(B24)="","",IF(ISNUMBER(SEARCH(" - ",B24)),TRIM(RIGHT(B24,LEN(B24)-FIND(" - ",B24)-2)),IFERROR(VLOOKUP(UPPER(TRIM(B24)), SETUP!$B$4:$C$11, 2, FALSE), UPPER(TRIM(B24)))))</f>
        <v>RYAN</v>
      </c>
      <c r="K24" s="23">
        <f t="shared" si="2"/>
        <v>46055</v>
      </c>
      <c r="L24" s="17">
        <f t="shared" si="3"/>
        <v>46055</v>
      </c>
      <c r="M24" s="17" t="str">
        <f t="shared" si="4"/>
        <v>2026-02</v>
      </c>
    </row>
    <row r="25" ht="15.75" customHeight="1">
      <c r="A25" s="19">
        <v>46055.0</v>
      </c>
      <c r="B25" s="20" t="s">
        <v>17</v>
      </c>
      <c r="C25" s="20">
        <v>67.0</v>
      </c>
      <c r="D25" s="21"/>
      <c r="E25" s="11">
        <f>IF(J25="","", C25 * IFERROR(VLOOKUP(J25, SETUP!$A:$D, 3, FALSE), 0))</f>
        <v>40.2</v>
      </c>
      <c r="F25" s="11">
        <f>IF(J25="","", C25 * IFERROR(VLOOKUP(J25, SETUP!$A:$D, 4, FALSE), 0))</f>
        <v>26.8</v>
      </c>
      <c r="G25" s="11">
        <f t="shared" si="1"/>
        <v>26.8</v>
      </c>
      <c r="H25" s="22"/>
      <c r="I25" s="11"/>
      <c r="J25" s="17" t="str">
        <f>IF(TRIM(B25)="","",IF(ISNUMBER(SEARCH(" - ",B25)),TRIM(RIGHT(B25,LEN(B25)-FIND(" - ",B25)-2)),IFERROR(VLOOKUP(UPPER(TRIM(B25)), SETUP!$B$4:$C$11, 2, FALSE), UPPER(TRIM(B25)))))</f>
        <v>RYAN</v>
      </c>
      <c r="K25" s="23">
        <f t="shared" si="2"/>
        <v>46055</v>
      </c>
      <c r="L25" s="17">
        <f t="shared" si="3"/>
        <v>46055</v>
      </c>
      <c r="M25" s="17" t="str">
        <f t="shared" si="4"/>
        <v>2026-02</v>
      </c>
    </row>
    <row r="26" ht="15.75" customHeight="1">
      <c r="A26" s="19">
        <v>46055.0</v>
      </c>
      <c r="B26" s="20" t="s">
        <v>17</v>
      </c>
      <c r="C26" s="20">
        <v>47.0</v>
      </c>
      <c r="D26" s="20">
        <v>7.0</v>
      </c>
      <c r="E26" s="11">
        <f>IF(J26="","", C26 * IFERROR(VLOOKUP(J26, SETUP!$A:$D, 3, FALSE), 0))</f>
        <v>28.2</v>
      </c>
      <c r="F26" s="11">
        <f>IF(J26="","", C26 * IFERROR(VLOOKUP(J26, SETUP!$A:$D, 4, FALSE), 0))</f>
        <v>18.8</v>
      </c>
      <c r="G26" s="11">
        <f t="shared" si="1"/>
        <v>18.8</v>
      </c>
      <c r="H26" s="22"/>
      <c r="I26" s="11"/>
      <c r="J26" s="17" t="str">
        <f>IF(TRIM(B26)="","",IF(ISNUMBER(SEARCH(" - ",B26)),TRIM(RIGHT(B26,LEN(B26)-FIND(" - ",B26)-2)),IFERROR(VLOOKUP(UPPER(TRIM(B26)), SETUP!$B$4:$C$11, 2, FALSE), UPPER(TRIM(B26)))))</f>
        <v>RYAN</v>
      </c>
      <c r="K26" s="23">
        <f t="shared" si="2"/>
        <v>46055</v>
      </c>
      <c r="L26" s="17">
        <f t="shared" si="3"/>
        <v>46055</v>
      </c>
      <c r="M26" s="17" t="str">
        <f t="shared" si="4"/>
        <v>2026-02</v>
      </c>
    </row>
    <row r="27" ht="15.75" customHeight="1">
      <c r="A27" s="19">
        <v>46055.0</v>
      </c>
      <c r="B27" s="20" t="s">
        <v>17</v>
      </c>
      <c r="C27" s="20">
        <v>47.0</v>
      </c>
      <c r="D27" s="21"/>
      <c r="E27" s="11">
        <f>IF(J27="","", C27 * IFERROR(VLOOKUP(J27, SETUP!$A:$D, 3, FALSE), 0))</f>
        <v>28.2</v>
      </c>
      <c r="F27" s="11">
        <f>IF(J27="","", C27 * IFERROR(VLOOKUP(J27, SETUP!$A:$D, 4, FALSE), 0))</f>
        <v>18.8</v>
      </c>
      <c r="G27" s="11">
        <f t="shared" si="1"/>
        <v>18.8</v>
      </c>
      <c r="H27" s="22"/>
      <c r="I27" s="11"/>
      <c r="J27" s="17" t="str">
        <f>IF(TRIM(B27)="","",IF(ISNUMBER(SEARCH(" - ",B27)),TRIM(RIGHT(B27,LEN(B27)-FIND(" - ",B27)-2)),IFERROR(VLOOKUP(UPPER(TRIM(B27)), SETUP!$B$4:$C$11, 2, FALSE), UPPER(TRIM(B27)))))</f>
        <v>RYAN</v>
      </c>
      <c r="K27" s="23">
        <f t="shared" si="2"/>
        <v>46055</v>
      </c>
      <c r="L27" s="17">
        <f t="shared" si="3"/>
        <v>46055</v>
      </c>
      <c r="M27" s="17" t="str">
        <f t="shared" si="4"/>
        <v>2026-02</v>
      </c>
    </row>
    <row r="28" ht="15.75" customHeight="1">
      <c r="A28" s="19">
        <v>46055.0</v>
      </c>
      <c r="B28" s="20" t="s">
        <v>19</v>
      </c>
      <c r="C28" s="20">
        <v>52.0</v>
      </c>
      <c r="D28" s="21"/>
      <c r="E28" s="11">
        <f>IF(J28="","", C28 * IFERROR(VLOOKUP(J28, SETUP!$A:$D, 3, FALSE), 0))</f>
        <v>0</v>
      </c>
      <c r="F28" s="11">
        <f>IF(J28="","", C28 * IFERROR(VLOOKUP(J28, SETUP!$A:$D, 4, FALSE), 0))</f>
        <v>52</v>
      </c>
      <c r="G28" s="11">
        <f t="shared" si="1"/>
        <v>52</v>
      </c>
      <c r="H28" s="22"/>
      <c r="I28" s="11"/>
      <c r="J28" s="17" t="str">
        <f>IF(TRIM(B28)="","",IF(ISNUMBER(SEARCH(" - ",B28)),TRIM(RIGHT(B28,LEN(B28)-FIND(" - ",B28)-2)),IFERROR(VLOOKUP(UPPER(TRIM(B28)), SETUP!$B$4:$C$11, 2, FALSE), UPPER(TRIM(B28)))))</f>
        <v>HANNI</v>
      </c>
      <c r="K28" s="23">
        <f t="shared" si="2"/>
        <v>46055</v>
      </c>
      <c r="L28" s="17">
        <f t="shared" si="3"/>
        <v>46055</v>
      </c>
      <c r="M28" s="17" t="str">
        <f t="shared" si="4"/>
        <v>2026-02</v>
      </c>
    </row>
    <row r="29" ht="15.75" customHeight="1">
      <c r="A29" s="19">
        <v>46055.0</v>
      </c>
      <c r="B29" s="20" t="s">
        <v>19</v>
      </c>
      <c r="C29" s="20">
        <v>95.0</v>
      </c>
      <c r="D29" s="20">
        <v>15.0</v>
      </c>
      <c r="E29" s="11">
        <f>IF(J29="","", C29 * IFERROR(VLOOKUP(J29, SETUP!$A:$D, 3, FALSE), 0))</f>
        <v>0</v>
      </c>
      <c r="F29" s="11">
        <f>IF(J29="","", C29 * IFERROR(VLOOKUP(J29, SETUP!$A:$D, 4, FALSE), 0))</f>
        <v>95</v>
      </c>
      <c r="G29" s="11">
        <f t="shared" si="1"/>
        <v>95</v>
      </c>
      <c r="H29" s="22"/>
      <c r="I29" s="11"/>
      <c r="J29" s="17" t="str">
        <f>IF(TRIM(B29)="","",IF(ISNUMBER(SEARCH(" - ",B29)),TRIM(RIGHT(B29,LEN(B29)-FIND(" - ",B29)-2)),IFERROR(VLOOKUP(UPPER(TRIM(B29)), SETUP!$B$4:$C$11, 2, FALSE), UPPER(TRIM(B29)))))</f>
        <v>HANNI</v>
      </c>
      <c r="K29" s="23">
        <f t="shared" si="2"/>
        <v>46055</v>
      </c>
      <c r="L29" s="17">
        <f t="shared" si="3"/>
        <v>46055</v>
      </c>
      <c r="M29" s="17" t="str">
        <f t="shared" si="4"/>
        <v>2026-02</v>
      </c>
    </row>
    <row r="30" ht="15.75" customHeight="1">
      <c r="A30" s="19">
        <v>46055.0</v>
      </c>
      <c r="B30" s="20" t="s">
        <v>19</v>
      </c>
      <c r="C30" s="20">
        <v>52.0</v>
      </c>
      <c r="D30" s="20">
        <v>15.0</v>
      </c>
      <c r="E30" s="11">
        <f>IF(J30="","", C30 * IFERROR(VLOOKUP(J30, SETUP!$A:$D, 3, FALSE), 0))</f>
        <v>0</v>
      </c>
      <c r="F30" s="11">
        <f>IF(J30="","", C30 * IFERROR(VLOOKUP(J30, SETUP!$A:$D, 4, FALSE), 0))</f>
        <v>52</v>
      </c>
      <c r="G30" s="11">
        <f t="shared" si="1"/>
        <v>52</v>
      </c>
      <c r="H30" s="22"/>
      <c r="I30" s="11"/>
      <c r="J30" s="17" t="str">
        <f>IF(TRIM(B30)="","",IF(ISNUMBER(SEARCH(" - ",B30)),TRIM(RIGHT(B30,LEN(B30)-FIND(" - ",B30)-2)),IFERROR(VLOOKUP(UPPER(TRIM(B30)), SETUP!$B$4:$C$11, 2, FALSE), UPPER(TRIM(B30)))))</f>
        <v>HANNI</v>
      </c>
      <c r="K30" s="23">
        <f t="shared" si="2"/>
        <v>46055</v>
      </c>
      <c r="L30" s="17">
        <f t="shared" si="3"/>
        <v>46055</v>
      </c>
      <c r="M30" s="17" t="str">
        <f t="shared" si="4"/>
        <v>2026-02</v>
      </c>
    </row>
    <row r="31" ht="15.75" customHeight="1">
      <c r="A31" s="19">
        <v>46055.0</v>
      </c>
      <c r="B31" s="20" t="s">
        <v>19</v>
      </c>
      <c r="C31" s="20">
        <v>47.0</v>
      </c>
      <c r="D31" s="21"/>
      <c r="E31" s="11">
        <f>IF(J31="","", C31 * IFERROR(VLOOKUP(J31, SETUP!$A:$D, 3, FALSE), 0))</f>
        <v>0</v>
      </c>
      <c r="F31" s="11">
        <f>IF(J31="","", C31 * IFERROR(VLOOKUP(J31, SETUP!$A:$D, 4, FALSE), 0))</f>
        <v>47</v>
      </c>
      <c r="G31" s="11">
        <f t="shared" si="1"/>
        <v>47</v>
      </c>
      <c r="H31" s="22"/>
      <c r="I31" s="11"/>
      <c r="J31" s="17" t="str">
        <f>IF(TRIM(B31)="","",IF(ISNUMBER(SEARCH(" - ",B31)),TRIM(RIGHT(B31,LEN(B31)-FIND(" - ",B31)-2)),IFERROR(VLOOKUP(UPPER(TRIM(B31)), SETUP!$B$4:$C$11, 2, FALSE), UPPER(TRIM(B31)))))</f>
        <v>HANNI</v>
      </c>
      <c r="K31" s="23">
        <f t="shared" si="2"/>
        <v>46055</v>
      </c>
      <c r="L31" s="17">
        <f t="shared" si="3"/>
        <v>46055</v>
      </c>
      <c r="M31" s="17" t="str">
        <f t="shared" si="4"/>
        <v>2026-02</v>
      </c>
    </row>
    <row r="32" ht="15.75" customHeight="1">
      <c r="A32" s="19">
        <v>46055.0</v>
      </c>
      <c r="B32" s="20" t="s">
        <v>20</v>
      </c>
      <c r="C32" s="20">
        <v>47.0</v>
      </c>
      <c r="D32" s="21"/>
      <c r="E32" s="11">
        <f>IF(J32="","", C32 * IFERROR(VLOOKUP(J32, SETUP!$A:$D, 3, FALSE), 0))</f>
        <v>28.2</v>
      </c>
      <c r="F32" s="11">
        <f>IF(J32="","", C32 * IFERROR(VLOOKUP(J32, SETUP!$A:$D, 4, FALSE), 0))</f>
        <v>18.8</v>
      </c>
      <c r="G32" s="11">
        <f t="shared" si="1"/>
        <v>18.8</v>
      </c>
      <c r="H32" s="22"/>
      <c r="I32" s="11"/>
      <c r="J32" s="17" t="str">
        <f>IF(TRIM(B32)="","",IF(ISNUMBER(SEARCH(" - ",B32)),TRIM(RIGHT(B32,LEN(B32)-FIND(" - ",B32)-2)),IFERROR(VLOOKUP(UPPER(TRIM(B32)), SETUP!$B$4:$C$11, 2, FALSE), UPPER(TRIM(B32)))))</f>
        <v>AMY</v>
      </c>
      <c r="K32" s="23">
        <f t="shared" si="2"/>
        <v>46055</v>
      </c>
      <c r="L32" s="17">
        <f t="shared" si="3"/>
        <v>46055</v>
      </c>
      <c r="M32" s="17" t="str">
        <f t="shared" si="4"/>
        <v>2026-02</v>
      </c>
    </row>
    <row r="33" ht="15.75" customHeight="1">
      <c r="A33" s="19">
        <v>46055.0</v>
      </c>
      <c r="B33" s="20" t="s">
        <v>20</v>
      </c>
      <c r="C33" s="20">
        <v>57.0</v>
      </c>
      <c r="D33" s="21"/>
      <c r="E33" s="11">
        <f>IF(J33="","", C33 * IFERROR(VLOOKUP(J33, SETUP!$A:$D, 3, FALSE), 0))</f>
        <v>34.2</v>
      </c>
      <c r="F33" s="11">
        <f>IF(J33="","", C33 * IFERROR(VLOOKUP(J33, SETUP!$A:$D, 4, FALSE), 0))</f>
        <v>22.8</v>
      </c>
      <c r="G33" s="11">
        <f t="shared" si="1"/>
        <v>22.8</v>
      </c>
      <c r="H33" s="22"/>
      <c r="I33" s="11"/>
      <c r="J33" s="17" t="str">
        <f>IF(TRIM(B33)="","",IF(ISNUMBER(SEARCH(" - ",B33)),TRIM(RIGHT(B33,LEN(B33)-FIND(" - ",B33)-2)),IFERROR(VLOOKUP(UPPER(TRIM(B33)), SETUP!$B$4:$C$11, 2, FALSE), UPPER(TRIM(B33)))))</f>
        <v>AMY</v>
      </c>
      <c r="K33" s="23">
        <f t="shared" si="2"/>
        <v>46055</v>
      </c>
      <c r="L33" s="17">
        <f t="shared" si="3"/>
        <v>46055</v>
      </c>
      <c r="M33" s="17" t="str">
        <f t="shared" si="4"/>
        <v>2026-02</v>
      </c>
    </row>
    <row r="34" ht="15.75" customHeight="1">
      <c r="A34" s="19">
        <v>46055.0</v>
      </c>
      <c r="B34" s="20" t="s">
        <v>20</v>
      </c>
      <c r="C34" s="20">
        <v>52.0</v>
      </c>
      <c r="D34" s="21"/>
      <c r="E34" s="11">
        <f>IF(J34="","", C34 * IFERROR(VLOOKUP(J34, SETUP!$A:$D, 3, FALSE), 0))</f>
        <v>31.2</v>
      </c>
      <c r="F34" s="11">
        <f>IF(J34="","", C34 * IFERROR(VLOOKUP(J34, SETUP!$A:$D, 4, FALSE), 0))</f>
        <v>20.8</v>
      </c>
      <c r="G34" s="11">
        <f t="shared" si="1"/>
        <v>20.8</v>
      </c>
      <c r="H34" s="22"/>
      <c r="I34" s="11"/>
      <c r="J34" s="17" t="str">
        <f>IF(TRIM(B34)="","",IF(ISNUMBER(SEARCH(" - ",B34)),TRIM(RIGHT(B34,LEN(B34)-FIND(" - ",B34)-2)),IFERROR(VLOOKUP(UPPER(TRIM(B34)), SETUP!$B$4:$C$11, 2, FALSE), UPPER(TRIM(B34)))))</f>
        <v>AMY</v>
      </c>
      <c r="K34" s="23">
        <f t="shared" si="2"/>
        <v>46055</v>
      </c>
      <c r="L34" s="17">
        <f t="shared" si="3"/>
        <v>46055</v>
      </c>
      <c r="M34" s="17" t="str">
        <f t="shared" si="4"/>
        <v>2026-02</v>
      </c>
    </row>
    <row r="35" ht="15.75" customHeight="1">
      <c r="A35" s="19">
        <v>46055.0</v>
      </c>
      <c r="B35" s="20" t="s">
        <v>20</v>
      </c>
      <c r="C35" s="20">
        <v>10.0</v>
      </c>
      <c r="D35" s="21"/>
      <c r="E35" s="11">
        <f>IF(J35="","", C35 * IFERROR(VLOOKUP(J35, SETUP!$A:$D, 3, FALSE), 0))</f>
        <v>6</v>
      </c>
      <c r="F35" s="11">
        <f>IF(J35="","", C35 * IFERROR(VLOOKUP(J35, SETUP!$A:$D, 4, FALSE), 0))</f>
        <v>4</v>
      </c>
      <c r="G35" s="11">
        <f t="shared" si="1"/>
        <v>4</v>
      </c>
      <c r="H35" s="22"/>
      <c r="I35" s="11"/>
      <c r="J35" s="17" t="str">
        <f>IF(TRIM(B35)="","",IF(ISNUMBER(SEARCH(" - ",B35)),TRIM(RIGHT(B35,LEN(B35)-FIND(" - ",B35)-2)),IFERROR(VLOOKUP(UPPER(TRIM(B35)), SETUP!$B$4:$C$11, 2, FALSE), UPPER(TRIM(B35)))))</f>
        <v>AMY</v>
      </c>
      <c r="K35" s="23">
        <f t="shared" si="2"/>
        <v>46055</v>
      </c>
      <c r="L35" s="17">
        <f t="shared" si="3"/>
        <v>46055</v>
      </c>
      <c r="M35" s="17" t="str">
        <f t="shared" si="4"/>
        <v>2026-02</v>
      </c>
    </row>
    <row r="36" ht="15.75" customHeight="1">
      <c r="A36" s="19">
        <v>46055.0</v>
      </c>
      <c r="B36" s="20" t="s">
        <v>20</v>
      </c>
      <c r="C36" s="20">
        <v>62.0</v>
      </c>
      <c r="D36" s="20">
        <v>7.0</v>
      </c>
      <c r="E36" s="11">
        <f>IF(J36="","", C36 * IFERROR(VLOOKUP(J36, SETUP!$A:$D, 3, FALSE), 0))</f>
        <v>37.2</v>
      </c>
      <c r="F36" s="11">
        <f>IF(J36="","", C36 * IFERROR(VLOOKUP(J36, SETUP!$A:$D, 4, FALSE), 0))</f>
        <v>24.8</v>
      </c>
      <c r="G36" s="11">
        <f t="shared" si="1"/>
        <v>24.8</v>
      </c>
      <c r="H36" s="22"/>
      <c r="I36" s="11"/>
      <c r="J36" s="17" t="str">
        <f>IF(TRIM(B36)="","",IF(ISNUMBER(SEARCH(" - ",B36)),TRIM(RIGHT(B36,LEN(B36)-FIND(" - ",B36)-2)),IFERROR(VLOOKUP(UPPER(TRIM(B36)), SETUP!$B$4:$C$11, 2, FALSE), UPPER(TRIM(B36)))))</f>
        <v>AMY</v>
      </c>
      <c r="K36" s="23">
        <f t="shared" si="2"/>
        <v>46055</v>
      </c>
      <c r="L36" s="17">
        <f t="shared" si="3"/>
        <v>46055</v>
      </c>
      <c r="M36" s="17" t="str">
        <f t="shared" si="4"/>
        <v>2026-02</v>
      </c>
    </row>
    <row r="37" ht="15.75" customHeight="1">
      <c r="A37" s="19">
        <v>46055.0</v>
      </c>
      <c r="B37" s="20" t="s">
        <v>20</v>
      </c>
      <c r="C37" s="20">
        <v>40.0</v>
      </c>
      <c r="D37" s="21"/>
      <c r="E37" s="11">
        <f>IF(J37="","", C37 * IFERROR(VLOOKUP(J37, SETUP!$A:$D, 3, FALSE), 0))</f>
        <v>24</v>
      </c>
      <c r="F37" s="11">
        <f>IF(J37="","", C37 * IFERROR(VLOOKUP(J37, SETUP!$A:$D, 4, FALSE), 0))</f>
        <v>16</v>
      </c>
      <c r="G37" s="11">
        <f t="shared" si="1"/>
        <v>16</v>
      </c>
      <c r="H37" s="22"/>
      <c r="I37" s="11"/>
      <c r="J37" s="17" t="str">
        <f>IF(TRIM(B37)="","",IF(ISNUMBER(SEARCH(" - ",B37)),TRIM(RIGHT(B37,LEN(B37)-FIND(" - ",B37)-2)),IFERROR(VLOOKUP(UPPER(TRIM(B37)), SETUP!$B$4:$C$11, 2, FALSE), UPPER(TRIM(B37)))))</f>
        <v>AMY</v>
      </c>
      <c r="K37" s="23">
        <f t="shared" si="2"/>
        <v>46055</v>
      </c>
      <c r="L37" s="17">
        <f t="shared" si="3"/>
        <v>46055</v>
      </c>
      <c r="M37" s="17" t="str">
        <f t="shared" si="4"/>
        <v>2026-02</v>
      </c>
    </row>
    <row r="38" ht="15.75" customHeight="1">
      <c r="A38" s="19">
        <v>46055.0</v>
      </c>
      <c r="B38" s="20" t="s">
        <v>20</v>
      </c>
      <c r="C38" s="20">
        <v>47.0</v>
      </c>
      <c r="D38" s="21"/>
      <c r="E38" s="11">
        <f>IF(J38="","", C38 * IFERROR(VLOOKUP(J38, SETUP!$A:$D, 3, FALSE), 0))</f>
        <v>28.2</v>
      </c>
      <c r="F38" s="11">
        <f>IF(J38="","", C38 * IFERROR(VLOOKUP(J38, SETUP!$A:$D, 4, FALSE), 0))</f>
        <v>18.8</v>
      </c>
      <c r="G38" s="11">
        <f t="shared" si="1"/>
        <v>18.8</v>
      </c>
      <c r="H38" s="22"/>
      <c r="I38" s="11"/>
      <c r="J38" s="17" t="str">
        <f>IF(TRIM(B38)="","",IF(ISNUMBER(SEARCH(" - ",B38)),TRIM(RIGHT(B38,LEN(B38)-FIND(" - ",B38)-2)),IFERROR(VLOOKUP(UPPER(TRIM(B38)), SETUP!$B$4:$C$11, 2, FALSE), UPPER(TRIM(B38)))))</f>
        <v>AMY</v>
      </c>
      <c r="K38" s="23">
        <f t="shared" si="2"/>
        <v>46055</v>
      </c>
      <c r="L38" s="17">
        <f t="shared" si="3"/>
        <v>46055</v>
      </c>
      <c r="M38" s="17" t="str">
        <f t="shared" si="4"/>
        <v>2026-02</v>
      </c>
    </row>
    <row r="39" ht="15.75" customHeight="1">
      <c r="A39" s="19">
        <v>46055.0</v>
      </c>
      <c r="B39" s="20" t="s">
        <v>21</v>
      </c>
      <c r="C39" s="20">
        <v>47.0</v>
      </c>
      <c r="D39" s="21"/>
      <c r="E39" s="11">
        <f>IF(J39="","", C39 * IFERROR(VLOOKUP(J39, SETUP!$A:$D, 3, FALSE), 0))</f>
        <v>28.2</v>
      </c>
      <c r="F39" s="11">
        <f>IF(J39="","", C39 * IFERROR(VLOOKUP(J39, SETUP!$A:$D, 4, FALSE), 0))</f>
        <v>18.8</v>
      </c>
      <c r="G39" s="11">
        <f t="shared" si="1"/>
        <v>18.8</v>
      </c>
      <c r="H39" s="22"/>
      <c r="I39" s="11"/>
      <c r="J39" s="17" t="str">
        <f>IF(TRIM(B39)="","",IF(ISNUMBER(SEARCH(" - ",B39)),TRIM(RIGHT(B39,LEN(B39)-FIND(" - ",B39)-2)),IFERROR(VLOOKUP(UPPER(TRIM(B39)), SETUP!$B$4:$C$11, 2, FALSE), UPPER(TRIM(B39)))))</f>
        <v>TONY</v>
      </c>
      <c r="K39" s="23">
        <f t="shared" si="2"/>
        <v>46055</v>
      </c>
      <c r="L39" s="17">
        <f t="shared" si="3"/>
        <v>46055</v>
      </c>
      <c r="M39" s="17" t="str">
        <f t="shared" si="4"/>
        <v>2026-02</v>
      </c>
    </row>
    <row r="40" ht="15.75" customHeight="1">
      <c r="A40" s="19">
        <v>46055.0</v>
      </c>
      <c r="B40" s="20" t="s">
        <v>21</v>
      </c>
      <c r="C40" s="20">
        <v>70.0</v>
      </c>
      <c r="D40" s="20">
        <v>10.0</v>
      </c>
      <c r="E40" s="11">
        <f>IF(J40="","", C40 * IFERROR(VLOOKUP(J40, SETUP!$A:$D, 3, FALSE), 0))</f>
        <v>42</v>
      </c>
      <c r="F40" s="11">
        <f>IF(J40="","", C40 * IFERROR(VLOOKUP(J40, SETUP!$A:$D, 4, FALSE), 0))</f>
        <v>28</v>
      </c>
      <c r="G40" s="11">
        <f t="shared" si="1"/>
        <v>28</v>
      </c>
      <c r="H40" s="22"/>
      <c r="I40" s="11"/>
      <c r="J40" s="17" t="str">
        <f>IF(TRIM(B40)="","",IF(ISNUMBER(SEARCH(" - ",B40)),TRIM(RIGHT(B40,LEN(B40)-FIND(" - ",B40)-2)),IFERROR(VLOOKUP(UPPER(TRIM(B40)), SETUP!$B$4:$C$11, 2, FALSE), UPPER(TRIM(B40)))))</f>
        <v>TONY</v>
      </c>
      <c r="K40" s="23">
        <f t="shared" si="2"/>
        <v>46055</v>
      </c>
      <c r="L40" s="17">
        <f t="shared" si="3"/>
        <v>46055</v>
      </c>
      <c r="M40" s="17" t="str">
        <f t="shared" si="4"/>
        <v>2026-02</v>
      </c>
    </row>
    <row r="41" ht="15.75" customHeight="1">
      <c r="A41" s="19">
        <v>46055.0</v>
      </c>
      <c r="B41" s="20" t="s">
        <v>21</v>
      </c>
      <c r="C41" s="20">
        <v>62.0</v>
      </c>
      <c r="D41" s="21"/>
      <c r="E41" s="11">
        <f>IF(J41="","", C41 * IFERROR(VLOOKUP(J41, SETUP!$A:$D, 3, FALSE), 0))</f>
        <v>37.2</v>
      </c>
      <c r="F41" s="11">
        <f>IF(J41="","", C41 * IFERROR(VLOOKUP(J41, SETUP!$A:$D, 4, FALSE), 0))</f>
        <v>24.8</v>
      </c>
      <c r="G41" s="11">
        <f t="shared" si="1"/>
        <v>24.8</v>
      </c>
      <c r="H41" s="22"/>
      <c r="I41" s="11"/>
      <c r="J41" s="17" t="str">
        <f>IF(TRIM(B41)="","",IF(ISNUMBER(SEARCH(" - ",B41)),TRIM(RIGHT(B41,LEN(B41)-FIND(" - ",B41)-2)),IFERROR(VLOOKUP(UPPER(TRIM(B41)), SETUP!$B$4:$C$11, 2, FALSE), UPPER(TRIM(B41)))))</f>
        <v>TONY</v>
      </c>
      <c r="K41" s="23">
        <f t="shared" si="2"/>
        <v>46055</v>
      </c>
      <c r="L41" s="17">
        <f t="shared" si="3"/>
        <v>46055</v>
      </c>
      <c r="M41" s="17" t="str">
        <f t="shared" si="4"/>
        <v>2026-02</v>
      </c>
    </row>
    <row r="42" ht="15.75" customHeight="1">
      <c r="A42" s="19">
        <v>46055.0</v>
      </c>
      <c r="B42" s="20" t="s">
        <v>21</v>
      </c>
      <c r="C42" s="20">
        <v>20.0</v>
      </c>
      <c r="D42" s="20">
        <v>3.0</v>
      </c>
      <c r="E42" s="11">
        <f>IF(J42="","", C42 * IFERROR(VLOOKUP(J42, SETUP!$A:$D, 3, FALSE), 0))</f>
        <v>12</v>
      </c>
      <c r="F42" s="11">
        <f>IF(J42="","", C42 * IFERROR(VLOOKUP(J42, SETUP!$A:$D, 4, FALSE), 0))</f>
        <v>8</v>
      </c>
      <c r="G42" s="11">
        <f t="shared" si="1"/>
        <v>8</v>
      </c>
      <c r="H42" s="22"/>
      <c r="I42" s="11"/>
      <c r="J42" s="17" t="str">
        <f>IF(TRIM(B42)="","",IF(ISNUMBER(SEARCH(" - ",B42)),TRIM(RIGHT(B42,LEN(B42)-FIND(" - ",B42)-2)),IFERROR(VLOOKUP(UPPER(TRIM(B42)), SETUP!$B$4:$C$11, 2, FALSE), UPPER(TRIM(B42)))))</f>
        <v>TONY</v>
      </c>
      <c r="K42" s="23">
        <f t="shared" si="2"/>
        <v>46055</v>
      </c>
      <c r="L42" s="17">
        <f t="shared" si="3"/>
        <v>46055</v>
      </c>
      <c r="M42" s="17" t="str">
        <f t="shared" si="4"/>
        <v>2026-02</v>
      </c>
    </row>
    <row r="43" ht="15.75" customHeight="1">
      <c r="A43" s="19">
        <v>46055.0</v>
      </c>
      <c r="B43" s="20" t="s">
        <v>21</v>
      </c>
      <c r="C43" s="20">
        <v>52.0</v>
      </c>
      <c r="D43" s="21"/>
      <c r="E43" s="11">
        <f>IF(J43="","", C43 * IFERROR(VLOOKUP(J43, SETUP!$A:$D, 3, FALSE), 0))</f>
        <v>31.2</v>
      </c>
      <c r="F43" s="11">
        <f>IF(J43="","", C43 * IFERROR(VLOOKUP(J43, SETUP!$A:$D, 4, FALSE), 0))</f>
        <v>20.8</v>
      </c>
      <c r="G43" s="11">
        <f t="shared" si="1"/>
        <v>20.8</v>
      </c>
      <c r="H43" s="22"/>
      <c r="I43" s="11"/>
      <c r="J43" s="17" t="str">
        <f>IF(TRIM(B43)="","",IF(ISNUMBER(SEARCH(" - ",B43)),TRIM(RIGHT(B43,LEN(B43)-FIND(" - ",B43)-2)),IFERROR(VLOOKUP(UPPER(TRIM(B43)), SETUP!$B$4:$C$11, 2, FALSE), UPPER(TRIM(B43)))))</f>
        <v>TONY</v>
      </c>
      <c r="K43" s="23">
        <f t="shared" si="2"/>
        <v>46055</v>
      </c>
      <c r="L43" s="17">
        <f t="shared" si="3"/>
        <v>46055</v>
      </c>
      <c r="M43" s="17" t="str">
        <f t="shared" si="4"/>
        <v>2026-02</v>
      </c>
    </row>
    <row r="44" ht="15.75" customHeight="1">
      <c r="A44" s="19">
        <v>46055.0</v>
      </c>
      <c r="B44" s="20" t="s">
        <v>21</v>
      </c>
      <c r="C44" s="20">
        <v>75.0</v>
      </c>
      <c r="D44" s="21"/>
      <c r="E44" s="11">
        <f>IF(J44="","", C44 * IFERROR(VLOOKUP(J44, SETUP!$A:$D, 3, FALSE), 0))</f>
        <v>45</v>
      </c>
      <c r="F44" s="11">
        <f>IF(J44="","", C44 * IFERROR(VLOOKUP(J44, SETUP!$A:$D, 4, FALSE), 0))</f>
        <v>30</v>
      </c>
      <c r="G44" s="11">
        <f t="shared" si="1"/>
        <v>30</v>
      </c>
      <c r="H44" s="22"/>
      <c r="I44" s="11"/>
      <c r="J44" s="17" t="str">
        <f>IF(TRIM(B44)="","",IF(ISNUMBER(SEARCH(" - ",B44)),TRIM(RIGHT(B44,LEN(B44)-FIND(" - ",B44)-2)),IFERROR(VLOOKUP(UPPER(TRIM(B44)), SETUP!$B$4:$C$11, 2, FALSE), UPPER(TRIM(B44)))))</f>
        <v>TONY</v>
      </c>
      <c r="K44" s="23">
        <f t="shared" si="2"/>
        <v>46055</v>
      </c>
      <c r="L44" s="17">
        <f t="shared" si="3"/>
        <v>46055</v>
      </c>
      <c r="M44" s="17" t="str">
        <f t="shared" si="4"/>
        <v>2026-02</v>
      </c>
    </row>
    <row r="45" ht="15.75" customHeight="1">
      <c r="A45" s="19">
        <v>46056.0</v>
      </c>
      <c r="B45" s="20" t="s">
        <v>16</v>
      </c>
      <c r="C45" s="20">
        <v>100.0</v>
      </c>
      <c r="D45" s="21"/>
      <c r="E45" s="11">
        <f>IF(J45="","", C45 * IFERROR(VLOOKUP(J45, SETUP!$A:$D, 3, FALSE), 0))</f>
        <v>0</v>
      </c>
      <c r="F45" s="11">
        <f>IF(J45="","", C45 * IFERROR(VLOOKUP(J45, SETUP!$A:$D, 4, FALSE), 0))</f>
        <v>100</v>
      </c>
      <c r="G45" s="11">
        <f t="shared" si="1"/>
        <v>100</v>
      </c>
      <c r="H45" s="22"/>
      <c r="I45" s="11"/>
      <c r="J45" s="17" t="str">
        <f>IF(TRIM(B45)="","",IF(ISNUMBER(SEARCH(" - ",B45)),TRIM(RIGHT(B45,LEN(B45)-FIND(" - ",B45)-2)),IFERROR(VLOOKUP(UPPER(TRIM(B45)), SETUP!$B$4:$C$11, 2, FALSE), UPPER(TRIM(B45)))))</f>
        <v>KEN</v>
      </c>
      <c r="K45" s="23">
        <f t="shared" si="2"/>
        <v>46055</v>
      </c>
      <c r="L45" s="17">
        <f t="shared" si="3"/>
        <v>46056</v>
      </c>
      <c r="M45" s="17" t="str">
        <f t="shared" si="4"/>
        <v>2026-02</v>
      </c>
    </row>
    <row r="46" ht="15.75" customHeight="1">
      <c r="A46" s="19">
        <v>46056.0</v>
      </c>
      <c r="B46" s="20" t="s">
        <v>17</v>
      </c>
      <c r="C46" s="20">
        <v>67.0</v>
      </c>
      <c r="D46" s="24">
        <v>11.0</v>
      </c>
      <c r="E46" s="11">
        <f>IF(J46="","", C46 * IFERROR(VLOOKUP(J46, SETUP!$A:$D, 3, FALSE), 0))</f>
        <v>40.2</v>
      </c>
      <c r="F46" s="11">
        <f>IF(J46="","", C46 * IFERROR(VLOOKUP(J46, SETUP!$A:$D, 4, FALSE), 0))</f>
        <v>26.8</v>
      </c>
      <c r="G46" s="11">
        <f t="shared" si="1"/>
        <v>26.8</v>
      </c>
      <c r="H46" s="22"/>
      <c r="I46" s="11"/>
      <c r="J46" s="17" t="str">
        <f>IF(TRIM(B46)="","",IF(ISNUMBER(SEARCH(" - ",B46)),TRIM(RIGHT(B46,LEN(B46)-FIND(" - ",B46)-2)),IFERROR(VLOOKUP(UPPER(TRIM(B46)), SETUP!$B$4:$C$11, 2, FALSE), UPPER(TRIM(B46)))))</f>
        <v>RYAN</v>
      </c>
      <c r="K46" s="23">
        <f t="shared" si="2"/>
        <v>46055</v>
      </c>
      <c r="L46" s="17">
        <f t="shared" si="3"/>
        <v>46056</v>
      </c>
      <c r="M46" s="17" t="str">
        <f t="shared" si="4"/>
        <v>2026-02</v>
      </c>
    </row>
    <row r="47" ht="15.75" customHeight="1">
      <c r="A47" s="19">
        <v>46056.0</v>
      </c>
      <c r="B47" s="20" t="s">
        <v>17</v>
      </c>
      <c r="C47" s="20">
        <v>77.0</v>
      </c>
      <c r="D47" s="21"/>
      <c r="E47" s="11">
        <f>IF(J47="","", C47 * IFERROR(VLOOKUP(J47, SETUP!$A:$D, 3, FALSE), 0))</f>
        <v>46.2</v>
      </c>
      <c r="F47" s="11">
        <f>IF(J47="","", C47 * IFERROR(VLOOKUP(J47, SETUP!$A:$D, 4, FALSE), 0))</f>
        <v>30.8</v>
      </c>
      <c r="G47" s="11">
        <f t="shared" si="1"/>
        <v>30.8</v>
      </c>
      <c r="H47" s="22"/>
      <c r="I47" s="11"/>
      <c r="J47" s="17" t="str">
        <f>IF(TRIM(B47)="","",IF(ISNUMBER(SEARCH(" - ",B47)),TRIM(RIGHT(B47,LEN(B47)-FIND(" - ",B47)-2)),IFERROR(VLOOKUP(UPPER(TRIM(B47)), SETUP!$B$4:$C$11, 2, FALSE), UPPER(TRIM(B47)))))</f>
        <v>RYAN</v>
      </c>
      <c r="K47" s="23">
        <f t="shared" si="2"/>
        <v>46055</v>
      </c>
      <c r="L47" s="17">
        <f t="shared" si="3"/>
        <v>46056</v>
      </c>
      <c r="M47" s="17" t="str">
        <f t="shared" si="4"/>
        <v>2026-02</v>
      </c>
    </row>
    <row r="48" ht="15.75" customHeight="1">
      <c r="A48" s="19">
        <v>46056.0</v>
      </c>
      <c r="B48" s="20" t="s">
        <v>17</v>
      </c>
      <c r="C48" s="20">
        <v>47.0</v>
      </c>
      <c r="D48" s="21"/>
      <c r="E48" s="11">
        <f>IF(J48="","", C48 * IFERROR(VLOOKUP(J48, SETUP!$A:$D, 3, FALSE), 0))</f>
        <v>28.2</v>
      </c>
      <c r="F48" s="11">
        <f>IF(J48="","", C48 * IFERROR(VLOOKUP(J48, SETUP!$A:$D, 4, FALSE), 0))</f>
        <v>18.8</v>
      </c>
      <c r="G48" s="11">
        <f t="shared" si="1"/>
        <v>18.8</v>
      </c>
      <c r="H48" s="22"/>
      <c r="I48" s="11"/>
      <c r="J48" s="17" t="str">
        <f>IF(TRIM(B48)="","",IF(ISNUMBER(SEARCH(" - ",B48)),TRIM(RIGHT(B48,LEN(B48)-FIND(" - ",B48)-2)),IFERROR(VLOOKUP(UPPER(TRIM(B48)), SETUP!$B$4:$C$11, 2, FALSE), UPPER(TRIM(B48)))))</f>
        <v>RYAN</v>
      </c>
      <c r="K48" s="23">
        <f t="shared" si="2"/>
        <v>46055</v>
      </c>
      <c r="L48" s="17">
        <f t="shared" si="3"/>
        <v>46056</v>
      </c>
      <c r="M48" s="17" t="str">
        <f t="shared" si="4"/>
        <v>2026-02</v>
      </c>
    </row>
    <row r="49" ht="15.75" customHeight="1">
      <c r="A49" s="19">
        <v>46056.0</v>
      </c>
      <c r="B49" s="20" t="s">
        <v>17</v>
      </c>
      <c r="C49" s="20">
        <v>57.0</v>
      </c>
      <c r="D49" s="21"/>
      <c r="E49" s="11">
        <f>IF(J49="","", C49 * IFERROR(VLOOKUP(J49, SETUP!$A:$D, 3, FALSE), 0))</f>
        <v>34.2</v>
      </c>
      <c r="F49" s="11">
        <f>IF(J49="","", C49 * IFERROR(VLOOKUP(J49, SETUP!$A:$D, 4, FALSE), 0))</f>
        <v>22.8</v>
      </c>
      <c r="G49" s="11">
        <f t="shared" si="1"/>
        <v>22.8</v>
      </c>
      <c r="H49" s="22"/>
      <c r="I49" s="11"/>
      <c r="J49" s="17" t="str">
        <f>IF(TRIM(B49)="","",IF(ISNUMBER(SEARCH(" - ",B49)),TRIM(RIGHT(B49,LEN(B49)-FIND(" - ",B49)-2)),IFERROR(VLOOKUP(UPPER(TRIM(B49)), SETUP!$B$4:$C$11, 2, FALSE), UPPER(TRIM(B49)))))</f>
        <v>RYAN</v>
      </c>
      <c r="K49" s="23">
        <f t="shared" si="2"/>
        <v>46055</v>
      </c>
      <c r="L49" s="17">
        <f t="shared" si="3"/>
        <v>46056</v>
      </c>
      <c r="M49" s="17" t="str">
        <f t="shared" si="4"/>
        <v>2026-02</v>
      </c>
    </row>
    <row r="50" ht="15.75" customHeight="1">
      <c r="A50" s="19">
        <v>46056.0</v>
      </c>
      <c r="B50" s="20" t="s">
        <v>17</v>
      </c>
      <c r="C50" s="20">
        <v>62.0</v>
      </c>
      <c r="D50" s="21"/>
      <c r="E50" s="11">
        <f>IF(J50="","", C50 * IFERROR(VLOOKUP(J50, SETUP!$A:$D, 3, FALSE), 0))</f>
        <v>37.2</v>
      </c>
      <c r="F50" s="11">
        <f>IF(J50="","", C50 * IFERROR(VLOOKUP(J50, SETUP!$A:$D, 4, FALSE), 0))</f>
        <v>24.8</v>
      </c>
      <c r="G50" s="11">
        <f t="shared" si="1"/>
        <v>24.8</v>
      </c>
      <c r="H50" s="22"/>
      <c r="I50" s="11"/>
      <c r="J50" s="17" t="str">
        <f>IF(TRIM(B50)="","",IF(ISNUMBER(SEARCH(" - ",B50)),TRIM(RIGHT(B50,LEN(B50)-FIND(" - ",B50)-2)),IFERROR(VLOOKUP(UPPER(TRIM(B50)), SETUP!$B$4:$C$11, 2, FALSE), UPPER(TRIM(B50)))))</f>
        <v>RYAN</v>
      </c>
      <c r="K50" s="23">
        <f t="shared" si="2"/>
        <v>46055</v>
      </c>
      <c r="L50" s="17">
        <f t="shared" si="3"/>
        <v>46056</v>
      </c>
      <c r="M50" s="17" t="str">
        <f t="shared" si="4"/>
        <v>2026-02</v>
      </c>
    </row>
    <row r="51" ht="15.75" customHeight="1">
      <c r="A51" s="19">
        <v>46056.0</v>
      </c>
      <c r="B51" s="20" t="s">
        <v>18</v>
      </c>
      <c r="C51" s="20">
        <v>50.0</v>
      </c>
      <c r="D51" s="24">
        <v>10.0</v>
      </c>
      <c r="E51" s="11">
        <f>IF(J51="","", C51 * IFERROR(VLOOKUP(J51, SETUP!$A:$D, 3, FALSE), 0))</f>
        <v>25</v>
      </c>
      <c r="F51" s="11">
        <f>IF(J51="","", C51 * IFERROR(VLOOKUP(J51, SETUP!$A:$D, 4, FALSE), 0))</f>
        <v>25</v>
      </c>
      <c r="G51" s="11">
        <f t="shared" si="1"/>
        <v>25</v>
      </c>
      <c r="H51" s="22"/>
      <c r="I51" s="11"/>
      <c r="J51" s="17" t="str">
        <f>IF(TRIM(B51)="","",IF(ISNUMBER(SEARCH(" - ",B51)),TRIM(RIGHT(B51,LEN(B51)-FIND(" - ",B51)-2)),IFERROR(VLOOKUP(UPPER(TRIM(B51)), SETUP!$B$4:$C$11, 2, FALSE), UPPER(TRIM(B51)))))</f>
        <v>CRIS</v>
      </c>
      <c r="K51" s="23">
        <f t="shared" si="2"/>
        <v>46055</v>
      </c>
      <c r="L51" s="17">
        <f t="shared" si="3"/>
        <v>46056</v>
      </c>
      <c r="M51" s="17" t="str">
        <f t="shared" si="4"/>
        <v>2026-02</v>
      </c>
    </row>
    <row r="52" ht="15.75" customHeight="1">
      <c r="A52" s="19">
        <v>46056.0</v>
      </c>
      <c r="B52" s="20" t="s">
        <v>18</v>
      </c>
      <c r="C52" s="20">
        <v>40.0</v>
      </c>
      <c r="D52" s="24">
        <v>5.0</v>
      </c>
      <c r="E52" s="11">
        <f>IF(J52="","", C52 * IFERROR(VLOOKUP(J52, SETUP!$A:$D, 3, FALSE), 0))</f>
        <v>20</v>
      </c>
      <c r="F52" s="11">
        <f>IF(J52="","", C52 * IFERROR(VLOOKUP(J52, SETUP!$A:$D, 4, FALSE), 0))</f>
        <v>20</v>
      </c>
      <c r="G52" s="11">
        <f t="shared" si="1"/>
        <v>20</v>
      </c>
      <c r="H52" s="22"/>
      <c r="I52" s="11"/>
      <c r="J52" s="17" t="str">
        <f>IF(TRIM(B52)="","",IF(ISNUMBER(SEARCH(" - ",B52)),TRIM(RIGHT(B52,LEN(B52)-FIND(" - ",B52)-2)),IFERROR(VLOOKUP(UPPER(TRIM(B52)), SETUP!$B$4:$C$11, 2, FALSE), UPPER(TRIM(B52)))))</f>
        <v>CRIS</v>
      </c>
      <c r="K52" s="23">
        <f t="shared" si="2"/>
        <v>46055</v>
      </c>
      <c r="L52" s="17">
        <f t="shared" si="3"/>
        <v>46056</v>
      </c>
      <c r="M52" s="17" t="str">
        <f t="shared" si="4"/>
        <v>2026-02</v>
      </c>
    </row>
    <row r="53" ht="15.75" customHeight="1">
      <c r="A53" s="19">
        <v>46056.0</v>
      </c>
      <c r="B53" s="20" t="s">
        <v>18</v>
      </c>
      <c r="C53" s="20">
        <v>35.0</v>
      </c>
      <c r="D53" s="21"/>
      <c r="E53" s="11">
        <f>IF(J53="","", C53 * IFERROR(VLOOKUP(J53, SETUP!$A:$D, 3, FALSE), 0))</f>
        <v>17.5</v>
      </c>
      <c r="F53" s="11">
        <f>IF(J53="","", C53 * IFERROR(VLOOKUP(J53, SETUP!$A:$D, 4, FALSE), 0))</f>
        <v>17.5</v>
      </c>
      <c r="G53" s="11">
        <f t="shared" si="1"/>
        <v>17.5</v>
      </c>
      <c r="H53" s="22"/>
      <c r="I53" s="11"/>
      <c r="J53" s="17" t="str">
        <f>IF(TRIM(B53)="","",IF(ISNUMBER(SEARCH(" - ",B53)),TRIM(RIGHT(B53,LEN(B53)-FIND(" - ",B53)-2)),IFERROR(VLOOKUP(UPPER(TRIM(B53)), SETUP!$B$4:$C$11, 2, FALSE), UPPER(TRIM(B53)))))</f>
        <v>CRIS</v>
      </c>
      <c r="K53" s="23">
        <f t="shared" si="2"/>
        <v>46055</v>
      </c>
      <c r="L53" s="17">
        <f t="shared" si="3"/>
        <v>46056</v>
      </c>
      <c r="M53" s="17" t="str">
        <f t="shared" si="4"/>
        <v>2026-02</v>
      </c>
    </row>
    <row r="54" ht="15.75" customHeight="1">
      <c r="A54" s="19">
        <v>46056.0</v>
      </c>
      <c r="B54" s="20" t="s">
        <v>19</v>
      </c>
      <c r="C54" s="20">
        <v>60.0</v>
      </c>
      <c r="D54" s="21"/>
      <c r="E54" s="11">
        <f>IF(J54="","", C54 * IFERROR(VLOOKUP(J54, SETUP!$A:$D, 3, FALSE), 0))</f>
        <v>0</v>
      </c>
      <c r="F54" s="11">
        <f>IF(J54="","", C54 * IFERROR(VLOOKUP(J54, SETUP!$A:$D, 4, FALSE), 0))</f>
        <v>60</v>
      </c>
      <c r="G54" s="11">
        <f t="shared" si="1"/>
        <v>60</v>
      </c>
      <c r="H54" s="22"/>
      <c r="I54" s="11"/>
      <c r="J54" s="17" t="str">
        <f>IF(TRIM(B54)="","",IF(ISNUMBER(SEARCH(" - ",B54)),TRIM(RIGHT(B54,LEN(B54)-FIND(" - ",B54)-2)),IFERROR(VLOOKUP(UPPER(TRIM(B54)), SETUP!$B$4:$C$11, 2, FALSE), UPPER(TRIM(B54)))))</f>
        <v>HANNI</v>
      </c>
      <c r="K54" s="23">
        <f t="shared" si="2"/>
        <v>46055</v>
      </c>
      <c r="L54" s="17">
        <f t="shared" si="3"/>
        <v>46056</v>
      </c>
      <c r="M54" s="17" t="str">
        <f t="shared" si="4"/>
        <v>2026-02</v>
      </c>
    </row>
    <row r="55" ht="15.75" customHeight="1">
      <c r="A55" s="19">
        <v>46056.0</v>
      </c>
      <c r="B55" s="20" t="s">
        <v>19</v>
      </c>
      <c r="C55" s="20">
        <v>57.0</v>
      </c>
      <c r="D55" s="21"/>
      <c r="E55" s="11">
        <f>IF(J55="","", C55 * IFERROR(VLOOKUP(J55, SETUP!$A:$D, 3, FALSE), 0))</f>
        <v>0</v>
      </c>
      <c r="F55" s="11">
        <f>IF(J55="","", C55 * IFERROR(VLOOKUP(J55, SETUP!$A:$D, 4, FALSE), 0))</f>
        <v>57</v>
      </c>
      <c r="G55" s="11">
        <f t="shared" si="1"/>
        <v>57</v>
      </c>
      <c r="H55" s="22"/>
      <c r="I55" s="11"/>
      <c r="J55" s="17" t="str">
        <f>IF(TRIM(B55)="","",IF(ISNUMBER(SEARCH(" - ",B55)),TRIM(RIGHT(B55,LEN(B55)-FIND(" - ",B55)-2)),IFERROR(VLOOKUP(UPPER(TRIM(B55)), SETUP!$B$4:$C$11, 2, FALSE), UPPER(TRIM(B55)))))</f>
        <v>HANNI</v>
      </c>
      <c r="K55" s="23">
        <f t="shared" si="2"/>
        <v>46055</v>
      </c>
      <c r="L55" s="17">
        <f t="shared" si="3"/>
        <v>46056</v>
      </c>
      <c r="M55" s="17" t="str">
        <f t="shared" si="4"/>
        <v>2026-02</v>
      </c>
    </row>
    <row r="56" ht="15.75" customHeight="1">
      <c r="A56" s="19">
        <v>46056.0</v>
      </c>
      <c r="B56" s="20" t="s">
        <v>20</v>
      </c>
      <c r="C56" s="20">
        <v>47.0</v>
      </c>
      <c r="D56" s="21"/>
      <c r="E56" s="11">
        <f>IF(J56="","", C56 * IFERROR(VLOOKUP(J56, SETUP!$A:$D, 3, FALSE), 0))</f>
        <v>28.2</v>
      </c>
      <c r="F56" s="11">
        <f>IF(J56="","", C56 * IFERROR(VLOOKUP(J56, SETUP!$A:$D, 4, FALSE), 0))</f>
        <v>18.8</v>
      </c>
      <c r="G56" s="11">
        <f t="shared" si="1"/>
        <v>18.8</v>
      </c>
      <c r="H56" s="22"/>
      <c r="I56" s="11"/>
      <c r="J56" s="17" t="str">
        <f>IF(TRIM(B56)="","",IF(ISNUMBER(SEARCH(" - ",B56)),TRIM(RIGHT(B56,LEN(B56)-FIND(" - ",B56)-2)),IFERROR(VLOOKUP(UPPER(TRIM(B56)), SETUP!$B$4:$C$11, 2, FALSE), UPPER(TRIM(B56)))))</f>
        <v>AMY</v>
      </c>
      <c r="K56" s="23">
        <f t="shared" si="2"/>
        <v>46055</v>
      </c>
      <c r="L56" s="17">
        <f t="shared" si="3"/>
        <v>46056</v>
      </c>
      <c r="M56" s="17" t="str">
        <f t="shared" si="4"/>
        <v>2026-02</v>
      </c>
    </row>
    <row r="57" ht="15.75" customHeight="1">
      <c r="A57" s="19">
        <v>46056.0</v>
      </c>
      <c r="B57" s="20" t="s">
        <v>20</v>
      </c>
      <c r="C57" s="20">
        <v>75.0</v>
      </c>
      <c r="D57" s="21"/>
      <c r="E57" s="11">
        <f>IF(J57="","", C57 * IFERROR(VLOOKUP(J57, SETUP!$A:$D, 3, FALSE), 0))</f>
        <v>45</v>
      </c>
      <c r="F57" s="11">
        <f>IF(J57="","", C57 * IFERROR(VLOOKUP(J57, SETUP!$A:$D, 4, FALSE), 0))</f>
        <v>30</v>
      </c>
      <c r="G57" s="11">
        <f t="shared" si="1"/>
        <v>30</v>
      </c>
      <c r="H57" s="22"/>
      <c r="I57" s="11"/>
      <c r="J57" s="17" t="str">
        <f>IF(TRIM(B57)="","",IF(ISNUMBER(SEARCH(" - ",B57)),TRIM(RIGHT(B57,LEN(B57)-FIND(" - ",B57)-2)),IFERROR(VLOOKUP(UPPER(TRIM(B57)), SETUP!$B$4:$C$11, 2, FALSE), UPPER(TRIM(B57)))))</f>
        <v>AMY</v>
      </c>
      <c r="K57" s="23">
        <f t="shared" si="2"/>
        <v>46055</v>
      </c>
      <c r="L57" s="17">
        <f t="shared" si="3"/>
        <v>46056</v>
      </c>
      <c r="M57" s="17" t="str">
        <f t="shared" si="4"/>
        <v>2026-02</v>
      </c>
    </row>
    <row r="58" ht="15.75" customHeight="1">
      <c r="A58" s="19">
        <v>46056.0</v>
      </c>
      <c r="B58" s="20" t="s">
        <v>20</v>
      </c>
      <c r="C58" s="20">
        <v>75.0</v>
      </c>
      <c r="D58" s="21"/>
      <c r="E58" s="11">
        <f>IF(J58="","", C58 * IFERROR(VLOOKUP(J58, SETUP!$A:$D, 3, FALSE), 0))</f>
        <v>45</v>
      </c>
      <c r="F58" s="11">
        <f>IF(J58="","", C58 * IFERROR(VLOOKUP(J58, SETUP!$A:$D, 4, FALSE), 0))</f>
        <v>30</v>
      </c>
      <c r="G58" s="11">
        <f t="shared" si="1"/>
        <v>30</v>
      </c>
      <c r="H58" s="22"/>
      <c r="I58" s="11"/>
      <c r="J58" s="17" t="str">
        <f>IF(TRIM(B58)="","",IF(ISNUMBER(SEARCH(" - ",B58)),TRIM(RIGHT(B58,LEN(B58)-FIND(" - ",B58)-2)),IFERROR(VLOOKUP(UPPER(TRIM(B58)), SETUP!$B$4:$C$11, 2, FALSE), UPPER(TRIM(B58)))))</f>
        <v>AMY</v>
      </c>
      <c r="K58" s="23">
        <f t="shared" si="2"/>
        <v>46055</v>
      </c>
      <c r="L58" s="17">
        <f t="shared" si="3"/>
        <v>46056</v>
      </c>
      <c r="M58" s="17" t="str">
        <f t="shared" si="4"/>
        <v>2026-02</v>
      </c>
    </row>
    <row r="59" ht="15.75" customHeight="1">
      <c r="A59" s="19">
        <v>46056.0</v>
      </c>
      <c r="B59" s="20" t="s">
        <v>20</v>
      </c>
      <c r="C59" s="20">
        <v>82.0</v>
      </c>
      <c r="D59" s="21"/>
      <c r="E59" s="11">
        <f>IF(J59="","", C59 * IFERROR(VLOOKUP(J59, SETUP!$A:$D, 3, FALSE), 0))</f>
        <v>49.2</v>
      </c>
      <c r="F59" s="11">
        <f>IF(J59="","", C59 * IFERROR(VLOOKUP(J59, SETUP!$A:$D, 4, FALSE), 0))</f>
        <v>32.8</v>
      </c>
      <c r="G59" s="11">
        <f t="shared" si="1"/>
        <v>32.8</v>
      </c>
      <c r="H59" s="22"/>
      <c r="I59" s="11"/>
      <c r="J59" s="17" t="str">
        <f>IF(TRIM(B59)="","",IF(ISNUMBER(SEARCH(" - ",B59)),TRIM(RIGHT(B59,LEN(B59)-FIND(" - ",B59)-2)),IFERROR(VLOOKUP(UPPER(TRIM(B59)), SETUP!$B$4:$C$11, 2, FALSE), UPPER(TRIM(B59)))))</f>
        <v>AMY</v>
      </c>
      <c r="K59" s="23">
        <f t="shared" si="2"/>
        <v>46055</v>
      </c>
      <c r="L59" s="17">
        <f t="shared" si="3"/>
        <v>46056</v>
      </c>
      <c r="M59" s="17" t="str">
        <f t="shared" si="4"/>
        <v>2026-02</v>
      </c>
    </row>
    <row r="60" ht="15.75" customHeight="1">
      <c r="A60" s="19">
        <v>46056.0</v>
      </c>
      <c r="B60" s="20" t="s">
        <v>21</v>
      </c>
      <c r="C60" s="20">
        <v>40.0</v>
      </c>
      <c r="D60" s="21"/>
      <c r="E60" s="11">
        <f>IF(J60="","", C60 * IFERROR(VLOOKUP(J60, SETUP!$A:$D, 3, FALSE), 0))</f>
        <v>24</v>
      </c>
      <c r="F60" s="11">
        <f>IF(J60="","", C60 * IFERROR(VLOOKUP(J60, SETUP!$A:$D, 4, FALSE), 0))</f>
        <v>16</v>
      </c>
      <c r="G60" s="11">
        <f t="shared" si="1"/>
        <v>16</v>
      </c>
      <c r="H60" s="22"/>
      <c r="I60" s="11"/>
      <c r="J60" s="17" t="str">
        <f>IF(TRIM(B60)="","",IF(ISNUMBER(SEARCH(" - ",B60)),TRIM(RIGHT(B60,LEN(B60)-FIND(" - ",B60)-2)),IFERROR(VLOOKUP(UPPER(TRIM(B60)), SETUP!$B$4:$C$11, 2, FALSE), UPPER(TRIM(B60)))))</f>
        <v>TONY</v>
      </c>
      <c r="K60" s="23">
        <f t="shared" si="2"/>
        <v>46055</v>
      </c>
      <c r="L60" s="17">
        <f t="shared" si="3"/>
        <v>46056</v>
      </c>
      <c r="M60" s="17" t="str">
        <f t="shared" si="4"/>
        <v>2026-02</v>
      </c>
    </row>
    <row r="61" ht="15.75" customHeight="1">
      <c r="A61" s="19">
        <v>46056.0</v>
      </c>
      <c r="B61" s="20" t="s">
        <v>21</v>
      </c>
      <c r="C61" s="20">
        <v>55.0</v>
      </c>
      <c r="D61" s="21"/>
      <c r="E61" s="11">
        <f>IF(J61="","", C61 * IFERROR(VLOOKUP(J61, SETUP!$A:$D, 3, FALSE), 0))</f>
        <v>33</v>
      </c>
      <c r="F61" s="11">
        <f>IF(J61="","", C61 * IFERROR(VLOOKUP(J61, SETUP!$A:$D, 4, FALSE), 0))</f>
        <v>22</v>
      </c>
      <c r="G61" s="11">
        <f t="shared" si="1"/>
        <v>22</v>
      </c>
      <c r="H61" s="22"/>
      <c r="I61" s="11"/>
      <c r="J61" s="17" t="str">
        <f>IF(TRIM(B61)="","",IF(ISNUMBER(SEARCH(" - ",B61)),TRIM(RIGHT(B61,LEN(B61)-FIND(" - ",B61)-2)),IFERROR(VLOOKUP(UPPER(TRIM(B61)), SETUP!$B$4:$C$11, 2, FALSE), UPPER(TRIM(B61)))))</f>
        <v>TONY</v>
      </c>
      <c r="K61" s="23">
        <f t="shared" si="2"/>
        <v>46055</v>
      </c>
      <c r="L61" s="17">
        <f t="shared" si="3"/>
        <v>46056</v>
      </c>
      <c r="M61" s="17" t="str">
        <f t="shared" si="4"/>
        <v>2026-02</v>
      </c>
    </row>
    <row r="62" ht="15.75" customHeight="1">
      <c r="A62" s="19">
        <v>46056.0</v>
      </c>
      <c r="B62" s="20" t="s">
        <v>21</v>
      </c>
      <c r="C62" s="20">
        <v>90.0</v>
      </c>
      <c r="D62" s="21"/>
      <c r="E62" s="11">
        <f>IF(J62="","", C62 * IFERROR(VLOOKUP(J62, SETUP!$A:$D, 3, FALSE), 0))</f>
        <v>54</v>
      </c>
      <c r="F62" s="11">
        <f>IF(J62="","", C62 * IFERROR(VLOOKUP(J62, SETUP!$A:$D, 4, FALSE), 0))</f>
        <v>36</v>
      </c>
      <c r="G62" s="11">
        <f t="shared" si="1"/>
        <v>36</v>
      </c>
      <c r="H62" s="22"/>
      <c r="I62" s="11"/>
      <c r="J62" s="17" t="str">
        <f>IF(TRIM(B62)="","",IF(ISNUMBER(SEARCH(" - ",B62)),TRIM(RIGHT(B62,LEN(B62)-FIND(" - ",B62)-2)),IFERROR(VLOOKUP(UPPER(TRIM(B62)), SETUP!$B$4:$C$11, 2, FALSE), UPPER(TRIM(B62)))))</f>
        <v>TONY</v>
      </c>
      <c r="K62" s="23">
        <f t="shared" si="2"/>
        <v>46055</v>
      </c>
      <c r="L62" s="17">
        <f t="shared" si="3"/>
        <v>46056</v>
      </c>
      <c r="M62" s="17" t="str">
        <f t="shared" si="4"/>
        <v>2026-02</v>
      </c>
    </row>
    <row r="63" ht="15.75" customHeight="1">
      <c r="A63" s="19">
        <v>46056.0</v>
      </c>
      <c r="B63" s="20" t="s">
        <v>21</v>
      </c>
      <c r="C63" s="20">
        <v>57.0</v>
      </c>
      <c r="D63" s="21"/>
      <c r="E63" s="11">
        <f>IF(J63="","", C63 * IFERROR(VLOOKUP(J63, SETUP!$A:$D, 3, FALSE), 0))</f>
        <v>34.2</v>
      </c>
      <c r="F63" s="11">
        <f>IF(J63="","", C63 * IFERROR(VLOOKUP(J63, SETUP!$A:$D, 4, FALSE), 0))</f>
        <v>22.8</v>
      </c>
      <c r="G63" s="11">
        <f t="shared" si="1"/>
        <v>22.8</v>
      </c>
      <c r="H63" s="22"/>
      <c r="I63" s="11"/>
      <c r="J63" s="17" t="str">
        <f>IF(TRIM(B63)="","",IF(ISNUMBER(SEARCH(" - ",B63)),TRIM(RIGHT(B63,LEN(B63)-FIND(" - ",B63)-2)),IFERROR(VLOOKUP(UPPER(TRIM(B63)), SETUP!$B$4:$C$11, 2, FALSE), UPPER(TRIM(B63)))))</f>
        <v>TONY</v>
      </c>
      <c r="K63" s="23">
        <f t="shared" si="2"/>
        <v>46055</v>
      </c>
      <c r="L63" s="17">
        <f t="shared" si="3"/>
        <v>46056</v>
      </c>
      <c r="M63" s="17" t="str">
        <f t="shared" si="4"/>
        <v>2026-02</v>
      </c>
    </row>
    <row r="64" ht="15.75" customHeight="1">
      <c r="A64" s="19">
        <v>46056.0</v>
      </c>
      <c r="B64" s="20" t="s">
        <v>21</v>
      </c>
      <c r="C64" s="20">
        <v>77.0</v>
      </c>
      <c r="D64" s="24">
        <v>10.0</v>
      </c>
      <c r="E64" s="11">
        <f>IF(J64="","", C64 * IFERROR(VLOOKUP(J64, SETUP!$A:$D, 3, FALSE), 0))</f>
        <v>46.2</v>
      </c>
      <c r="F64" s="11">
        <f>IF(J64="","", C64 * IFERROR(VLOOKUP(J64, SETUP!$A:$D, 4, FALSE), 0))</f>
        <v>30.8</v>
      </c>
      <c r="G64" s="11">
        <f t="shared" si="1"/>
        <v>30.8</v>
      </c>
      <c r="H64" s="22"/>
      <c r="I64" s="11"/>
      <c r="J64" s="17" t="str">
        <f>IF(TRIM(B64)="","",IF(ISNUMBER(SEARCH(" - ",B64)),TRIM(RIGHT(B64,LEN(B64)-FIND(" - ",B64)-2)),IFERROR(VLOOKUP(UPPER(TRIM(B64)), SETUP!$B$4:$C$11, 2, FALSE), UPPER(TRIM(B64)))))</f>
        <v>TONY</v>
      </c>
      <c r="K64" s="23">
        <f t="shared" si="2"/>
        <v>46055</v>
      </c>
      <c r="L64" s="17">
        <f t="shared" si="3"/>
        <v>46056</v>
      </c>
      <c r="M64" s="17" t="str">
        <f t="shared" si="4"/>
        <v>2026-02</v>
      </c>
    </row>
    <row r="65" ht="15.75" customHeight="1">
      <c r="A65" s="19">
        <v>46057.0</v>
      </c>
      <c r="B65" s="20" t="s">
        <v>16</v>
      </c>
      <c r="C65" s="20">
        <v>95.0</v>
      </c>
      <c r="D65" s="21"/>
      <c r="E65" s="11">
        <f>IF(J65="","", C65 * IFERROR(VLOOKUP(J65, SETUP!$A:$D, 3, FALSE), 0))</f>
        <v>0</v>
      </c>
      <c r="F65" s="11">
        <f>IF(J65="","", C65 * IFERROR(VLOOKUP(J65, SETUP!$A:$D, 4, FALSE), 0))</f>
        <v>95</v>
      </c>
      <c r="G65" s="11">
        <f t="shared" si="1"/>
        <v>95</v>
      </c>
      <c r="H65" s="22"/>
      <c r="I65" s="11"/>
      <c r="J65" s="17" t="str">
        <f>IF(TRIM(B65)="","",IF(ISNUMBER(SEARCH(" - ",B65)),TRIM(RIGHT(B65,LEN(B65)-FIND(" - ",B65)-2)),IFERROR(VLOOKUP(UPPER(TRIM(B65)), SETUP!$B$4:$C$11, 2, FALSE), UPPER(TRIM(B65)))))</f>
        <v>KEN</v>
      </c>
      <c r="K65" s="23">
        <f t="shared" si="2"/>
        <v>46055</v>
      </c>
      <c r="L65" s="17">
        <f t="shared" si="3"/>
        <v>46057</v>
      </c>
      <c r="M65" s="17" t="str">
        <f t="shared" si="4"/>
        <v>2026-02</v>
      </c>
    </row>
    <row r="66" ht="15.75" customHeight="1">
      <c r="A66" s="19">
        <v>46057.0</v>
      </c>
      <c r="B66" s="20" t="s">
        <v>37</v>
      </c>
      <c r="C66" s="20">
        <v>15.0</v>
      </c>
      <c r="D66" s="21"/>
      <c r="E66" s="11">
        <f>IF(J66="","", C66 * IFERROR(VLOOKUP(J66, SETUP!$A:$D, 3, FALSE), 0))</f>
        <v>0</v>
      </c>
      <c r="F66" s="11">
        <f>IF(J66="","", C66 * IFERROR(VLOOKUP(J66, SETUP!$A:$D, 4, FALSE), 0))</f>
        <v>15</v>
      </c>
      <c r="G66" s="11">
        <f t="shared" si="1"/>
        <v>15</v>
      </c>
      <c r="H66" s="22"/>
      <c r="I66" s="11"/>
      <c r="J66" s="17" t="str">
        <f>IF(TRIM(B66)="","",IF(ISNUMBER(SEARCH(" - ",B66)),TRIM(RIGHT(B66,LEN(B66)-FIND(" - ",B66)-2)),IFERROR(VLOOKUP(UPPER(TRIM(B66)), SETUP!$B$4:$C$11, 2, FALSE), UPPER(TRIM(B66)))))</f>
        <v>KEN</v>
      </c>
      <c r="K66" s="23">
        <f t="shared" si="2"/>
        <v>46055</v>
      </c>
      <c r="L66" s="17">
        <f t="shared" si="3"/>
        <v>46057</v>
      </c>
      <c r="M66" s="17" t="str">
        <f t="shared" si="4"/>
        <v>2026-02</v>
      </c>
    </row>
    <row r="67" ht="15.75" customHeight="1">
      <c r="A67" s="19">
        <v>46057.0</v>
      </c>
      <c r="B67" s="20" t="s">
        <v>17</v>
      </c>
      <c r="C67" s="20">
        <v>137.0</v>
      </c>
      <c r="D67" s="21"/>
      <c r="E67" s="11">
        <f>IF(J67="","", C67 * IFERROR(VLOOKUP(J67, SETUP!$A:$D, 3, FALSE), 0))</f>
        <v>82.2</v>
      </c>
      <c r="F67" s="11">
        <f>IF(J67="","", C67 * IFERROR(VLOOKUP(J67, SETUP!$A:$D, 4, FALSE), 0))</f>
        <v>54.8</v>
      </c>
      <c r="G67" s="11">
        <f t="shared" si="1"/>
        <v>54.8</v>
      </c>
      <c r="H67" s="22"/>
      <c r="I67" s="11"/>
      <c r="J67" s="17" t="str">
        <f>IF(TRIM(B67)="","",IF(ISNUMBER(SEARCH(" - ",B67)),TRIM(RIGHT(B67,LEN(B67)-FIND(" - ",B67)-2)),IFERROR(VLOOKUP(UPPER(TRIM(B67)), SETUP!$B$4:$C$11, 2, FALSE), UPPER(TRIM(B67)))))</f>
        <v>RYAN</v>
      </c>
      <c r="K67" s="23">
        <f t="shared" si="2"/>
        <v>46055</v>
      </c>
      <c r="L67" s="17">
        <f t="shared" si="3"/>
        <v>46057</v>
      </c>
      <c r="M67" s="17" t="str">
        <f t="shared" si="4"/>
        <v>2026-02</v>
      </c>
    </row>
    <row r="68" ht="15.75" customHeight="1">
      <c r="A68" s="19">
        <v>46057.0</v>
      </c>
      <c r="B68" s="20" t="s">
        <v>17</v>
      </c>
      <c r="C68" s="20">
        <v>67.0</v>
      </c>
      <c r="D68" s="20">
        <v>15.0</v>
      </c>
      <c r="E68" s="11">
        <f>IF(J68="","", C68 * IFERROR(VLOOKUP(J68, SETUP!$A:$D, 3, FALSE), 0))</f>
        <v>40.2</v>
      </c>
      <c r="F68" s="11">
        <f>IF(J68="","", C68 * IFERROR(VLOOKUP(J68, SETUP!$A:$D, 4, FALSE), 0))</f>
        <v>26.8</v>
      </c>
      <c r="G68" s="11">
        <f t="shared" si="1"/>
        <v>26.8</v>
      </c>
      <c r="H68" s="22"/>
      <c r="I68" s="11"/>
      <c r="J68" s="17" t="str">
        <f>IF(TRIM(B68)="","",IF(ISNUMBER(SEARCH(" - ",B68)),TRIM(RIGHT(B68,LEN(B68)-FIND(" - ",B68)-2)),IFERROR(VLOOKUP(UPPER(TRIM(B68)), SETUP!$B$4:$C$11, 2, FALSE), UPPER(TRIM(B68)))))</f>
        <v>RYAN</v>
      </c>
      <c r="K68" s="23">
        <f t="shared" si="2"/>
        <v>46055</v>
      </c>
      <c r="L68" s="17">
        <f t="shared" si="3"/>
        <v>46057</v>
      </c>
      <c r="M68" s="17" t="str">
        <f t="shared" si="4"/>
        <v>2026-02</v>
      </c>
    </row>
    <row r="69" ht="15.75" customHeight="1">
      <c r="A69" s="19">
        <v>46057.0</v>
      </c>
      <c r="B69" s="20" t="s">
        <v>17</v>
      </c>
      <c r="C69" s="20">
        <v>52.0</v>
      </c>
      <c r="D69" s="20">
        <v>20.0</v>
      </c>
      <c r="E69" s="11">
        <f>IF(J69="","", C69 * IFERROR(VLOOKUP(J69, SETUP!$A:$D, 3, FALSE), 0))</f>
        <v>31.2</v>
      </c>
      <c r="F69" s="11">
        <f>IF(J69="","", C69 * IFERROR(VLOOKUP(J69, SETUP!$A:$D, 4, FALSE), 0))</f>
        <v>20.8</v>
      </c>
      <c r="G69" s="11">
        <f t="shared" si="1"/>
        <v>20.8</v>
      </c>
      <c r="H69" s="22"/>
      <c r="I69" s="11"/>
      <c r="J69" s="17" t="str">
        <f>IF(TRIM(B69)="","",IF(ISNUMBER(SEARCH(" - ",B69)),TRIM(RIGHT(B69,LEN(B69)-FIND(" - ",B69)-2)),IFERROR(VLOOKUP(UPPER(TRIM(B69)), SETUP!$B$4:$C$11, 2, FALSE), UPPER(TRIM(B69)))))</f>
        <v>RYAN</v>
      </c>
      <c r="K69" s="23">
        <f t="shared" si="2"/>
        <v>46055</v>
      </c>
      <c r="L69" s="17">
        <f t="shared" si="3"/>
        <v>46057</v>
      </c>
      <c r="M69" s="17" t="str">
        <f t="shared" si="4"/>
        <v>2026-02</v>
      </c>
    </row>
    <row r="70" ht="15.75" customHeight="1">
      <c r="A70" s="19">
        <v>46057.0</v>
      </c>
      <c r="B70" s="20" t="s">
        <v>17</v>
      </c>
      <c r="C70" s="20">
        <v>74.0</v>
      </c>
      <c r="D70" s="20">
        <v>10.0</v>
      </c>
      <c r="E70" s="11">
        <f>IF(J70="","", C70 * IFERROR(VLOOKUP(J70, SETUP!$A:$D, 3, FALSE), 0))</f>
        <v>44.4</v>
      </c>
      <c r="F70" s="11">
        <f>IF(J70="","", C70 * IFERROR(VLOOKUP(J70, SETUP!$A:$D, 4, FALSE), 0))</f>
        <v>29.6</v>
      </c>
      <c r="G70" s="11">
        <f t="shared" si="1"/>
        <v>29.6</v>
      </c>
      <c r="H70" s="22"/>
      <c r="I70" s="11"/>
      <c r="J70" s="17" t="str">
        <f>IF(TRIM(B70)="","",IF(ISNUMBER(SEARCH(" - ",B70)),TRIM(RIGHT(B70,LEN(B70)-FIND(" - ",B70)-2)),IFERROR(VLOOKUP(UPPER(TRIM(B70)), SETUP!$B$4:$C$11, 2, FALSE), UPPER(TRIM(B70)))))</f>
        <v>RYAN</v>
      </c>
      <c r="K70" s="23">
        <f t="shared" si="2"/>
        <v>46055</v>
      </c>
      <c r="L70" s="17">
        <f t="shared" si="3"/>
        <v>46057</v>
      </c>
      <c r="M70" s="17" t="str">
        <f t="shared" si="4"/>
        <v>2026-02</v>
      </c>
    </row>
    <row r="71" ht="15.75" customHeight="1">
      <c r="A71" s="19">
        <v>46057.0</v>
      </c>
      <c r="B71" s="20" t="s">
        <v>17</v>
      </c>
      <c r="C71" s="20">
        <v>52.0</v>
      </c>
      <c r="D71" s="21"/>
      <c r="E71" s="11">
        <f>IF(J71="","", C71 * IFERROR(VLOOKUP(J71, SETUP!$A:$D, 3, FALSE), 0))</f>
        <v>31.2</v>
      </c>
      <c r="F71" s="11">
        <f>IF(J71="","", C71 * IFERROR(VLOOKUP(J71, SETUP!$A:$D, 4, FALSE), 0))</f>
        <v>20.8</v>
      </c>
      <c r="G71" s="11">
        <f t="shared" si="1"/>
        <v>20.8</v>
      </c>
      <c r="H71" s="22"/>
      <c r="I71" s="11"/>
      <c r="J71" s="17" t="str">
        <f>IF(TRIM(B71)="","",IF(ISNUMBER(SEARCH(" - ",B71)),TRIM(RIGHT(B71,LEN(B71)-FIND(" - ",B71)-2)),IFERROR(VLOOKUP(UPPER(TRIM(B71)), SETUP!$B$4:$C$11, 2, FALSE), UPPER(TRIM(B71)))))</f>
        <v>RYAN</v>
      </c>
      <c r="K71" s="23">
        <f t="shared" si="2"/>
        <v>46055</v>
      </c>
      <c r="L71" s="17">
        <f t="shared" si="3"/>
        <v>46057</v>
      </c>
      <c r="M71" s="17" t="str">
        <f t="shared" si="4"/>
        <v>2026-02</v>
      </c>
    </row>
    <row r="72" ht="15.75" customHeight="1">
      <c r="A72" s="19">
        <v>46057.0</v>
      </c>
      <c r="B72" s="20" t="s">
        <v>17</v>
      </c>
      <c r="C72" s="20">
        <v>62.0</v>
      </c>
      <c r="D72" s="21"/>
      <c r="E72" s="11">
        <f>IF(J72="","", C72 * IFERROR(VLOOKUP(J72, SETUP!$A:$D, 3, FALSE), 0))</f>
        <v>37.2</v>
      </c>
      <c r="F72" s="11">
        <f>IF(J72="","", C72 * IFERROR(VLOOKUP(J72, SETUP!$A:$D, 4, FALSE), 0))</f>
        <v>24.8</v>
      </c>
      <c r="G72" s="11">
        <f t="shared" si="1"/>
        <v>24.8</v>
      </c>
      <c r="H72" s="22"/>
      <c r="I72" s="11"/>
      <c r="J72" s="17" t="str">
        <f>IF(TRIM(B72)="","",IF(ISNUMBER(SEARCH(" - ",B72)),TRIM(RIGHT(B72,LEN(B72)-FIND(" - ",B72)-2)),IFERROR(VLOOKUP(UPPER(TRIM(B72)), SETUP!$B$4:$C$11, 2, FALSE), UPPER(TRIM(B72)))))</f>
        <v>RYAN</v>
      </c>
      <c r="K72" s="23">
        <f t="shared" si="2"/>
        <v>46055</v>
      </c>
      <c r="L72" s="17">
        <f t="shared" si="3"/>
        <v>46057</v>
      </c>
      <c r="M72" s="17" t="str">
        <f t="shared" si="4"/>
        <v>2026-02</v>
      </c>
    </row>
    <row r="73" ht="15.75" customHeight="1">
      <c r="A73" s="19">
        <v>46057.0</v>
      </c>
      <c r="B73" s="20" t="s">
        <v>17</v>
      </c>
      <c r="C73" s="20">
        <v>57.0</v>
      </c>
      <c r="D73" s="21"/>
      <c r="E73" s="11">
        <f>IF(J73="","", C73 * IFERROR(VLOOKUP(J73, SETUP!$A:$D, 3, FALSE), 0))</f>
        <v>34.2</v>
      </c>
      <c r="F73" s="11">
        <f>IF(J73="","", C73 * IFERROR(VLOOKUP(J73, SETUP!$A:$D, 4, FALSE), 0))</f>
        <v>22.8</v>
      </c>
      <c r="G73" s="11">
        <f t="shared" si="1"/>
        <v>22.8</v>
      </c>
      <c r="H73" s="22"/>
      <c r="I73" s="11"/>
      <c r="J73" s="17" t="str">
        <f>IF(TRIM(B73)="","",IF(ISNUMBER(SEARCH(" - ",B73)),TRIM(RIGHT(B73,LEN(B73)-FIND(" - ",B73)-2)),IFERROR(VLOOKUP(UPPER(TRIM(B73)), SETUP!$B$4:$C$11, 2, FALSE), UPPER(TRIM(B73)))))</f>
        <v>RYAN</v>
      </c>
      <c r="K73" s="23">
        <f t="shared" si="2"/>
        <v>46055</v>
      </c>
      <c r="L73" s="17">
        <f t="shared" si="3"/>
        <v>46057</v>
      </c>
      <c r="M73" s="17" t="str">
        <f t="shared" si="4"/>
        <v>2026-02</v>
      </c>
    </row>
    <row r="74" ht="15.75" customHeight="1">
      <c r="A74" s="19">
        <v>46057.0</v>
      </c>
      <c r="B74" s="20" t="s">
        <v>17</v>
      </c>
      <c r="C74" s="20">
        <v>50.0</v>
      </c>
      <c r="D74" s="21"/>
      <c r="E74" s="11">
        <f>IF(J74="","", C74 * IFERROR(VLOOKUP(J74, SETUP!$A:$D, 3, FALSE), 0))</f>
        <v>30</v>
      </c>
      <c r="F74" s="11">
        <f>IF(J74="","", C74 * IFERROR(VLOOKUP(J74, SETUP!$A:$D, 4, FALSE), 0))</f>
        <v>20</v>
      </c>
      <c r="G74" s="11">
        <f t="shared" si="1"/>
        <v>20</v>
      </c>
      <c r="H74" s="22"/>
      <c r="I74" s="11"/>
      <c r="J74" s="17" t="str">
        <f>IF(TRIM(B74)="","",IF(ISNUMBER(SEARCH(" - ",B74)),TRIM(RIGHT(B74,LEN(B74)-FIND(" - ",B74)-2)),IFERROR(VLOOKUP(UPPER(TRIM(B74)), SETUP!$B$4:$C$11, 2, FALSE), UPPER(TRIM(B74)))))</f>
        <v>RYAN</v>
      </c>
      <c r="K74" s="23">
        <f t="shared" si="2"/>
        <v>46055</v>
      </c>
      <c r="L74" s="17">
        <f t="shared" si="3"/>
        <v>46057</v>
      </c>
      <c r="M74" s="17" t="str">
        <f t="shared" si="4"/>
        <v>2026-02</v>
      </c>
    </row>
    <row r="75" ht="15.75" customHeight="1">
      <c r="A75" s="19">
        <v>46057.0</v>
      </c>
      <c r="B75" s="20" t="s">
        <v>17</v>
      </c>
      <c r="C75" s="20">
        <v>50.0</v>
      </c>
      <c r="D75" s="21"/>
      <c r="E75" s="11">
        <f>IF(J75="","", C75 * IFERROR(VLOOKUP(J75, SETUP!$A:$D, 3, FALSE), 0))</f>
        <v>30</v>
      </c>
      <c r="F75" s="11">
        <f>IF(J75="","", C75 * IFERROR(VLOOKUP(J75, SETUP!$A:$D, 4, FALSE), 0))</f>
        <v>20</v>
      </c>
      <c r="G75" s="11">
        <f t="shared" si="1"/>
        <v>20</v>
      </c>
      <c r="H75" s="22"/>
      <c r="I75" s="11"/>
      <c r="J75" s="17" t="str">
        <f>IF(TRIM(B75)="","",IF(ISNUMBER(SEARCH(" - ",B75)),TRIM(RIGHT(B75,LEN(B75)-FIND(" - ",B75)-2)),IFERROR(VLOOKUP(UPPER(TRIM(B75)), SETUP!$B$4:$C$11, 2, FALSE), UPPER(TRIM(B75)))))</f>
        <v>RYAN</v>
      </c>
      <c r="K75" s="23">
        <f t="shared" si="2"/>
        <v>46055</v>
      </c>
      <c r="L75" s="17">
        <f t="shared" si="3"/>
        <v>46057</v>
      </c>
      <c r="M75" s="17" t="str">
        <f t="shared" si="4"/>
        <v>2026-02</v>
      </c>
    </row>
    <row r="76" ht="15.75" customHeight="1">
      <c r="A76" s="19">
        <v>46057.0</v>
      </c>
      <c r="B76" s="20" t="s">
        <v>18</v>
      </c>
      <c r="C76" s="20">
        <v>85.0</v>
      </c>
      <c r="D76" s="21"/>
      <c r="E76" s="11">
        <f>IF(J76="","", C76 * IFERROR(VLOOKUP(J76, SETUP!$A:$D, 3, FALSE), 0))</f>
        <v>42.5</v>
      </c>
      <c r="F76" s="11">
        <f>IF(J76="","", C76 * IFERROR(VLOOKUP(J76, SETUP!$A:$D, 4, FALSE), 0))</f>
        <v>42.5</v>
      </c>
      <c r="G76" s="11">
        <f t="shared" si="1"/>
        <v>42.5</v>
      </c>
      <c r="H76" s="22"/>
      <c r="I76" s="11"/>
      <c r="J76" s="17" t="str">
        <f>IF(TRIM(B76)="","",IF(ISNUMBER(SEARCH(" - ",B76)),TRIM(RIGHT(B76,LEN(B76)-FIND(" - ",B76)-2)),IFERROR(VLOOKUP(UPPER(TRIM(B76)), SETUP!$B$4:$C$11, 2, FALSE), UPPER(TRIM(B76)))))</f>
        <v>CRIS</v>
      </c>
      <c r="K76" s="23">
        <f t="shared" si="2"/>
        <v>46055</v>
      </c>
      <c r="L76" s="17">
        <f t="shared" si="3"/>
        <v>46057</v>
      </c>
      <c r="M76" s="17" t="str">
        <f t="shared" si="4"/>
        <v>2026-02</v>
      </c>
    </row>
    <row r="77" ht="15.75" customHeight="1">
      <c r="A77" s="19">
        <v>46057.0</v>
      </c>
      <c r="B77" s="20" t="s">
        <v>18</v>
      </c>
      <c r="C77" s="20">
        <v>40.0</v>
      </c>
      <c r="D77" s="21"/>
      <c r="E77" s="11">
        <f>IF(J77="","", C77 * IFERROR(VLOOKUP(J77, SETUP!$A:$D, 3, FALSE), 0))</f>
        <v>20</v>
      </c>
      <c r="F77" s="11">
        <f>IF(J77="","", C77 * IFERROR(VLOOKUP(J77, SETUP!$A:$D, 4, FALSE), 0))</f>
        <v>20</v>
      </c>
      <c r="G77" s="11">
        <f t="shared" si="1"/>
        <v>20</v>
      </c>
      <c r="H77" s="22"/>
      <c r="I77" s="11"/>
      <c r="J77" s="17" t="str">
        <f>IF(TRIM(B77)="","",IF(ISNUMBER(SEARCH(" - ",B77)),TRIM(RIGHT(B77,LEN(B77)-FIND(" - ",B77)-2)),IFERROR(VLOOKUP(UPPER(TRIM(B77)), SETUP!$B$4:$C$11, 2, FALSE), UPPER(TRIM(B77)))))</f>
        <v>CRIS</v>
      </c>
      <c r="K77" s="23">
        <f t="shared" si="2"/>
        <v>46055</v>
      </c>
      <c r="L77" s="17">
        <f t="shared" si="3"/>
        <v>46057</v>
      </c>
      <c r="M77" s="17" t="str">
        <f t="shared" si="4"/>
        <v>2026-02</v>
      </c>
    </row>
    <row r="78" ht="15.75" customHeight="1">
      <c r="A78" s="19">
        <v>46057.0</v>
      </c>
      <c r="B78" s="20" t="s">
        <v>18</v>
      </c>
      <c r="C78" s="20">
        <v>50.0</v>
      </c>
      <c r="D78" s="20">
        <v>5.0</v>
      </c>
      <c r="E78" s="11">
        <f>IF(J78="","", C78 * IFERROR(VLOOKUP(J78, SETUP!$A:$D, 3, FALSE), 0))</f>
        <v>25</v>
      </c>
      <c r="F78" s="11">
        <f>IF(J78="","", C78 * IFERROR(VLOOKUP(J78, SETUP!$A:$D, 4, FALSE), 0))</f>
        <v>25</v>
      </c>
      <c r="G78" s="11">
        <f t="shared" si="1"/>
        <v>25</v>
      </c>
      <c r="H78" s="22"/>
      <c r="I78" s="11"/>
      <c r="J78" s="17" t="str">
        <f>IF(TRIM(B78)="","",IF(ISNUMBER(SEARCH(" - ",B78)),TRIM(RIGHT(B78,LEN(B78)-FIND(" - ",B78)-2)),IFERROR(VLOOKUP(UPPER(TRIM(B78)), SETUP!$B$4:$C$11, 2, FALSE), UPPER(TRIM(B78)))))</f>
        <v>CRIS</v>
      </c>
      <c r="K78" s="23">
        <f t="shared" si="2"/>
        <v>46055</v>
      </c>
      <c r="L78" s="17">
        <f t="shared" si="3"/>
        <v>46057</v>
      </c>
      <c r="M78" s="17" t="str">
        <f t="shared" si="4"/>
        <v>2026-02</v>
      </c>
    </row>
    <row r="79" ht="15.75" customHeight="1">
      <c r="A79" s="19">
        <v>46057.0</v>
      </c>
      <c r="B79" s="20" t="s">
        <v>18</v>
      </c>
      <c r="C79" s="20">
        <v>50.0</v>
      </c>
      <c r="D79" s="21"/>
      <c r="E79" s="11">
        <f>IF(J79="","", C79 * IFERROR(VLOOKUP(J79, SETUP!$A:$D, 3, FALSE), 0))</f>
        <v>25</v>
      </c>
      <c r="F79" s="11">
        <f>IF(J79="","", C79 * IFERROR(VLOOKUP(J79, SETUP!$A:$D, 4, FALSE), 0))</f>
        <v>25</v>
      </c>
      <c r="G79" s="11">
        <f t="shared" si="1"/>
        <v>25</v>
      </c>
      <c r="H79" s="22"/>
      <c r="I79" s="11"/>
      <c r="J79" s="17" t="str">
        <f>IF(TRIM(B79)="","",IF(ISNUMBER(SEARCH(" - ",B79)),TRIM(RIGHT(B79,LEN(B79)-FIND(" - ",B79)-2)),IFERROR(VLOOKUP(UPPER(TRIM(B79)), SETUP!$B$4:$C$11, 2, FALSE), UPPER(TRIM(B79)))))</f>
        <v>CRIS</v>
      </c>
      <c r="K79" s="23">
        <f t="shared" si="2"/>
        <v>46055</v>
      </c>
      <c r="L79" s="17">
        <f t="shared" si="3"/>
        <v>46057</v>
      </c>
      <c r="M79" s="17" t="str">
        <f t="shared" si="4"/>
        <v>2026-02</v>
      </c>
    </row>
    <row r="80" ht="15.75" customHeight="1">
      <c r="A80" s="19">
        <v>46057.0</v>
      </c>
      <c r="B80" s="20" t="s">
        <v>18</v>
      </c>
      <c r="C80" s="20">
        <v>50.0</v>
      </c>
      <c r="D80" s="21"/>
      <c r="E80" s="11">
        <f>IF(J80="","", C80 * IFERROR(VLOOKUP(J80, SETUP!$A:$D, 3, FALSE), 0))</f>
        <v>25</v>
      </c>
      <c r="F80" s="11">
        <f>IF(J80="","", C80 * IFERROR(VLOOKUP(J80, SETUP!$A:$D, 4, FALSE), 0))</f>
        <v>25</v>
      </c>
      <c r="G80" s="11">
        <f t="shared" si="1"/>
        <v>25</v>
      </c>
      <c r="H80" s="22"/>
      <c r="I80" s="11"/>
      <c r="J80" s="17" t="str">
        <f>IF(TRIM(B80)="","",IF(ISNUMBER(SEARCH(" - ",B80)),TRIM(RIGHT(B80,LEN(B80)-FIND(" - ",B80)-2)),IFERROR(VLOOKUP(UPPER(TRIM(B80)), SETUP!$B$4:$C$11, 2, FALSE), UPPER(TRIM(B80)))))</f>
        <v>CRIS</v>
      </c>
      <c r="K80" s="23">
        <f t="shared" si="2"/>
        <v>46055</v>
      </c>
      <c r="L80" s="17">
        <f t="shared" si="3"/>
        <v>46057</v>
      </c>
      <c r="M80" s="17" t="str">
        <f t="shared" si="4"/>
        <v>2026-02</v>
      </c>
    </row>
    <row r="81" ht="15.75" customHeight="1">
      <c r="A81" s="19">
        <v>46057.0</v>
      </c>
      <c r="B81" s="20" t="s">
        <v>19</v>
      </c>
      <c r="C81" s="20">
        <v>47.0</v>
      </c>
      <c r="D81" s="21"/>
      <c r="E81" s="11">
        <f>IF(J81="","", C81 * IFERROR(VLOOKUP(J81, SETUP!$A:$D, 3, FALSE), 0))</f>
        <v>0</v>
      </c>
      <c r="F81" s="11">
        <f>IF(J81="","", C81 * IFERROR(VLOOKUP(J81, SETUP!$A:$D, 4, FALSE), 0))</f>
        <v>47</v>
      </c>
      <c r="G81" s="11">
        <f t="shared" si="1"/>
        <v>47</v>
      </c>
      <c r="H81" s="22"/>
      <c r="I81" s="11"/>
      <c r="J81" s="17" t="str">
        <f>IF(TRIM(B81)="","",IF(ISNUMBER(SEARCH(" - ",B81)),TRIM(RIGHT(B81,LEN(B81)-FIND(" - ",B81)-2)),IFERROR(VLOOKUP(UPPER(TRIM(B81)), SETUP!$B$4:$C$11, 2, FALSE), UPPER(TRIM(B81)))))</f>
        <v>HANNI</v>
      </c>
      <c r="K81" s="23">
        <f t="shared" si="2"/>
        <v>46055</v>
      </c>
      <c r="L81" s="17">
        <f t="shared" si="3"/>
        <v>46057</v>
      </c>
      <c r="M81" s="17" t="str">
        <f t="shared" si="4"/>
        <v>2026-02</v>
      </c>
    </row>
    <row r="82" ht="15.75" customHeight="1">
      <c r="A82" s="19">
        <v>46057.0</v>
      </c>
      <c r="B82" s="20" t="s">
        <v>19</v>
      </c>
      <c r="C82" s="20">
        <v>62.0</v>
      </c>
      <c r="D82" s="20">
        <v>10.0</v>
      </c>
      <c r="E82" s="11">
        <f>IF(J82="","", C82 * IFERROR(VLOOKUP(J82, SETUP!$A:$D, 3, FALSE), 0))</f>
        <v>0</v>
      </c>
      <c r="F82" s="11">
        <f>IF(J82="","", C82 * IFERROR(VLOOKUP(J82, SETUP!$A:$D, 4, FALSE), 0))</f>
        <v>62</v>
      </c>
      <c r="G82" s="11">
        <f t="shared" si="1"/>
        <v>62</v>
      </c>
      <c r="H82" s="22"/>
      <c r="I82" s="11"/>
      <c r="J82" s="17" t="str">
        <f>IF(TRIM(B82)="","",IF(ISNUMBER(SEARCH(" - ",B82)),TRIM(RIGHT(B82,LEN(B82)-FIND(" - ",B82)-2)),IFERROR(VLOOKUP(UPPER(TRIM(B82)), SETUP!$B$4:$C$11, 2, FALSE), UPPER(TRIM(B82)))))</f>
        <v>HANNI</v>
      </c>
      <c r="K82" s="23">
        <f t="shared" si="2"/>
        <v>46055</v>
      </c>
      <c r="L82" s="17">
        <f t="shared" si="3"/>
        <v>46057</v>
      </c>
      <c r="M82" s="17" t="str">
        <f t="shared" si="4"/>
        <v>2026-02</v>
      </c>
    </row>
    <row r="83" ht="15.75" customHeight="1">
      <c r="A83" s="19">
        <v>46057.0</v>
      </c>
      <c r="B83" s="20" t="s">
        <v>20</v>
      </c>
      <c r="C83" s="20">
        <v>92.0</v>
      </c>
      <c r="D83" s="21"/>
      <c r="E83" s="11">
        <f>IF(J83="","", C83 * IFERROR(VLOOKUP(J83, SETUP!$A:$D, 3, FALSE), 0))</f>
        <v>55.2</v>
      </c>
      <c r="F83" s="11">
        <f>IF(J83="","", C83 * IFERROR(VLOOKUP(J83, SETUP!$A:$D, 4, FALSE), 0))</f>
        <v>36.8</v>
      </c>
      <c r="G83" s="11">
        <f t="shared" si="1"/>
        <v>36.8</v>
      </c>
      <c r="H83" s="22"/>
      <c r="I83" s="11"/>
      <c r="J83" s="17" t="str">
        <f>IF(TRIM(B83)="","",IF(ISNUMBER(SEARCH(" - ",B83)),TRIM(RIGHT(B83,LEN(B83)-FIND(" - ",B83)-2)),IFERROR(VLOOKUP(UPPER(TRIM(B83)), SETUP!$B$4:$C$11, 2, FALSE), UPPER(TRIM(B83)))))</f>
        <v>AMY</v>
      </c>
      <c r="K83" s="23">
        <f t="shared" si="2"/>
        <v>46055</v>
      </c>
      <c r="L83" s="17">
        <f t="shared" si="3"/>
        <v>46057</v>
      </c>
      <c r="M83" s="17" t="str">
        <f t="shared" si="4"/>
        <v>2026-02</v>
      </c>
    </row>
    <row r="84" ht="15.75" customHeight="1">
      <c r="A84" s="19">
        <v>46057.0</v>
      </c>
      <c r="B84" s="20" t="s">
        <v>20</v>
      </c>
      <c r="C84" s="20">
        <v>72.0</v>
      </c>
      <c r="D84" s="20">
        <v>4.0</v>
      </c>
      <c r="E84" s="11">
        <f>IF(J84="","", C84 * IFERROR(VLOOKUP(J84, SETUP!$A:$D, 3, FALSE), 0))</f>
        <v>43.2</v>
      </c>
      <c r="F84" s="11">
        <f>IF(J84="","", C84 * IFERROR(VLOOKUP(J84, SETUP!$A:$D, 4, FALSE), 0))</f>
        <v>28.8</v>
      </c>
      <c r="G84" s="11">
        <f t="shared" si="1"/>
        <v>28.8</v>
      </c>
      <c r="H84" s="22"/>
      <c r="I84" s="11"/>
      <c r="J84" s="17" t="str">
        <f>IF(TRIM(B84)="","",IF(ISNUMBER(SEARCH(" - ",B84)),TRIM(RIGHT(B84,LEN(B84)-FIND(" - ",B84)-2)),IFERROR(VLOOKUP(UPPER(TRIM(B84)), SETUP!$B$4:$C$11, 2, FALSE), UPPER(TRIM(B84)))))</f>
        <v>AMY</v>
      </c>
      <c r="K84" s="23">
        <f t="shared" si="2"/>
        <v>46055</v>
      </c>
      <c r="L84" s="17">
        <f t="shared" si="3"/>
        <v>46057</v>
      </c>
      <c r="M84" s="17" t="str">
        <f t="shared" si="4"/>
        <v>2026-02</v>
      </c>
    </row>
    <row r="85" ht="15.75" customHeight="1">
      <c r="A85" s="19">
        <v>46057.0</v>
      </c>
      <c r="B85" s="20" t="s">
        <v>20</v>
      </c>
      <c r="C85" s="20">
        <v>57.0</v>
      </c>
      <c r="D85" s="21"/>
      <c r="E85" s="11">
        <f>IF(J85="","", C85 * IFERROR(VLOOKUP(J85, SETUP!$A:$D, 3, FALSE), 0))</f>
        <v>34.2</v>
      </c>
      <c r="F85" s="11">
        <f>IF(J85="","", C85 * IFERROR(VLOOKUP(J85, SETUP!$A:$D, 4, FALSE), 0))</f>
        <v>22.8</v>
      </c>
      <c r="G85" s="11">
        <f t="shared" si="1"/>
        <v>22.8</v>
      </c>
      <c r="H85" s="22"/>
      <c r="I85" s="11"/>
      <c r="J85" s="17" t="str">
        <f>IF(TRIM(B85)="","",IF(ISNUMBER(SEARCH(" - ",B85)),TRIM(RIGHT(B85,LEN(B85)-FIND(" - ",B85)-2)),IFERROR(VLOOKUP(UPPER(TRIM(B85)), SETUP!$B$4:$C$11, 2, FALSE), UPPER(TRIM(B85)))))</f>
        <v>AMY</v>
      </c>
      <c r="K85" s="23">
        <f t="shared" si="2"/>
        <v>46055</v>
      </c>
      <c r="L85" s="17">
        <f t="shared" si="3"/>
        <v>46057</v>
      </c>
      <c r="M85" s="17" t="str">
        <f t="shared" si="4"/>
        <v>2026-02</v>
      </c>
    </row>
    <row r="86" ht="15.75" customHeight="1">
      <c r="A86" s="19">
        <v>46057.0</v>
      </c>
      <c r="B86" s="20" t="s">
        <v>20</v>
      </c>
      <c r="C86" s="20">
        <v>70.0</v>
      </c>
      <c r="D86" s="20">
        <v>10.0</v>
      </c>
      <c r="E86" s="11">
        <f>IF(J86="","", C86 * IFERROR(VLOOKUP(J86, SETUP!$A:$D, 3, FALSE), 0))</f>
        <v>42</v>
      </c>
      <c r="F86" s="11">
        <f>IF(J86="","", C86 * IFERROR(VLOOKUP(J86, SETUP!$A:$D, 4, FALSE), 0))</f>
        <v>28</v>
      </c>
      <c r="G86" s="11">
        <f t="shared" si="1"/>
        <v>28</v>
      </c>
      <c r="H86" s="22"/>
      <c r="I86" s="11"/>
      <c r="J86" s="17" t="str">
        <f>IF(TRIM(B86)="","",IF(ISNUMBER(SEARCH(" - ",B86)),TRIM(RIGHT(B86,LEN(B86)-FIND(" - ",B86)-2)),IFERROR(VLOOKUP(UPPER(TRIM(B86)), SETUP!$B$4:$C$11, 2, FALSE), UPPER(TRIM(B86)))))</f>
        <v>AMY</v>
      </c>
      <c r="K86" s="23">
        <f t="shared" si="2"/>
        <v>46055</v>
      </c>
      <c r="L86" s="17">
        <f t="shared" si="3"/>
        <v>46057</v>
      </c>
      <c r="M86" s="17" t="str">
        <f t="shared" si="4"/>
        <v>2026-02</v>
      </c>
    </row>
    <row r="87" ht="15.75" customHeight="1">
      <c r="A87" s="19">
        <v>46057.0</v>
      </c>
      <c r="B87" s="20" t="s">
        <v>20</v>
      </c>
      <c r="C87" s="20">
        <v>80.0</v>
      </c>
      <c r="D87" s="21"/>
      <c r="E87" s="11">
        <f>IF(J87="","", C87 * IFERROR(VLOOKUP(J87, SETUP!$A:$D, 3, FALSE), 0))</f>
        <v>48</v>
      </c>
      <c r="F87" s="11">
        <f>IF(J87="","", C87 * IFERROR(VLOOKUP(J87, SETUP!$A:$D, 4, FALSE), 0))</f>
        <v>32</v>
      </c>
      <c r="G87" s="11">
        <f t="shared" si="1"/>
        <v>32</v>
      </c>
      <c r="H87" s="22"/>
      <c r="I87" s="11"/>
      <c r="J87" s="17" t="str">
        <f>IF(TRIM(B87)="","",IF(ISNUMBER(SEARCH(" - ",B87)),TRIM(RIGHT(B87,LEN(B87)-FIND(" - ",B87)-2)),IFERROR(VLOOKUP(UPPER(TRIM(B87)), SETUP!$B$4:$C$11, 2, FALSE), UPPER(TRIM(B87)))))</f>
        <v>AMY</v>
      </c>
      <c r="K87" s="23">
        <f t="shared" si="2"/>
        <v>46055</v>
      </c>
      <c r="L87" s="17">
        <f t="shared" si="3"/>
        <v>46057</v>
      </c>
      <c r="M87" s="17" t="str">
        <f t="shared" si="4"/>
        <v>2026-02</v>
      </c>
    </row>
    <row r="88" ht="15.75" customHeight="1">
      <c r="A88" s="19">
        <v>46057.0</v>
      </c>
      <c r="B88" s="20" t="s">
        <v>20</v>
      </c>
      <c r="C88" s="20">
        <v>62.0</v>
      </c>
      <c r="D88" s="20">
        <v>10.0</v>
      </c>
      <c r="E88" s="11">
        <f>IF(J88="","", C88 * IFERROR(VLOOKUP(J88, SETUP!$A:$D, 3, FALSE), 0))</f>
        <v>37.2</v>
      </c>
      <c r="F88" s="11">
        <f>IF(J88="","", C88 * IFERROR(VLOOKUP(J88, SETUP!$A:$D, 4, FALSE), 0))</f>
        <v>24.8</v>
      </c>
      <c r="G88" s="11">
        <f t="shared" si="1"/>
        <v>24.8</v>
      </c>
      <c r="H88" s="22"/>
      <c r="I88" s="11"/>
      <c r="J88" s="17" t="str">
        <f>IF(TRIM(B88)="","",IF(ISNUMBER(SEARCH(" - ",B88)),TRIM(RIGHT(B88,LEN(B88)-FIND(" - ",B88)-2)),IFERROR(VLOOKUP(UPPER(TRIM(B88)), SETUP!$B$4:$C$11, 2, FALSE), UPPER(TRIM(B88)))))</f>
        <v>AMY</v>
      </c>
      <c r="K88" s="23">
        <f t="shared" si="2"/>
        <v>46055</v>
      </c>
      <c r="L88" s="17">
        <f t="shared" si="3"/>
        <v>46057</v>
      </c>
      <c r="M88" s="17" t="str">
        <f t="shared" si="4"/>
        <v>2026-02</v>
      </c>
    </row>
    <row r="89" ht="15.75" customHeight="1">
      <c r="A89" s="19">
        <v>46057.0</v>
      </c>
      <c r="B89" s="20" t="s">
        <v>20</v>
      </c>
      <c r="C89" s="20">
        <v>30.0</v>
      </c>
      <c r="D89" s="21"/>
      <c r="E89" s="11">
        <f>IF(J89="","", C89 * IFERROR(VLOOKUP(J89, SETUP!$A:$D, 3, FALSE), 0))</f>
        <v>18</v>
      </c>
      <c r="F89" s="11">
        <f>IF(J89="","", C89 * IFERROR(VLOOKUP(J89, SETUP!$A:$D, 4, FALSE), 0))</f>
        <v>12</v>
      </c>
      <c r="G89" s="11">
        <f t="shared" si="1"/>
        <v>12</v>
      </c>
      <c r="H89" s="22"/>
      <c r="I89" s="11"/>
      <c r="J89" s="17" t="str">
        <f>IF(TRIM(B89)="","",IF(ISNUMBER(SEARCH(" - ",B89)),TRIM(RIGHT(B89,LEN(B89)-FIND(" - ",B89)-2)),IFERROR(VLOOKUP(UPPER(TRIM(B89)), SETUP!$B$4:$C$11, 2, FALSE), UPPER(TRIM(B89)))))</f>
        <v>AMY</v>
      </c>
      <c r="K89" s="23">
        <f t="shared" si="2"/>
        <v>46055</v>
      </c>
      <c r="L89" s="17">
        <f t="shared" si="3"/>
        <v>46057</v>
      </c>
      <c r="M89" s="17" t="str">
        <f t="shared" si="4"/>
        <v>2026-02</v>
      </c>
    </row>
    <row r="90" ht="15.75" customHeight="1">
      <c r="A90" s="19">
        <v>46057.0</v>
      </c>
      <c r="B90" s="20" t="s">
        <v>20</v>
      </c>
      <c r="C90" s="20">
        <v>92.0</v>
      </c>
      <c r="D90" s="21"/>
      <c r="E90" s="11">
        <f>IF(J90="","", C90 * IFERROR(VLOOKUP(J90, SETUP!$A:$D, 3, FALSE), 0))</f>
        <v>55.2</v>
      </c>
      <c r="F90" s="11">
        <f>IF(J90="","", C90 * IFERROR(VLOOKUP(J90, SETUP!$A:$D, 4, FALSE), 0))</f>
        <v>36.8</v>
      </c>
      <c r="G90" s="11">
        <f t="shared" si="1"/>
        <v>36.8</v>
      </c>
      <c r="H90" s="22"/>
      <c r="I90" s="11"/>
      <c r="J90" s="17" t="str">
        <f>IF(TRIM(B90)="","",IF(ISNUMBER(SEARCH(" - ",B90)),TRIM(RIGHT(B90,LEN(B90)-FIND(" - ",B90)-2)),IFERROR(VLOOKUP(UPPER(TRIM(B90)), SETUP!$B$4:$C$11, 2, FALSE), UPPER(TRIM(B90)))))</f>
        <v>AMY</v>
      </c>
      <c r="K90" s="23">
        <f t="shared" si="2"/>
        <v>46055</v>
      </c>
      <c r="L90" s="17">
        <f t="shared" si="3"/>
        <v>46057</v>
      </c>
      <c r="M90" s="17" t="str">
        <f t="shared" si="4"/>
        <v>2026-02</v>
      </c>
    </row>
    <row r="91" ht="15.75" customHeight="1">
      <c r="A91" s="19">
        <v>46057.0</v>
      </c>
      <c r="B91" s="20" t="s">
        <v>21</v>
      </c>
      <c r="C91" s="20">
        <v>112.0</v>
      </c>
      <c r="D91" s="21"/>
      <c r="E91" s="11">
        <f>IF(J91="","", C91 * IFERROR(VLOOKUP(J91, SETUP!$A:$D, 3, FALSE), 0))</f>
        <v>67.2</v>
      </c>
      <c r="F91" s="11">
        <f>IF(J91="","", C91 * IFERROR(VLOOKUP(J91, SETUP!$A:$D, 4, FALSE), 0))</f>
        <v>44.8</v>
      </c>
      <c r="G91" s="11">
        <f t="shared" si="1"/>
        <v>44.8</v>
      </c>
      <c r="H91" s="22"/>
      <c r="I91" s="11"/>
      <c r="J91" s="17" t="str">
        <f>IF(TRIM(B91)="","",IF(ISNUMBER(SEARCH(" - ",B91)),TRIM(RIGHT(B91,LEN(B91)-FIND(" - ",B91)-2)),IFERROR(VLOOKUP(UPPER(TRIM(B91)), SETUP!$B$4:$C$11, 2, FALSE), UPPER(TRIM(B91)))))</f>
        <v>TONY</v>
      </c>
      <c r="K91" s="23">
        <f t="shared" si="2"/>
        <v>46055</v>
      </c>
      <c r="L91" s="17">
        <f t="shared" si="3"/>
        <v>46057</v>
      </c>
      <c r="M91" s="17" t="str">
        <f t="shared" si="4"/>
        <v>2026-02</v>
      </c>
    </row>
    <row r="92" ht="15.75" customHeight="1">
      <c r="A92" s="19">
        <v>46057.0</v>
      </c>
      <c r="B92" s="20" t="s">
        <v>21</v>
      </c>
      <c r="C92" s="20">
        <v>67.0</v>
      </c>
      <c r="D92" s="21"/>
      <c r="E92" s="11">
        <f>IF(J92="","", C92 * IFERROR(VLOOKUP(J92, SETUP!$A:$D, 3, FALSE), 0))</f>
        <v>40.2</v>
      </c>
      <c r="F92" s="11">
        <f>IF(J92="","", C92 * IFERROR(VLOOKUP(J92, SETUP!$A:$D, 4, FALSE), 0))</f>
        <v>26.8</v>
      </c>
      <c r="G92" s="11">
        <f t="shared" si="1"/>
        <v>26.8</v>
      </c>
      <c r="H92" s="22"/>
      <c r="I92" s="11"/>
      <c r="J92" s="17" t="str">
        <f>IF(TRIM(B92)="","",IF(ISNUMBER(SEARCH(" - ",B92)),TRIM(RIGHT(B92,LEN(B92)-FIND(" - ",B92)-2)),IFERROR(VLOOKUP(UPPER(TRIM(B92)), SETUP!$B$4:$C$11, 2, FALSE), UPPER(TRIM(B92)))))</f>
        <v>TONY</v>
      </c>
      <c r="K92" s="23">
        <f t="shared" si="2"/>
        <v>46055</v>
      </c>
      <c r="L92" s="17">
        <f t="shared" si="3"/>
        <v>46057</v>
      </c>
      <c r="M92" s="17" t="str">
        <f t="shared" si="4"/>
        <v>2026-02</v>
      </c>
    </row>
    <row r="93" ht="15.75" customHeight="1">
      <c r="A93" s="19">
        <v>46057.0</v>
      </c>
      <c r="B93" s="20" t="s">
        <v>21</v>
      </c>
      <c r="C93" s="20">
        <v>52.0</v>
      </c>
      <c r="D93" s="21"/>
      <c r="E93" s="11">
        <f>IF(J93="","", C93 * IFERROR(VLOOKUP(J93, SETUP!$A:$D, 3, FALSE), 0))</f>
        <v>31.2</v>
      </c>
      <c r="F93" s="11">
        <f>IF(J93="","", C93 * IFERROR(VLOOKUP(J93, SETUP!$A:$D, 4, FALSE), 0))</f>
        <v>20.8</v>
      </c>
      <c r="G93" s="11">
        <f t="shared" si="1"/>
        <v>20.8</v>
      </c>
      <c r="H93" s="22"/>
      <c r="I93" s="11"/>
      <c r="J93" s="17" t="str">
        <f>IF(TRIM(B93)="","",IF(ISNUMBER(SEARCH(" - ",B93)),TRIM(RIGHT(B93,LEN(B93)-FIND(" - ",B93)-2)),IFERROR(VLOOKUP(UPPER(TRIM(B93)), SETUP!$B$4:$C$11, 2, FALSE), UPPER(TRIM(B93)))))</f>
        <v>TONY</v>
      </c>
      <c r="K93" s="23">
        <f t="shared" si="2"/>
        <v>46055</v>
      </c>
      <c r="L93" s="17">
        <f t="shared" si="3"/>
        <v>46057</v>
      </c>
      <c r="M93" s="17" t="str">
        <f t="shared" si="4"/>
        <v>2026-02</v>
      </c>
    </row>
    <row r="94" ht="15.75" customHeight="1">
      <c r="A94" s="19">
        <v>46057.0</v>
      </c>
      <c r="B94" s="20" t="s">
        <v>21</v>
      </c>
      <c r="C94" s="20">
        <v>72.0</v>
      </c>
      <c r="D94" s="21"/>
      <c r="E94" s="11">
        <f>IF(J94="","", C94 * IFERROR(VLOOKUP(J94, SETUP!$A:$D, 3, FALSE), 0))</f>
        <v>43.2</v>
      </c>
      <c r="F94" s="11">
        <f>IF(J94="","", C94 * IFERROR(VLOOKUP(J94, SETUP!$A:$D, 4, FALSE), 0))</f>
        <v>28.8</v>
      </c>
      <c r="G94" s="11">
        <f t="shared" si="1"/>
        <v>28.8</v>
      </c>
      <c r="H94" s="22"/>
      <c r="I94" s="11"/>
      <c r="J94" s="17" t="str">
        <f>IF(TRIM(B94)="","",IF(ISNUMBER(SEARCH(" - ",B94)),TRIM(RIGHT(B94,LEN(B94)-FIND(" - ",B94)-2)),IFERROR(VLOOKUP(UPPER(TRIM(B94)), SETUP!$B$4:$C$11, 2, FALSE), UPPER(TRIM(B94)))))</f>
        <v>TONY</v>
      </c>
      <c r="K94" s="23">
        <f t="shared" si="2"/>
        <v>46055</v>
      </c>
      <c r="L94" s="17">
        <f t="shared" si="3"/>
        <v>46057</v>
      </c>
      <c r="M94" s="17" t="str">
        <f t="shared" si="4"/>
        <v>2026-02</v>
      </c>
    </row>
    <row r="95" ht="15.75" customHeight="1">
      <c r="A95" s="19">
        <v>46057.0</v>
      </c>
      <c r="B95" s="20" t="s">
        <v>21</v>
      </c>
      <c r="C95" s="20">
        <v>67.0</v>
      </c>
      <c r="D95" s="20">
        <v>15.0</v>
      </c>
      <c r="E95" s="11">
        <f>IF(J95="","", C95 * IFERROR(VLOOKUP(J95, SETUP!$A:$D, 3, FALSE), 0))</f>
        <v>40.2</v>
      </c>
      <c r="F95" s="11">
        <f>IF(J95="","", C95 * IFERROR(VLOOKUP(J95, SETUP!$A:$D, 4, FALSE), 0))</f>
        <v>26.8</v>
      </c>
      <c r="G95" s="11">
        <f t="shared" si="1"/>
        <v>26.8</v>
      </c>
      <c r="H95" s="22"/>
      <c r="I95" s="11"/>
      <c r="J95" s="17" t="str">
        <f>IF(TRIM(B95)="","",IF(ISNUMBER(SEARCH(" - ",B95)),TRIM(RIGHT(B95,LEN(B95)-FIND(" - ",B95)-2)),IFERROR(VLOOKUP(UPPER(TRIM(B95)), SETUP!$B$4:$C$11, 2, FALSE), UPPER(TRIM(B95)))))</f>
        <v>TONY</v>
      </c>
      <c r="K95" s="23">
        <f t="shared" si="2"/>
        <v>46055</v>
      </c>
      <c r="L95" s="17">
        <f t="shared" si="3"/>
        <v>46057</v>
      </c>
      <c r="M95" s="17" t="str">
        <f t="shared" si="4"/>
        <v>2026-02</v>
      </c>
    </row>
    <row r="96" ht="15.75" customHeight="1">
      <c r="A96" s="19">
        <v>46057.0</v>
      </c>
      <c r="B96" s="20" t="s">
        <v>21</v>
      </c>
      <c r="C96" s="20">
        <v>80.0</v>
      </c>
      <c r="D96" s="21"/>
      <c r="E96" s="11">
        <f>IF(J96="","", C96 * IFERROR(VLOOKUP(J96, SETUP!$A:$D, 3, FALSE), 0))</f>
        <v>48</v>
      </c>
      <c r="F96" s="11">
        <f>IF(J96="","", C96 * IFERROR(VLOOKUP(J96, SETUP!$A:$D, 4, FALSE), 0))</f>
        <v>32</v>
      </c>
      <c r="G96" s="11">
        <f t="shared" si="1"/>
        <v>32</v>
      </c>
      <c r="H96" s="22"/>
      <c r="I96" s="11"/>
      <c r="J96" s="17" t="str">
        <f>IF(TRIM(B96)="","",IF(ISNUMBER(SEARCH(" - ",B96)),TRIM(RIGHT(B96,LEN(B96)-FIND(" - ",B96)-2)),IFERROR(VLOOKUP(UPPER(TRIM(B96)), SETUP!$B$4:$C$11, 2, FALSE), UPPER(TRIM(B96)))))</f>
        <v>TONY</v>
      </c>
      <c r="K96" s="23">
        <f t="shared" si="2"/>
        <v>46055</v>
      </c>
      <c r="L96" s="17">
        <f t="shared" si="3"/>
        <v>46057</v>
      </c>
      <c r="M96" s="17" t="str">
        <f t="shared" si="4"/>
        <v>2026-02</v>
      </c>
    </row>
    <row r="97" ht="15.75" customHeight="1">
      <c r="A97" s="19">
        <v>46057.0</v>
      </c>
      <c r="B97" s="20" t="s">
        <v>21</v>
      </c>
      <c r="C97" s="20">
        <v>35.0</v>
      </c>
      <c r="D97" s="21"/>
      <c r="E97" s="11">
        <f>IF(J97="","", C97 * IFERROR(VLOOKUP(J97, SETUP!$A:$D, 3, FALSE), 0))</f>
        <v>21</v>
      </c>
      <c r="F97" s="11">
        <f>IF(J97="","", C97 * IFERROR(VLOOKUP(J97, SETUP!$A:$D, 4, FALSE), 0))</f>
        <v>14</v>
      </c>
      <c r="G97" s="11">
        <f t="shared" si="1"/>
        <v>14</v>
      </c>
      <c r="H97" s="22"/>
      <c r="I97" s="11"/>
      <c r="J97" s="17" t="str">
        <f>IF(TRIM(B97)="","",IF(ISNUMBER(SEARCH(" - ",B97)),TRIM(RIGHT(B97,LEN(B97)-FIND(" - ",B97)-2)),IFERROR(VLOOKUP(UPPER(TRIM(B97)), SETUP!$B$4:$C$11, 2, FALSE), UPPER(TRIM(B97)))))</f>
        <v>TONY</v>
      </c>
      <c r="K97" s="23">
        <f t="shared" si="2"/>
        <v>46055</v>
      </c>
      <c r="L97" s="17">
        <f t="shared" si="3"/>
        <v>46057</v>
      </c>
      <c r="M97" s="17" t="str">
        <f t="shared" si="4"/>
        <v>2026-02</v>
      </c>
    </row>
    <row r="98" ht="15.75" customHeight="1">
      <c r="A98" s="19">
        <v>46057.0</v>
      </c>
      <c r="B98" s="20" t="s">
        <v>21</v>
      </c>
      <c r="C98" s="20">
        <v>82.0</v>
      </c>
      <c r="D98" s="21"/>
      <c r="E98" s="11">
        <f>IF(J98="","", C98 * IFERROR(VLOOKUP(J98, SETUP!$A:$D, 3, FALSE), 0))</f>
        <v>49.2</v>
      </c>
      <c r="F98" s="11">
        <f>IF(J98="","", C98 * IFERROR(VLOOKUP(J98, SETUP!$A:$D, 4, FALSE), 0))</f>
        <v>32.8</v>
      </c>
      <c r="G98" s="11">
        <f t="shared" si="1"/>
        <v>32.8</v>
      </c>
      <c r="H98" s="22"/>
      <c r="I98" s="11"/>
      <c r="J98" s="17" t="str">
        <f>IF(TRIM(B98)="","",IF(ISNUMBER(SEARCH(" - ",B98)),TRIM(RIGHT(B98,LEN(B98)-FIND(" - ",B98)-2)),IFERROR(VLOOKUP(UPPER(TRIM(B98)), SETUP!$B$4:$C$11, 2, FALSE), UPPER(TRIM(B98)))))</f>
        <v>TONY</v>
      </c>
      <c r="K98" s="23">
        <f t="shared" si="2"/>
        <v>46055</v>
      </c>
      <c r="L98" s="17">
        <f t="shared" si="3"/>
        <v>46057</v>
      </c>
      <c r="M98" s="17" t="str">
        <f t="shared" si="4"/>
        <v>2026-02</v>
      </c>
    </row>
    <row r="99" ht="15.75" customHeight="1">
      <c r="A99" s="19">
        <v>46058.0</v>
      </c>
      <c r="B99" s="20" t="s">
        <v>16</v>
      </c>
      <c r="C99" s="20">
        <v>67.0</v>
      </c>
      <c r="D99" s="21"/>
      <c r="E99" s="11">
        <f>IF(J99="","", C99 * IFERROR(VLOOKUP(J99, SETUP!$A:$D, 3, FALSE), 0))</f>
        <v>0</v>
      </c>
      <c r="F99" s="11">
        <f>IF(J99="","", C99 * IFERROR(VLOOKUP(J99, SETUP!$A:$D, 4, FALSE), 0))</f>
        <v>67</v>
      </c>
      <c r="G99" s="11">
        <f t="shared" si="1"/>
        <v>67</v>
      </c>
      <c r="H99" s="22"/>
      <c r="I99" s="11"/>
      <c r="J99" s="17" t="str">
        <f>IF(TRIM(B99)="","",IF(ISNUMBER(SEARCH(" - ",B99)),TRIM(RIGHT(B99,LEN(B99)-FIND(" - ",B99)-2)),IFERROR(VLOOKUP(UPPER(TRIM(B99)), SETUP!$B$4:$C$11, 2, FALSE), UPPER(TRIM(B99)))))</f>
        <v>KEN</v>
      </c>
      <c r="K99" s="23">
        <f t="shared" si="2"/>
        <v>46055</v>
      </c>
      <c r="L99" s="17">
        <f t="shared" si="3"/>
        <v>46058</v>
      </c>
      <c r="M99" s="17" t="str">
        <f t="shared" si="4"/>
        <v>2026-02</v>
      </c>
    </row>
    <row r="100" ht="15.75" customHeight="1">
      <c r="A100" s="19">
        <v>46058.0</v>
      </c>
      <c r="B100" s="20" t="s">
        <v>16</v>
      </c>
      <c r="C100" s="20">
        <v>65.0</v>
      </c>
      <c r="D100" s="21"/>
      <c r="E100" s="11">
        <f>IF(J100="","", C100 * IFERROR(VLOOKUP(J100, SETUP!$A:$D, 3, FALSE), 0))</f>
        <v>0</v>
      </c>
      <c r="F100" s="11">
        <f>IF(J100="","", C100 * IFERROR(VLOOKUP(J100, SETUP!$A:$D, 4, FALSE), 0))</f>
        <v>65</v>
      </c>
      <c r="G100" s="11">
        <f t="shared" si="1"/>
        <v>65</v>
      </c>
      <c r="H100" s="22"/>
      <c r="I100" s="11"/>
      <c r="J100" s="17" t="str">
        <f>IF(TRIM(B100)="","",IF(ISNUMBER(SEARCH(" - ",B100)),TRIM(RIGHT(B100,LEN(B100)-FIND(" - ",B100)-2)),IFERROR(VLOOKUP(UPPER(TRIM(B100)), SETUP!$B$4:$C$11, 2, FALSE), UPPER(TRIM(B100)))))</f>
        <v>KEN</v>
      </c>
      <c r="K100" s="23">
        <f t="shared" si="2"/>
        <v>46055</v>
      </c>
      <c r="L100" s="17">
        <f t="shared" si="3"/>
        <v>46058</v>
      </c>
      <c r="M100" s="17" t="str">
        <f t="shared" si="4"/>
        <v>2026-02</v>
      </c>
    </row>
    <row r="101" ht="15.75" customHeight="1">
      <c r="A101" s="19">
        <v>46058.0</v>
      </c>
      <c r="B101" s="20" t="s">
        <v>16</v>
      </c>
      <c r="C101" s="20">
        <v>40.0</v>
      </c>
      <c r="D101" s="21"/>
      <c r="E101" s="11">
        <f>IF(J101="","", C101 * IFERROR(VLOOKUP(J101, SETUP!$A:$D, 3, FALSE), 0))</f>
        <v>0</v>
      </c>
      <c r="F101" s="11">
        <f>IF(J101="","", C101 * IFERROR(VLOOKUP(J101, SETUP!$A:$D, 4, FALSE), 0))</f>
        <v>40</v>
      </c>
      <c r="G101" s="11">
        <f t="shared" si="1"/>
        <v>40</v>
      </c>
      <c r="H101" s="22"/>
      <c r="I101" s="11"/>
      <c r="J101" s="17" t="str">
        <f>IF(TRIM(B101)="","",IF(ISNUMBER(SEARCH(" - ",B101)),TRIM(RIGHT(B101,LEN(B101)-FIND(" - ",B101)-2)),IFERROR(VLOOKUP(UPPER(TRIM(B101)), SETUP!$B$4:$C$11, 2, FALSE), UPPER(TRIM(B101)))))</f>
        <v>KEN</v>
      </c>
      <c r="K101" s="23">
        <f t="shared" si="2"/>
        <v>46055</v>
      </c>
      <c r="L101" s="17">
        <f t="shared" si="3"/>
        <v>46058</v>
      </c>
      <c r="M101" s="17" t="str">
        <f t="shared" si="4"/>
        <v>2026-02</v>
      </c>
    </row>
    <row r="102" ht="15.75" customHeight="1">
      <c r="A102" s="19">
        <v>46058.0</v>
      </c>
      <c r="B102" s="20" t="s">
        <v>17</v>
      </c>
      <c r="C102" s="20">
        <v>72.0</v>
      </c>
      <c r="D102" s="21"/>
      <c r="E102" s="11">
        <f>IF(J102="","", C102 * IFERROR(VLOOKUP(J102, SETUP!$A:$D, 3, FALSE), 0))</f>
        <v>43.2</v>
      </c>
      <c r="F102" s="11">
        <f>IF(J102="","", C102 * IFERROR(VLOOKUP(J102, SETUP!$A:$D, 4, FALSE), 0))</f>
        <v>28.8</v>
      </c>
      <c r="G102" s="11">
        <f t="shared" si="1"/>
        <v>28.8</v>
      </c>
      <c r="H102" s="22"/>
      <c r="I102" s="11"/>
      <c r="J102" s="17" t="str">
        <f>IF(TRIM(B102)="","",IF(ISNUMBER(SEARCH(" - ",B102)),TRIM(RIGHT(B102,LEN(B102)-FIND(" - ",B102)-2)),IFERROR(VLOOKUP(UPPER(TRIM(B102)), SETUP!$B$4:$C$11, 2, FALSE), UPPER(TRIM(B102)))))</f>
        <v>RYAN</v>
      </c>
      <c r="K102" s="23">
        <f t="shared" si="2"/>
        <v>46055</v>
      </c>
      <c r="L102" s="17">
        <f t="shared" si="3"/>
        <v>46058</v>
      </c>
      <c r="M102" s="17" t="str">
        <f t="shared" si="4"/>
        <v>2026-02</v>
      </c>
    </row>
    <row r="103" ht="15.75" customHeight="1">
      <c r="A103" s="19">
        <v>46058.0</v>
      </c>
      <c r="B103" s="20" t="s">
        <v>17</v>
      </c>
      <c r="C103" s="20">
        <v>82.0</v>
      </c>
      <c r="D103" s="21"/>
      <c r="E103" s="11">
        <f>IF(J103="","", C103 * IFERROR(VLOOKUP(J103, SETUP!$A:$D, 3, FALSE), 0))</f>
        <v>49.2</v>
      </c>
      <c r="F103" s="11">
        <f>IF(J103="","", C103 * IFERROR(VLOOKUP(J103, SETUP!$A:$D, 4, FALSE), 0))</f>
        <v>32.8</v>
      </c>
      <c r="G103" s="11">
        <f t="shared" si="1"/>
        <v>32.8</v>
      </c>
      <c r="H103" s="22"/>
      <c r="I103" s="11"/>
      <c r="J103" s="17" t="str">
        <f>IF(TRIM(B103)="","",IF(ISNUMBER(SEARCH(" - ",B103)),TRIM(RIGHT(B103,LEN(B103)-FIND(" - ",B103)-2)),IFERROR(VLOOKUP(UPPER(TRIM(B103)), SETUP!$B$4:$C$11, 2, FALSE), UPPER(TRIM(B103)))))</f>
        <v>RYAN</v>
      </c>
      <c r="K103" s="23">
        <f t="shared" si="2"/>
        <v>46055</v>
      </c>
      <c r="L103" s="17">
        <f t="shared" si="3"/>
        <v>46058</v>
      </c>
      <c r="M103" s="17" t="str">
        <f t="shared" si="4"/>
        <v>2026-02</v>
      </c>
    </row>
    <row r="104" ht="15.75" customHeight="1">
      <c r="A104" s="19">
        <v>46058.0</v>
      </c>
      <c r="B104" s="20" t="s">
        <v>17</v>
      </c>
      <c r="C104" s="20">
        <v>130.0</v>
      </c>
      <c r="D104" s="21"/>
      <c r="E104" s="11">
        <f>IF(J104="","", C104 * IFERROR(VLOOKUP(J104, SETUP!$A:$D, 3, FALSE), 0))</f>
        <v>78</v>
      </c>
      <c r="F104" s="11">
        <f>IF(J104="","", C104 * IFERROR(VLOOKUP(J104, SETUP!$A:$D, 4, FALSE), 0))</f>
        <v>52</v>
      </c>
      <c r="G104" s="11">
        <f t="shared" si="1"/>
        <v>52</v>
      </c>
      <c r="H104" s="22"/>
      <c r="I104" s="11"/>
      <c r="J104" s="17" t="str">
        <f>IF(TRIM(B104)="","",IF(ISNUMBER(SEARCH(" - ",B104)),TRIM(RIGHT(B104,LEN(B104)-FIND(" - ",B104)-2)),IFERROR(VLOOKUP(UPPER(TRIM(B104)), SETUP!$B$4:$C$11, 2, FALSE), UPPER(TRIM(B104)))))</f>
        <v>RYAN</v>
      </c>
      <c r="K104" s="23">
        <f t="shared" si="2"/>
        <v>46055</v>
      </c>
      <c r="L104" s="17">
        <f t="shared" si="3"/>
        <v>46058</v>
      </c>
      <c r="M104" s="17" t="str">
        <f t="shared" si="4"/>
        <v>2026-02</v>
      </c>
    </row>
    <row r="105" ht="15.75" customHeight="1">
      <c r="A105" s="19">
        <v>46058.0</v>
      </c>
      <c r="B105" s="20" t="s">
        <v>17</v>
      </c>
      <c r="C105" s="20">
        <v>87.0</v>
      </c>
      <c r="D105" s="21"/>
      <c r="E105" s="11">
        <f>IF(J105="","", C105 * IFERROR(VLOOKUP(J105, SETUP!$A:$D, 3, FALSE), 0))</f>
        <v>52.2</v>
      </c>
      <c r="F105" s="11">
        <f>IF(J105="","", C105 * IFERROR(VLOOKUP(J105, SETUP!$A:$D, 4, FALSE), 0))</f>
        <v>34.8</v>
      </c>
      <c r="G105" s="11">
        <f t="shared" si="1"/>
        <v>34.8</v>
      </c>
      <c r="H105" s="22"/>
      <c r="I105" s="11"/>
      <c r="J105" s="17" t="str">
        <f>IF(TRIM(B105)="","",IF(ISNUMBER(SEARCH(" - ",B105)),TRIM(RIGHT(B105,LEN(B105)-FIND(" - ",B105)-2)),IFERROR(VLOOKUP(UPPER(TRIM(B105)), SETUP!$B$4:$C$11, 2, FALSE), UPPER(TRIM(B105)))))</f>
        <v>RYAN</v>
      </c>
      <c r="K105" s="23">
        <f t="shared" si="2"/>
        <v>46055</v>
      </c>
      <c r="L105" s="17">
        <f t="shared" si="3"/>
        <v>46058</v>
      </c>
      <c r="M105" s="17" t="str">
        <f t="shared" si="4"/>
        <v>2026-02</v>
      </c>
    </row>
    <row r="106" ht="15.75" customHeight="1">
      <c r="A106" s="19">
        <v>46058.0</v>
      </c>
      <c r="B106" s="20" t="s">
        <v>17</v>
      </c>
      <c r="C106" s="20">
        <v>72.0</v>
      </c>
      <c r="D106" s="21"/>
      <c r="E106" s="11">
        <f>IF(J106="","", C106 * IFERROR(VLOOKUP(J106, SETUP!$A:$D, 3, FALSE), 0))</f>
        <v>43.2</v>
      </c>
      <c r="F106" s="11">
        <f>IF(J106="","", C106 * IFERROR(VLOOKUP(J106, SETUP!$A:$D, 4, FALSE), 0))</f>
        <v>28.8</v>
      </c>
      <c r="G106" s="11">
        <f t="shared" si="1"/>
        <v>28.8</v>
      </c>
      <c r="H106" s="22"/>
      <c r="I106" s="11"/>
      <c r="J106" s="17" t="str">
        <f>IF(TRIM(B106)="","",IF(ISNUMBER(SEARCH(" - ",B106)),TRIM(RIGHT(B106,LEN(B106)-FIND(" - ",B106)-2)),IFERROR(VLOOKUP(UPPER(TRIM(B106)), SETUP!$B$4:$C$11, 2, FALSE), UPPER(TRIM(B106)))))</f>
        <v>RYAN</v>
      </c>
      <c r="K106" s="23">
        <f t="shared" si="2"/>
        <v>46055</v>
      </c>
      <c r="L106" s="17">
        <f t="shared" si="3"/>
        <v>46058</v>
      </c>
      <c r="M106" s="17" t="str">
        <f t="shared" si="4"/>
        <v>2026-02</v>
      </c>
    </row>
    <row r="107" ht="15.75" customHeight="1">
      <c r="A107" s="19">
        <v>46058.0</v>
      </c>
      <c r="B107" s="20" t="s">
        <v>18</v>
      </c>
      <c r="C107" s="20">
        <v>65.0</v>
      </c>
      <c r="D107" s="21"/>
      <c r="E107" s="11">
        <f>IF(J107="","", C107 * IFERROR(VLOOKUP(J107, SETUP!$A:$D, 3, FALSE), 0))</f>
        <v>32.5</v>
      </c>
      <c r="F107" s="11">
        <f>IF(J107="","", C107 * IFERROR(VLOOKUP(J107, SETUP!$A:$D, 4, FALSE), 0))</f>
        <v>32.5</v>
      </c>
      <c r="G107" s="11">
        <f t="shared" si="1"/>
        <v>32.5</v>
      </c>
      <c r="H107" s="22"/>
      <c r="I107" s="11"/>
      <c r="J107" s="17" t="str">
        <f>IF(TRIM(B107)="","",IF(ISNUMBER(SEARCH(" - ",B107)),TRIM(RIGHT(B107,LEN(B107)-FIND(" - ",B107)-2)),IFERROR(VLOOKUP(UPPER(TRIM(B107)), SETUP!$B$4:$C$11, 2, FALSE), UPPER(TRIM(B107)))))</f>
        <v>CRIS</v>
      </c>
      <c r="K107" s="23">
        <f t="shared" si="2"/>
        <v>46055</v>
      </c>
      <c r="L107" s="17">
        <f t="shared" si="3"/>
        <v>46058</v>
      </c>
      <c r="M107" s="17" t="str">
        <f t="shared" si="4"/>
        <v>2026-02</v>
      </c>
    </row>
    <row r="108" ht="15.75" customHeight="1">
      <c r="A108" s="19">
        <v>46058.0</v>
      </c>
      <c r="B108" s="20" t="s">
        <v>18</v>
      </c>
      <c r="C108" s="20">
        <v>65.0</v>
      </c>
      <c r="D108" s="21"/>
      <c r="E108" s="11">
        <f>IF(J108="","", C108 * IFERROR(VLOOKUP(J108, SETUP!$A:$D, 3, FALSE), 0))</f>
        <v>32.5</v>
      </c>
      <c r="F108" s="11">
        <f>IF(J108="","", C108 * IFERROR(VLOOKUP(J108, SETUP!$A:$D, 4, FALSE), 0))</f>
        <v>32.5</v>
      </c>
      <c r="G108" s="11">
        <f t="shared" si="1"/>
        <v>32.5</v>
      </c>
      <c r="H108" s="22"/>
      <c r="I108" s="11"/>
      <c r="J108" s="17" t="str">
        <f>IF(TRIM(B108)="","",IF(ISNUMBER(SEARCH(" - ",B108)),TRIM(RIGHT(B108,LEN(B108)-FIND(" - ",B108)-2)),IFERROR(VLOOKUP(UPPER(TRIM(B108)), SETUP!$B$4:$C$11, 2, FALSE), UPPER(TRIM(B108)))))</f>
        <v>CRIS</v>
      </c>
      <c r="K108" s="23">
        <f t="shared" si="2"/>
        <v>46055</v>
      </c>
      <c r="L108" s="17">
        <f t="shared" si="3"/>
        <v>46058</v>
      </c>
      <c r="M108" s="17" t="str">
        <f t="shared" si="4"/>
        <v>2026-02</v>
      </c>
    </row>
    <row r="109" ht="15.75" customHeight="1">
      <c r="A109" s="19">
        <v>46058.0</v>
      </c>
      <c r="B109" s="20" t="s">
        <v>18</v>
      </c>
      <c r="C109" s="20">
        <v>22.0</v>
      </c>
      <c r="D109" s="21"/>
      <c r="E109" s="11">
        <f>IF(J109="","", C109 * IFERROR(VLOOKUP(J109, SETUP!$A:$D, 3, FALSE), 0))</f>
        <v>11</v>
      </c>
      <c r="F109" s="11">
        <f>IF(J109="","", C109 * IFERROR(VLOOKUP(J109, SETUP!$A:$D, 4, FALSE), 0))</f>
        <v>11</v>
      </c>
      <c r="G109" s="11">
        <f t="shared" si="1"/>
        <v>11</v>
      </c>
      <c r="H109" s="22"/>
      <c r="I109" s="11"/>
      <c r="J109" s="17" t="str">
        <f>IF(TRIM(B109)="","",IF(ISNUMBER(SEARCH(" - ",B109)),TRIM(RIGHT(B109,LEN(B109)-FIND(" - ",B109)-2)),IFERROR(VLOOKUP(UPPER(TRIM(B109)), SETUP!$B$4:$C$11, 2, FALSE), UPPER(TRIM(B109)))))</f>
        <v>CRIS</v>
      </c>
      <c r="K109" s="23">
        <f t="shared" si="2"/>
        <v>46055</v>
      </c>
      <c r="L109" s="17">
        <f t="shared" si="3"/>
        <v>46058</v>
      </c>
      <c r="M109" s="17" t="str">
        <f t="shared" si="4"/>
        <v>2026-02</v>
      </c>
    </row>
    <row r="110" ht="15.75" customHeight="1">
      <c r="A110" s="19">
        <v>46058.0</v>
      </c>
      <c r="B110" s="20" t="s">
        <v>19</v>
      </c>
      <c r="C110" s="20">
        <v>72.0</v>
      </c>
      <c r="D110" s="21"/>
      <c r="E110" s="11">
        <f>IF(J110="","", C110 * IFERROR(VLOOKUP(J110, SETUP!$A:$D, 3, FALSE), 0))</f>
        <v>0</v>
      </c>
      <c r="F110" s="11">
        <f>IF(J110="","", C110 * IFERROR(VLOOKUP(J110, SETUP!$A:$D, 4, FALSE), 0))</f>
        <v>72</v>
      </c>
      <c r="G110" s="11">
        <f t="shared" si="1"/>
        <v>72</v>
      </c>
      <c r="H110" s="22"/>
      <c r="I110" s="11"/>
      <c r="J110" s="17" t="str">
        <f>IF(TRIM(B110)="","",IF(ISNUMBER(SEARCH(" - ",B110)),TRIM(RIGHT(B110,LEN(B110)-FIND(" - ",B110)-2)),IFERROR(VLOOKUP(UPPER(TRIM(B110)), SETUP!$B$4:$C$11, 2, FALSE), UPPER(TRIM(B110)))))</f>
        <v>HANNI</v>
      </c>
      <c r="K110" s="23">
        <f t="shared" si="2"/>
        <v>46055</v>
      </c>
      <c r="L110" s="17">
        <f t="shared" si="3"/>
        <v>46058</v>
      </c>
      <c r="M110" s="17" t="str">
        <f t="shared" si="4"/>
        <v>2026-02</v>
      </c>
    </row>
    <row r="111" ht="15.75" customHeight="1">
      <c r="A111" s="19">
        <v>46058.0</v>
      </c>
      <c r="B111" s="20" t="s">
        <v>19</v>
      </c>
      <c r="C111" s="20">
        <v>62.0</v>
      </c>
      <c r="D111" s="21"/>
      <c r="E111" s="11">
        <f>IF(J111="","", C111 * IFERROR(VLOOKUP(J111, SETUP!$A:$D, 3, FALSE), 0))</f>
        <v>0</v>
      </c>
      <c r="F111" s="11">
        <f>IF(J111="","", C111 * IFERROR(VLOOKUP(J111, SETUP!$A:$D, 4, FALSE), 0))</f>
        <v>62</v>
      </c>
      <c r="G111" s="11">
        <f t="shared" si="1"/>
        <v>62</v>
      </c>
      <c r="H111" s="22"/>
      <c r="I111" s="11"/>
      <c r="J111" s="17" t="str">
        <f>IF(TRIM(B111)="","",IF(ISNUMBER(SEARCH(" - ",B111)),TRIM(RIGHT(B111,LEN(B111)-FIND(" - ",B111)-2)),IFERROR(VLOOKUP(UPPER(TRIM(B111)), SETUP!$B$4:$C$11, 2, FALSE), UPPER(TRIM(B111)))))</f>
        <v>HANNI</v>
      </c>
      <c r="K111" s="23">
        <f t="shared" si="2"/>
        <v>46055</v>
      </c>
      <c r="L111" s="17">
        <f t="shared" si="3"/>
        <v>46058</v>
      </c>
      <c r="M111" s="17" t="str">
        <f t="shared" si="4"/>
        <v>2026-02</v>
      </c>
    </row>
    <row r="112" ht="15.75" customHeight="1">
      <c r="A112" s="19">
        <v>46058.0</v>
      </c>
      <c r="B112" s="20" t="s">
        <v>19</v>
      </c>
      <c r="C112" s="20">
        <v>105.0</v>
      </c>
      <c r="D112" s="21"/>
      <c r="E112" s="11">
        <f>IF(J112="","", C112 * IFERROR(VLOOKUP(J112, SETUP!$A:$D, 3, FALSE), 0))</f>
        <v>0</v>
      </c>
      <c r="F112" s="11">
        <f>IF(J112="","", C112 * IFERROR(VLOOKUP(J112, SETUP!$A:$D, 4, FALSE), 0))</f>
        <v>105</v>
      </c>
      <c r="G112" s="11">
        <f t="shared" si="1"/>
        <v>105</v>
      </c>
      <c r="H112" s="22"/>
      <c r="I112" s="11"/>
      <c r="J112" s="17" t="str">
        <f>IF(TRIM(B112)="","",IF(ISNUMBER(SEARCH(" - ",B112)),TRIM(RIGHT(B112,LEN(B112)-FIND(" - ",B112)-2)),IFERROR(VLOOKUP(UPPER(TRIM(B112)), SETUP!$B$4:$C$11, 2, FALSE), UPPER(TRIM(B112)))))</f>
        <v>HANNI</v>
      </c>
      <c r="K112" s="23">
        <f t="shared" si="2"/>
        <v>46055</v>
      </c>
      <c r="L112" s="17">
        <f t="shared" si="3"/>
        <v>46058</v>
      </c>
      <c r="M112" s="17" t="str">
        <f t="shared" si="4"/>
        <v>2026-02</v>
      </c>
    </row>
    <row r="113" ht="15.75" customHeight="1">
      <c r="A113" s="19">
        <v>46058.0</v>
      </c>
      <c r="B113" s="20" t="s">
        <v>19</v>
      </c>
      <c r="C113" s="20">
        <v>55.0</v>
      </c>
      <c r="D113" s="21"/>
      <c r="E113" s="11">
        <f>IF(J113="","", C113 * IFERROR(VLOOKUP(J113, SETUP!$A:$D, 3, FALSE), 0))</f>
        <v>0</v>
      </c>
      <c r="F113" s="11">
        <f>IF(J113="","", C113 * IFERROR(VLOOKUP(J113, SETUP!$A:$D, 4, FALSE), 0))</f>
        <v>55</v>
      </c>
      <c r="G113" s="11">
        <f t="shared" si="1"/>
        <v>55</v>
      </c>
      <c r="H113" s="22"/>
      <c r="I113" s="11"/>
      <c r="J113" s="17" t="str">
        <f>IF(TRIM(B113)="","",IF(ISNUMBER(SEARCH(" - ",B113)),TRIM(RIGHT(B113,LEN(B113)-FIND(" - ",B113)-2)),IFERROR(VLOOKUP(UPPER(TRIM(B113)), SETUP!$B$4:$C$11, 2, FALSE), UPPER(TRIM(B113)))))</f>
        <v>HANNI</v>
      </c>
      <c r="K113" s="23">
        <f t="shared" si="2"/>
        <v>46055</v>
      </c>
      <c r="L113" s="17">
        <f t="shared" si="3"/>
        <v>46058</v>
      </c>
      <c r="M113" s="17" t="str">
        <f t="shared" si="4"/>
        <v>2026-02</v>
      </c>
    </row>
    <row r="114" ht="15.75" customHeight="1">
      <c r="A114" s="19">
        <v>46058.0</v>
      </c>
      <c r="B114" s="20" t="s">
        <v>19</v>
      </c>
      <c r="C114" s="20">
        <v>75.0</v>
      </c>
      <c r="D114" s="21"/>
      <c r="E114" s="11">
        <f>IF(J114="","", C114 * IFERROR(VLOOKUP(J114, SETUP!$A:$D, 3, FALSE), 0))</f>
        <v>0</v>
      </c>
      <c r="F114" s="11">
        <f>IF(J114="","", C114 * IFERROR(VLOOKUP(J114, SETUP!$A:$D, 4, FALSE), 0))</f>
        <v>75</v>
      </c>
      <c r="G114" s="11">
        <f t="shared" si="1"/>
        <v>75</v>
      </c>
      <c r="H114" s="22"/>
      <c r="I114" s="11"/>
      <c r="J114" s="17" t="str">
        <f>IF(TRIM(B114)="","",IF(ISNUMBER(SEARCH(" - ",B114)),TRIM(RIGHT(B114,LEN(B114)-FIND(" - ",B114)-2)),IFERROR(VLOOKUP(UPPER(TRIM(B114)), SETUP!$B$4:$C$11, 2, FALSE), UPPER(TRIM(B114)))))</f>
        <v>HANNI</v>
      </c>
      <c r="K114" s="23">
        <f t="shared" si="2"/>
        <v>46055</v>
      </c>
      <c r="L114" s="17">
        <f t="shared" si="3"/>
        <v>46058</v>
      </c>
      <c r="M114" s="17" t="str">
        <f t="shared" si="4"/>
        <v>2026-02</v>
      </c>
    </row>
    <row r="115" ht="15.75" customHeight="1">
      <c r="A115" s="19">
        <v>46058.0</v>
      </c>
      <c r="B115" s="20" t="s">
        <v>20</v>
      </c>
      <c r="C115" s="20">
        <v>72.0</v>
      </c>
      <c r="D115" s="21"/>
      <c r="E115" s="11">
        <f>IF(J115="","", C115 * IFERROR(VLOOKUP(J115, SETUP!$A:$D, 3, FALSE), 0))</f>
        <v>43.2</v>
      </c>
      <c r="F115" s="11">
        <f>IF(J115="","", C115 * IFERROR(VLOOKUP(J115, SETUP!$A:$D, 4, FALSE), 0))</f>
        <v>28.8</v>
      </c>
      <c r="G115" s="11">
        <f t="shared" si="1"/>
        <v>28.8</v>
      </c>
      <c r="H115" s="22"/>
      <c r="I115" s="11"/>
      <c r="J115" s="17" t="str">
        <f>IF(TRIM(B115)="","",IF(ISNUMBER(SEARCH(" - ",B115)),TRIM(RIGHT(B115,LEN(B115)-FIND(" - ",B115)-2)),IFERROR(VLOOKUP(UPPER(TRIM(B115)), SETUP!$B$4:$C$11, 2, FALSE), UPPER(TRIM(B115)))))</f>
        <v>AMY</v>
      </c>
      <c r="K115" s="23">
        <f t="shared" si="2"/>
        <v>46055</v>
      </c>
      <c r="L115" s="17">
        <f t="shared" si="3"/>
        <v>46058</v>
      </c>
      <c r="M115" s="17" t="str">
        <f t="shared" si="4"/>
        <v>2026-02</v>
      </c>
    </row>
    <row r="116" ht="15.75" customHeight="1">
      <c r="A116" s="19">
        <v>46058.0</v>
      </c>
      <c r="B116" s="20" t="s">
        <v>20</v>
      </c>
      <c r="C116" s="20">
        <v>97.0</v>
      </c>
      <c r="D116" s="21"/>
      <c r="E116" s="11">
        <f>IF(J116="","", C116 * IFERROR(VLOOKUP(J116, SETUP!$A:$D, 3, FALSE), 0))</f>
        <v>58.2</v>
      </c>
      <c r="F116" s="11">
        <f>IF(J116="","", C116 * IFERROR(VLOOKUP(J116, SETUP!$A:$D, 4, FALSE), 0))</f>
        <v>38.8</v>
      </c>
      <c r="G116" s="11">
        <f t="shared" si="1"/>
        <v>38.8</v>
      </c>
      <c r="H116" s="22"/>
      <c r="I116" s="11"/>
      <c r="J116" s="17" t="str">
        <f>IF(TRIM(B116)="","",IF(ISNUMBER(SEARCH(" - ",B116)),TRIM(RIGHT(B116,LEN(B116)-FIND(" - ",B116)-2)),IFERROR(VLOOKUP(UPPER(TRIM(B116)), SETUP!$B$4:$C$11, 2, FALSE), UPPER(TRIM(B116)))))</f>
        <v>AMY</v>
      </c>
      <c r="K116" s="23">
        <f t="shared" si="2"/>
        <v>46055</v>
      </c>
      <c r="L116" s="17">
        <f t="shared" si="3"/>
        <v>46058</v>
      </c>
      <c r="M116" s="17" t="str">
        <f t="shared" si="4"/>
        <v>2026-02</v>
      </c>
    </row>
    <row r="117" ht="15.75" customHeight="1">
      <c r="A117" s="19">
        <v>46058.0</v>
      </c>
      <c r="B117" s="20" t="s">
        <v>20</v>
      </c>
      <c r="C117" s="20">
        <v>75.0</v>
      </c>
      <c r="D117" s="21"/>
      <c r="E117" s="11">
        <f>IF(J117="","", C117 * IFERROR(VLOOKUP(J117, SETUP!$A:$D, 3, FALSE), 0))</f>
        <v>45</v>
      </c>
      <c r="F117" s="11">
        <f>IF(J117="","", C117 * IFERROR(VLOOKUP(J117, SETUP!$A:$D, 4, FALSE), 0))</f>
        <v>30</v>
      </c>
      <c r="G117" s="11">
        <f t="shared" si="1"/>
        <v>30</v>
      </c>
      <c r="H117" s="22"/>
      <c r="I117" s="11"/>
      <c r="J117" s="17" t="str">
        <f>IF(TRIM(B117)="","",IF(ISNUMBER(SEARCH(" - ",B117)),TRIM(RIGHT(B117,LEN(B117)-FIND(" - ",B117)-2)),IFERROR(VLOOKUP(UPPER(TRIM(B117)), SETUP!$B$4:$C$11, 2, FALSE), UPPER(TRIM(B117)))))</f>
        <v>AMY</v>
      </c>
      <c r="K117" s="23">
        <f t="shared" si="2"/>
        <v>46055</v>
      </c>
      <c r="L117" s="17">
        <f t="shared" si="3"/>
        <v>46058</v>
      </c>
      <c r="M117" s="17" t="str">
        <f t="shared" si="4"/>
        <v>2026-02</v>
      </c>
    </row>
    <row r="118" ht="15.75" customHeight="1">
      <c r="A118" s="19">
        <v>46058.0</v>
      </c>
      <c r="B118" s="20" t="s">
        <v>20</v>
      </c>
      <c r="C118" s="20">
        <v>70.0</v>
      </c>
      <c r="D118" s="21"/>
      <c r="E118" s="11">
        <f>IF(J118="","", C118 * IFERROR(VLOOKUP(J118, SETUP!$A:$D, 3, FALSE), 0))</f>
        <v>42</v>
      </c>
      <c r="F118" s="11">
        <f>IF(J118="","", C118 * IFERROR(VLOOKUP(J118, SETUP!$A:$D, 4, FALSE), 0))</f>
        <v>28</v>
      </c>
      <c r="G118" s="11">
        <f t="shared" si="1"/>
        <v>28</v>
      </c>
      <c r="H118" s="22"/>
      <c r="I118" s="11"/>
      <c r="J118" s="17" t="str">
        <f>IF(TRIM(B118)="","",IF(ISNUMBER(SEARCH(" - ",B118)),TRIM(RIGHT(B118,LEN(B118)-FIND(" - ",B118)-2)),IFERROR(VLOOKUP(UPPER(TRIM(B118)), SETUP!$B$4:$C$11, 2, FALSE), UPPER(TRIM(B118)))))</f>
        <v>AMY</v>
      </c>
      <c r="K118" s="23">
        <f t="shared" si="2"/>
        <v>46055</v>
      </c>
      <c r="L118" s="17">
        <f t="shared" si="3"/>
        <v>46058</v>
      </c>
      <c r="M118" s="17" t="str">
        <f t="shared" si="4"/>
        <v>2026-02</v>
      </c>
    </row>
    <row r="119" ht="15.75" customHeight="1">
      <c r="A119" s="19">
        <v>46058.0</v>
      </c>
      <c r="B119" s="20" t="s">
        <v>20</v>
      </c>
      <c r="C119" s="20">
        <v>52.0</v>
      </c>
      <c r="D119" s="21"/>
      <c r="E119" s="11">
        <f>IF(J119="","", C119 * IFERROR(VLOOKUP(J119, SETUP!$A:$D, 3, FALSE), 0))</f>
        <v>31.2</v>
      </c>
      <c r="F119" s="11">
        <f>IF(J119="","", C119 * IFERROR(VLOOKUP(J119, SETUP!$A:$D, 4, FALSE), 0))</f>
        <v>20.8</v>
      </c>
      <c r="G119" s="11">
        <f t="shared" si="1"/>
        <v>20.8</v>
      </c>
      <c r="H119" s="22"/>
      <c r="I119" s="11"/>
      <c r="J119" s="17" t="str">
        <f>IF(TRIM(B119)="","",IF(ISNUMBER(SEARCH(" - ",B119)),TRIM(RIGHT(B119,LEN(B119)-FIND(" - ",B119)-2)),IFERROR(VLOOKUP(UPPER(TRIM(B119)), SETUP!$B$4:$C$11, 2, FALSE), UPPER(TRIM(B119)))))</f>
        <v>AMY</v>
      </c>
      <c r="K119" s="23">
        <f t="shared" si="2"/>
        <v>46055</v>
      </c>
      <c r="L119" s="17">
        <f t="shared" si="3"/>
        <v>46058</v>
      </c>
      <c r="M119" s="17" t="str">
        <f t="shared" si="4"/>
        <v>2026-02</v>
      </c>
    </row>
    <row r="120" ht="15.75" customHeight="1">
      <c r="A120" s="19">
        <v>46058.0</v>
      </c>
      <c r="B120" s="20" t="s">
        <v>20</v>
      </c>
      <c r="C120" s="20">
        <v>77.0</v>
      </c>
      <c r="D120" s="21"/>
      <c r="E120" s="11">
        <f>IF(J120="","", C120 * IFERROR(VLOOKUP(J120, SETUP!$A:$D, 3, FALSE), 0))</f>
        <v>46.2</v>
      </c>
      <c r="F120" s="11">
        <f>IF(J120="","", C120 * IFERROR(VLOOKUP(J120, SETUP!$A:$D, 4, FALSE), 0))</f>
        <v>30.8</v>
      </c>
      <c r="G120" s="11">
        <f t="shared" si="1"/>
        <v>30.8</v>
      </c>
      <c r="H120" s="22"/>
      <c r="I120" s="11"/>
      <c r="J120" s="17" t="str">
        <f>IF(TRIM(B120)="","",IF(ISNUMBER(SEARCH(" - ",B120)),TRIM(RIGHT(B120,LEN(B120)-FIND(" - ",B120)-2)),IFERROR(VLOOKUP(UPPER(TRIM(B120)), SETUP!$B$4:$C$11, 2, FALSE), UPPER(TRIM(B120)))))</f>
        <v>AMY</v>
      </c>
      <c r="K120" s="23">
        <f t="shared" si="2"/>
        <v>46055</v>
      </c>
      <c r="L120" s="17">
        <f t="shared" si="3"/>
        <v>46058</v>
      </c>
      <c r="M120" s="17" t="str">
        <f t="shared" si="4"/>
        <v>2026-02</v>
      </c>
    </row>
    <row r="121" ht="15.75" customHeight="1">
      <c r="A121" s="19">
        <v>46058.0</v>
      </c>
      <c r="B121" s="20" t="s">
        <v>21</v>
      </c>
      <c r="C121" s="20">
        <v>67.0</v>
      </c>
      <c r="D121" s="21"/>
      <c r="E121" s="11">
        <f>IF(J121="","", C121 * IFERROR(VLOOKUP(J121, SETUP!$A:$D, 3, FALSE), 0))</f>
        <v>40.2</v>
      </c>
      <c r="F121" s="11">
        <f>IF(J121="","", C121 * IFERROR(VLOOKUP(J121, SETUP!$A:$D, 4, FALSE), 0))</f>
        <v>26.8</v>
      </c>
      <c r="G121" s="11">
        <f t="shared" si="1"/>
        <v>26.8</v>
      </c>
      <c r="H121" s="22"/>
      <c r="I121" s="11"/>
      <c r="J121" s="17" t="str">
        <f>IF(TRIM(B121)="","",IF(ISNUMBER(SEARCH(" - ",B121)),TRIM(RIGHT(B121,LEN(B121)-FIND(" - ",B121)-2)),IFERROR(VLOOKUP(UPPER(TRIM(B121)), SETUP!$B$4:$C$11, 2, FALSE), UPPER(TRIM(B121)))))</f>
        <v>TONY</v>
      </c>
      <c r="K121" s="23">
        <f t="shared" si="2"/>
        <v>46055</v>
      </c>
      <c r="L121" s="17">
        <f t="shared" si="3"/>
        <v>46058</v>
      </c>
      <c r="M121" s="17" t="str">
        <f t="shared" si="4"/>
        <v>2026-02</v>
      </c>
    </row>
    <row r="122" ht="15.75" customHeight="1">
      <c r="A122" s="19">
        <v>46058.0</v>
      </c>
      <c r="B122" s="20" t="s">
        <v>21</v>
      </c>
      <c r="C122" s="20">
        <v>80.0</v>
      </c>
      <c r="D122" s="21"/>
      <c r="E122" s="11">
        <f>IF(J122="","", C122 * IFERROR(VLOOKUP(J122, SETUP!$A:$D, 3, FALSE), 0))</f>
        <v>48</v>
      </c>
      <c r="F122" s="11">
        <f>IF(J122="","", C122 * IFERROR(VLOOKUP(J122, SETUP!$A:$D, 4, FALSE), 0))</f>
        <v>32</v>
      </c>
      <c r="G122" s="11">
        <f t="shared" si="1"/>
        <v>32</v>
      </c>
      <c r="H122" s="22"/>
      <c r="I122" s="11"/>
      <c r="J122" s="17" t="str">
        <f>IF(TRIM(B122)="","",IF(ISNUMBER(SEARCH(" - ",B122)),TRIM(RIGHT(B122,LEN(B122)-FIND(" - ",B122)-2)),IFERROR(VLOOKUP(UPPER(TRIM(B122)), SETUP!$B$4:$C$11, 2, FALSE), UPPER(TRIM(B122)))))</f>
        <v>TONY</v>
      </c>
      <c r="K122" s="23">
        <f t="shared" si="2"/>
        <v>46055</v>
      </c>
      <c r="L122" s="17">
        <f t="shared" si="3"/>
        <v>46058</v>
      </c>
      <c r="M122" s="17" t="str">
        <f t="shared" si="4"/>
        <v>2026-02</v>
      </c>
    </row>
    <row r="123" ht="15.75" customHeight="1">
      <c r="A123" s="19">
        <v>46058.0</v>
      </c>
      <c r="B123" s="20" t="s">
        <v>21</v>
      </c>
      <c r="C123" s="20">
        <v>47.0</v>
      </c>
      <c r="D123" s="21"/>
      <c r="E123" s="11">
        <f>IF(J123="","", C123 * IFERROR(VLOOKUP(J123, SETUP!$A:$D, 3, FALSE), 0))</f>
        <v>28.2</v>
      </c>
      <c r="F123" s="11">
        <f>IF(J123="","", C123 * IFERROR(VLOOKUP(J123, SETUP!$A:$D, 4, FALSE), 0))</f>
        <v>18.8</v>
      </c>
      <c r="G123" s="11">
        <f t="shared" si="1"/>
        <v>18.8</v>
      </c>
      <c r="H123" s="22"/>
      <c r="I123" s="11"/>
      <c r="J123" s="17" t="str">
        <f>IF(TRIM(B123)="","",IF(ISNUMBER(SEARCH(" - ",B123)),TRIM(RIGHT(B123,LEN(B123)-FIND(" - ",B123)-2)),IFERROR(VLOOKUP(UPPER(TRIM(B123)), SETUP!$B$4:$C$11, 2, FALSE), UPPER(TRIM(B123)))))</f>
        <v>TONY</v>
      </c>
      <c r="K123" s="23">
        <f t="shared" si="2"/>
        <v>46055</v>
      </c>
      <c r="L123" s="17">
        <f t="shared" si="3"/>
        <v>46058</v>
      </c>
      <c r="M123" s="17" t="str">
        <f t="shared" si="4"/>
        <v>2026-02</v>
      </c>
    </row>
    <row r="124" ht="15.75" customHeight="1">
      <c r="A124" s="19">
        <v>46058.0</v>
      </c>
      <c r="B124" s="20" t="s">
        <v>21</v>
      </c>
      <c r="C124" s="20">
        <v>75.0</v>
      </c>
      <c r="D124" s="21"/>
      <c r="E124" s="11">
        <f>IF(J124="","", C124 * IFERROR(VLOOKUP(J124, SETUP!$A:$D, 3, FALSE), 0))</f>
        <v>45</v>
      </c>
      <c r="F124" s="11">
        <f>IF(J124="","", C124 * IFERROR(VLOOKUP(J124, SETUP!$A:$D, 4, FALSE), 0))</f>
        <v>30</v>
      </c>
      <c r="G124" s="11">
        <f t="shared" si="1"/>
        <v>30</v>
      </c>
      <c r="H124" s="22"/>
      <c r="I124" s="11"/>
      <c r="J124" s="17" t="str">
        <f>IF(TRIM(B124)="","",IF(ISNUMBER(SEARCH(" - ",B124)),TRIM(RIGHT(B124,LEN(B124)-FIND(" - ",B124)-2)),IFERROR(VLOOKUP(UPPER(TRIM(B124)), SETUP!$B$4:$C$11, 2, FALSE), UPPER(TRIM(B124)))))</f>
        <v>TONY</v>
      </c>
      <c r="K124" s="23">
        <f t="shared" si="2"/>
        <v>46055</v>
      </c>
      <c r="L124" s="17">
        <f t="shared" si="3"/>
        <v>46058</v>
      </c>
      <c r="M124" s="17" t="str">
        <f t="shared" si="4"/>
        <v>2026-02</v>
      </c>
    </row>
    <row r="125" ht="15.75" customHeight="1">
      <c r="A125" s="19">
        <v>46058.0</v>
      </c>
      <c r="B125" s="20" t="s">
        <v>21</v>
      </c>
      <c r="C125" s="20">
        <v>47.0</v>
      </c>
      <c r="D125" s="21"/>
      <c r="E125" s="11">
        <f>IF(J125="","", C125 * IFERROR(VLOOKUP(J125, SETUP!$A:$D, 3, FALSE), 0))</f>
        <v>28.2</v>
      </c>
      <c r="F125" s="11">
        <f>IF(J125="","", C125 * IFERROR(VLOOKUP(J125, SETUP!$A:$D, 4, FALSE), 0))</f>
        <v>18.8</v>
      </c>
      <c r="G125" s="11">
        <f t="shared" si="1"/>
        <v>18.8</v>
      </c>
      <c r="H125" s="22"/>
      <c r="I125" s="11"/>
      <c r="J125" s="17" t="str">
        <f>IF(TRIM(B125)="","",IF(ISNUMBER(SEARCH(" - ",B125)),TRIM(RIGHT(B125,LEN(B125)-FIND(" - ",B125)-2)),IFERROR(VLOOKUP(UPPER(TRIM(B125)), SETUP!$B$4:$C$11, 2, FALSE), UPPER(TRIM(B125)))))</f>
        <v>TONY</v>
      </c>
      <c r="K125" s="23">
        <f t="shared" si="2"/>
        <v>46055</v>
      </c>
      <c r="L125" s="17">
        <f t="shared" si="3"/>
        <v>46058</v>
      </c>
      <c r="M125" s="17" t="str">
        <f t="shared" si="4"/>
        <v>2026-02</v>
      </c>
    </row>
    <row r="126" ht="15.75" customHeight="1">
      <c r="A126" s="19">
        <v>46058.0</v>
      </c>
      <c r="B126" s="20" t="s">
        <v>21</v>
      </c>
      <c r="C126" s="20">
        <v>47.0</v>
      </c>
      <c r="D126" s="21"/>
      <c r="E126" s="11">
        <f>IF(J126="","", C126 * IFERROR(VLOOKUP(J126, SETUP!$A:$D, 3, FALSE), 0))</f>
        <v>28.2</v>
      </c>
      <c r="F126" s="11">
        <f>IF(J126="","", C126 * IFERROR(VLOOKUP(J126, SETUP!$A:$D, 4, FALSE), 0))</f>
        <v>18.8</v>
      </c>
      <c r="G126" s="11">
        <f t="shared" si="1"/>
        <v>18.8</v>
      </c>
      <c r="H126" s="22"/>
      <c r="I126" s="11"/>
      <c r="J126" s="17" t="str">
        <f>IF(TRIM(B126)="","",IF(ISNUMBER(SEARCH(" - ",B126)),TRIM(RIGHT(B126,LEN(B126)-FIND(" - ",B126)-2)),IFERROR(VLOOKUP(UPPER(TRIM(B126)), SETUP!$B$4:$C$11, 2, FALSE), UPPER(TRIM(B126)))))</f>
        <v>TONY</v>
      </c>
      <c r="K126" s="23">
        <f t="shared" si="2"/>
        <v>46055</v>
      </c>
      <c r="L126" s="17">
        <f t="shared" si="3"/>
        <v>46058</v>
      </c>
      <c r="M126" s="17" t="str">
        <f t="shared" si="4"/>
        <v>2026-02</v>
      </c>
    </row>
    <row r="127" ht="15.75" customHeight="1">
      <c r="A127" s="19">
        <v>46058.0</v>
      </c>
      <c r="B127" s="20" t="s">
        <v>21</v>
      </c>
      <c r="C127" s="20">
        <v>84.0</v>
      </c>
      <c r="D127" s="21"/>
      <c r="E127" s="11">
        <f>IF(J127="","", C127 * IFERROR(VLOOKUP(J127, SETUP!$A:$D, 3, FALSE), 0))</f>
        <v>50.4</v>
      </c>
      <c r="F127" s="11">
        <f>IF(J127="","", C127 * IFERROR(VLOOKUP(J127, SETUP!$A:$D, 4, FALSE), 0))</f>
        <v>33.6</v>
      </c>
      <c r="G127" s="11">
        <f t="shared" si="1"/>
        <v>33.6</v>
      </c>
      <c r="H127" s="22"/>
      <c r="I127" s="11"/>
      <c r="J127" s="17" t="str">
        <f>IF(TRIM(B127)="","",IF(ISNUMBER(SEARCH(" - ",B127)),TRIM(RIGHT(B127,LEN(B127)-FIND(" - ",B127)-2)),IFERROR(VLOOKUP(UPPER(TRIM(B127)), SETUP!$B$4:$C$11, 2, FALSE), UPPER(TRIM(B127)))))</f>
        <v>TONY</v>
      </c>
      <c r="K127" s="23">
        <f t="shared" si="2"/>
        <v>46055</v>
      </c>
      <c r="L127" s="17">
        <f t="shared" si="3"/>
        <v>46058</v>
      </c>
      <c r="M127" s="17" t="str">
        <f t="shared" si="4"/>
        <v>2026-02</v>
      </c>
    </row>
    <row r="128" ht="15.75" customHeight="1">
      <c r="A128" s="19">
        <v>46059.0</v>
      </c>
      <c r="B128" s="20" t="s">
        <v>16</v>
      </c>
      <c r="C128" s="20">
        <v>82.0</v>
      </c>
      <c r="D128" s="21"/>
      <c r="E128" s="11">
        <f>IF(J128="","", C128 * IFERROR(VLOOKUP(J128, SETUP!$A:$D, 3, FALSE), 0))</f>
        <v>0</v>
      </c>
      <c r="F128" s="11">
        <f>IF(J128="","", C128 * IFERROR(VLOOKUP(J128, SETUP!$A:$D, 4, FALSE), 0))</f>
        <v>82</v>
      </c>
      <c r="G128" s="11">
        <f t="shared" si="1"/>
        <v>82</v>
      </c>
      <c r="H128" s="22"/>
      <c r="I128" s="11"/>
      <c r="J128" s="17" t="str">
        <f>IF(TRIM(B128)="","",IF(ISNUMBER(SEARCH(" - ",B128)),TRIM(RIGHT(B128,LEN(B128)-FIND(" - ",B128)-2)),IFERROR(VLOOKUP(UPPER(TRIM(B128)), SETUP!$B$4:$C$11, 2, FALSE), UPPER(TRIM(B128)))))</f>
        <v>KEN</v>
      </c>
      <c r="K128" s="23">
        <f t="shared" si="2"/>
        <v>46055</v>
      </c>
      <c r="L128" s="17">
        <f t="shared" si="3"/>
        <v>46059</v>
      </c>
      <c r="M128" s="17" t="str">
        <f t="shared" si="4"/>
        <v>2026-02</v>
      </c>
    </row>
    <row r="129" ht="15.75" customHeight="1">
      <c r="A129" s="19">
        <v>46059.0</v>
      </c>
      <c r="B129" s="20" t="s">
        <v>16</v>
      </c>
      <c r="C129" s="20">
        <v>65.0</v>
      </c>
      <c r="D129" s="21"/>
      <c r="E129" s="11">
        <f>IF(J129="","", C129 * IFERROR(VLOOKUP(J129, SETUP!$A:$D, 3, FALSE), 0))</f>
        <v>0</v>
      </c>
      <c r="F129" s="11">
        <f>IF(J129="","", C129 * IFERROR(VLOOKUP(J129, SETUP!$A:$D, 4, FALSE), 0))</f>
        <v>65</v>
      </c>
      <c r="G129" s="11">
        <f t="shared" si="1"/>
        <v>65</v>
      </c>
      <c r="H129" s="22"/>
      <c r="I129" s="11"/>
      <c r="J129" s="17" t="str">
        <f>IF(TRIM(B129)="","",IF(ISNUMBER(SEARCH(" - ",B129)),TRIM(RIGHT(B129,LEN(B129)-FIND(" - ",B129)-2)),IFERROR(VLOOKUP(UPPER(TRIM(B129)), SETUP!$B$4:$C$11, 2, FALSE), UPPER(TRIM(B129)))))</f>
        <v>KEN</v>
      </c>
      <c r="K129" s="23">
        <f t="shared" si="2"/>
        <v>46055</v>
      </c>
      <c r="L129" s="17">
        <f t="shared" si="3"/>
        <v>46059</v>
      </c>
      <c r="M129" s="17" t="str">
        <f t="shared" si="4"/>
        <v>2026-02</v>
      </c>
    </row>
    <row r="130" ht="15.75" customHeight="1">
      <c r="A130" s="19">
        <v>46059.0</v>
      </c>
      <c r="B130" s="20" t="s">
        <v>17</v>
      </c>
      <c r="C130" s="20">
        <v>62.0</v>
      </c>
      <c r="D130" s="21"/>
      <c r="E130" s="11">
        <f>IF(J130="","", C130 * IFERROR(VLOOKUP(J130, SETUP!$A:$D, 3, FALSE), 0))</f>
        <v>37.2</v>
      </c>
      <c r="F130" s="11">
        <f>IF(J130="","", C130 * IFERROR(VLOOKUP(J130, SETUP!$A:$D, 4, FALSE), 0))</f>
        <v>24.8</v>
      </c>
      <c r="G130" s="11">
        <f t="shared" si="1"/>
        <v>24.8</v>
      </c>
      <c r="H130" s="22"/>
      <c r="I130" s="11"/>
      <c r="J130" s="17" t="str">
        <f>IF(TRIM(B130)="","",IF(ISNUMBER(SEARCH(" - ",B130)),TRIM(RIGHT(B130,LEN(B130)-FIND(" - ",B130)-2)),IFERROR(VLOOKUP(UPPER(TRIM(B130)), SETUP!$B$4:$C$11, 2, FALSE), UPPER(TRIM(B130)))))</f>
        <v>RYAN</v>
      </c>
      <c r="K130" s="23">
        <f t="shared" si="2"/>
        <v>46055</v>
      </c>
      <c r="L130" s="17">
        <f t="shared" si="3"/>
        <v>46059</v>
      </c>
      <c r="M130" s="17" t="str">
        <f t="shared" si="4"/>
        <v>2026-02</v>
      </c>
    </row>
    <row r="131" ht="15.75" customHeight="1">
      <c r="A131" s="19">
        <v>46059.0</v>
      </c>
      <c r="B131" s="20" t="s">
        <v>17</v>
      </c>
      <c r="C131" s="20">
        <v>52.0</v>
      </c>
      <c r="D131" s="21"/>
      <c r="E131" s="11">
        <f>IF(J131="","", C131 * IFERROR(VLOOKUP(J131, SETUP!$A:$D, 3, FALSE), 0))</f>
        <v>31.2</v>
      </c>
      <c r="F131" s="11">
        <f>IF(J131="","", C131 * IFERROR(VLOOKUP(J131, SETUP!$A:$D, 4, FALSE), 0))</f>
        <v>20.8</v>
      </c>
      <c r="G131" s="11">
        <f t="shared" si="1"/>
        <v>20.8</v>
      </c>
      <c r="H131" s="22"/>
      <c r="I131" s="11"/>
      <c r="J131" s="17" t="str">
        <f>IF(TRIM(B131)="","",IF(ISNUMBER(SEARCH(" - ",B131)),TRIM(RIGHT(B131,LEN(B131)-FIND(" - ",B131)-2)),IFERROR(VLOOKUP(UPPER(TRIM(B131)), SETUP!$B$4:$C$11, 2, FALSE), UPPER(TRIM(B131)))))</f>
        <v>RYAN</v>
      </c>
      <c r="K131" s="23">
        <f t="shared" si="2"/>
        <v>46055</v>
      </c>
      <c r="L131" s="17">
        <f t="shared" si="3"/>
        <v>46059</v>
      </c>
      <c r="M131" s="17" t="str">
        <f t="shared" si="4"/>
        <v>2026-02</v>
      </c>
    </row>
    <row r="132" ht="15.75" customHeight="1">
      <c r="A132" s="19">
        <v>46059.0</v>
      </c>
      <c r="B132" s="20" t="s">
        <v>17</v>
      </c>
      <c r="C132" s="20">
        <v>127.0</v>
      </c>
      <c r="D132" s="21"/>
      <c r="E132" s="11">
        <f>IF(J132="","", C132 * IFERROR(VLOOKUP(J132, SETUP!$A:$D, 3, FALSE), 0))</f>
        <v>76.2</v>
      </c>
      <c r="F132" s="11">
        <f>IF(J132="","", C132 * IFERROR(VLOOKUP(J132, SETUP!$A:$D, 4, FALSE), 0))</f>
        <v>50.8</v>
      </c>
      <c r="G132" s="11">
        <f t="shared" si="1"/>
        <v>50.8</v>
      </c>
      <c r="H132" s="22"/>
      <c r="I132" s="11"/>
      <c r="J132" s="17" t="str">
        <f>IF(TRIM(B132)="","",IF(ISNUMBER(SEARCH(" - ",B132)),TRIM(RIGHT(B132,LEN(B132)-FIND(" - ",B132)-2)),IFERROR(VLOOKUP(UPPER(TRIM(B132)), SETUP!$B$4:$C$11, 2, FALSE), UPPER(TRIM(B132)))))</f>
        <v>RYAN</v>
      </c>
      <c r="K132" s="23">
        <f t="shared" si="2"/>
        <v>46055</v>
      </c>
      <c r="L132" s="17">
        <f t="shared" si="3"/>
        <v>46059</v>
      </c>
      <c r="M132" s="17" t="str">
        <f t="shared" si="4"/>
        <v>2026-02</v>
      </c>
    </row>
    <row r="133" ht="15.75" customHeight="1">
      <c r="A133" s="19">
        <v>46059.0</v>
      </c>
      <c r="B133" s="20" t="s">
        <v>17</v>
      </c>
      <c r="C133" s="20">
        <v>62.0</v>
      </c>
      <c r="D133" s="21"/>
      <c r="E133" s="11">
        <f>IF(J133="","", C133 * IFERROR(VLOOKUP(J133, SETUP!$A:$D, 3, FALSE), 0))</f>
        <v>37.2</v>
      </c>
      <c r="F133" s="11">
        <f>IF(J133="","", C133 * IFERROR(VLOOKUP(J133, SETUP!$A:$D, 4, FALSE), 0))</f>
        <v>24.8</v>
      </c>
      <c r="G133" s="11">
        <f t="shared" si="1"/>
        <v>24.8</v>
      </c>
      <c r="H133" s="22"/>
      <c r="I133" s="11"/>
      <c r="J133" s="17" t="str">
        <f>IF(TRIM(B133)="","",IF(ISNUMBER(SEARCH(" - ",B133)),TRIM(RIGHT(B133,LEN(B133)-FIND(" - ",B133)-2)),IFERROR(VLOOKUP(UPPER(TRIM(B133)), SETUP!$B$4:$C$11, 2, FALSE), UPPER(TRIM(B133)))))</f>
        <v>RYAN</v>
      </c>
      <c r="K133" s="23">
        <f t="shared" si="2"/>
        <v>46055</v>
      </c>
      <c r="L133" s="17">
        <f t="shared" si="3"/>
        <v>46059</v>
      </c>
      <c r="M133" s="17" t="str">
        <f t="shared" si="4"/>
        <v>2026-02</v>
      </c>
    </row>
    <row r="134" ht="15.75" customHeight="1">
      <c r="A134" s="19">
        <v>46059.0</v>
      </c>
      <c r="B134" s="20" t="s">
        <v>17</v>
      </c>
      <c r="C134" s="20">
        <v>62.0</v>
      </c>
      <c r="D134" s="21"/>
      <c r="E134" s="11">
        <f>IF(J134="","", C134 * IFERROR(VLOOKUP(J134, SETUP!$A:$D, 3, FALSE), 0))</f>
        <v>37.2</v>
      </c>
      <c r="F134" s="11">
        <f>IF(J134="","", C134 * IFERROR(VLOOKUP(J134, SETUP!$A:$D, 4, FALSE), 0))</f>
        <v>24.8</v>
      </c>
      <c r="G134" s="11">
        <f t="shared" si="1"/>
        <v>24.8</v>
      </c>
      <c r="H134" s="22"/>
      <c r="I134" s="11"/>
      <c r="J134" s="17" t="str">
        <f>IF(TRIM(B134)="","",IF(ISNUMBER(SEARCH(" - ",B134)),TRIM(RIGHT(B134,LEN(B134)-FIND(" - ",B134)-2)),IFERROR(VLOOKUP(UPPER(TRIM(B134)), SETUP!$B$4:$C$11, 2, FALSE), UPPER(TRIM(B134)))))</f>
        <v>RYAN</v>
      </c>
      <c r="K134" s="23">
        <f t="shared" si="2"/>
        <v>46055</v>
      </c>
      <c r="L134" s="17">
        <f t="shared" si="3"/>
        <v>46059</v>
      </c>
      <c r="M134" s="17" t="str">
        <f t="shared" si="4"/>
        <v>2026-02</v>
      </c>
    </row>
    <row r="135" ht="15.75" customHeight="1">
      <c r="A135" s="19">
        <v>46059.0</v>
      </c>
      <c r="B135" s="20" t="s">
        <v>17</v>
      </c>
      <c r="C135" s="20">
        <v>55.0</v>
      </c>
      <c r="D135" s="21"/>
      <c r="E135" s="11">
        <f>IF(J135="","", C135 * IFERROR(VLOOKUP(J135, SETUP!$A:$D, 3, FALSE), 0))</f>
        <v>33</v>
      </c>
      <c r="F135" s="11">
        <f>IF(J135="","", C135 * IFERROR(VLOOKUP(J135, SETUP!$A:$D, 4, FALSE), 0))</f>
        <v>22</v>
      </c>
      <c r="G135" s="11">
        <f t="shared" si="1"/>
        <v>22</v>
      </c>
      <c r="H135" s="22"/>
      <c r="I135" s="11"/>
      <c r="J135" s="17" t="str">
        <f>IF(TRIM(B135)="","",IF(ISNUMBER(SEARCH(" - ",B135)),TRIM(RIGHT(B135,LEN(B135)-FIND(" - ",B135)-2)),IFERROR(VLOOKUP(UPPER(TRIM(B135)), SETUP!$B$4:$C$11, 2, FALSE), UPPER(TRIM(B135)))))</f>
        <v>RYAN</v>
      </c>
      <c r="K135" s="23">
        <f t="shared" si="2"/>
        <v>46055</v>
      </c>
      <c r="L135" s="17">
        <f t="shared" si="3"/>
        <v>46059</v>
      </c>
      <c r="M135" s="17" t="str">
        <f t="shared" si="4"/>
        <v>2026-02</v>
      </c>
    </row>
    <row r="136" ht="15.75" customHeight="1">
      <c r="A136" s="19">
        <v>46059.0</v>
      </c>
      <c r="B136" s="20" t="s">
        <v>17</v>
      </c>
      <c r="C136" s="20">
        <v>67.0</v>
      </c>
      <c r="D136" s="21"/>
      <c r="E136" s="11">
        <f>IF(J136="","", C136 * IFERROR(VLOOKUP(J136, SETUP!$A:$D, 3, FALSE), 0))</f>
        <v>40.2</v>
      </c>
      <c r="F136" s="11">
        <f>IF(J136="","", C136 * IFERROR(VLOOKUP(J136, SETUP!$A:$D, 4, FALSE), 0))</f>
        <v>26.8</v>
      </c>
      <c r="G136" s="11">
        <f t="shared" si="1"/>
        <v>26.8</v>
      </c>
      <c r="H136" s="22"/>
      <c r="I136" s="11"/>
      <c r="J136" s="17" t="str">
        <f>IF(TRIM(B136)="","",IF(ISNUMBER(SEARCH(" - ",B136)),TRIM(RIGHT(B136,LEN(B136)-FIND(" - ",B136)-2)),IFERROR(VLOOKUP(UPPER(TRIM(B136)), SETUP!$B$4:$C$11, 2, FALSE), UPPER(TRIM(B136)))))</f>
        <v>RYAN</v>
      </c>
      <c r="K136" s="23">
        <f t="shared" si="2"/>
        <v>46055</v>
      </c>
      <c r="L136" s="17">
        <f t="shared" si="3"/>
        <v>46059</v>
      </c>
      <c r="M136" s="17" t="str">
        <f t="shared" si="4"/>
        <v>2026-02</v>
      </c>
    </row>
    <row r="137" ht="15.75" customHeight="1">
      <c r="A137" s="19">
        <v>46059.0</v>
      </c>
      <c r="B137" s="20" t="s">
        <v>17</v>
      </c>
      <c r="C137" s="20">
        <v>57.0</v>
      </c>
      <c r="D137" s="21"/>
      <c r="E137" s="11">
        <f>IF(J137="","", C137 * IFERROR(VLOOKUP(J137, SETUP!$A:$D, 3, FALSE), 0))</f>
        <v>34.2</v>
      </c>
      <c r="F137" s="11">
        <f>IF(J137="","", C137 * IFERROR(VLOOKUP(J137, SETUP!$A:$D, 4, FALSE), 0))</f>
        <v>22.8</v>
      </c>
      <c r="G137" s="11">
        <f t="shared" si="1"/>
        <v>22.8</v>
      </c>
      <c r="H137" s="22"/>
      <c r="I137" s="11"/>
      <c r="J137" s="17" t="str">
        <f>IF(TRIM(B137)="","",IF(ISNUMBER(SEARCH(" - ",B137)),TRIM(RIGHT(B137,LEN(B137)-FIND(" - ",B137)-2)),IFERROR(VLOOKUP(UPPER(TRIM(B137)), SETUP!$B$4:$C$11, 2, FALSE), UPPER(TRIM(B137)))))</f>
        <v>RYAN</v>
      </c>
      <c r="K137" s="23">
        <f t="shared" si="2"/>
        <v>46055</v>
      </c>
      <c r="L137" s="17">
        <f t="shared" si="3"/>
        <v>46059</v>
      </c>
      <c r="M137" s="17" t="str">
        <f t="shared" si="4"/>
        <v>2026-02</v>
      </c>
    </row>
    <row r="138" ht="15.75" customHeight="1">
      <c r="A138" s="19">
        <v>46059.0</v>
      </c>
      <c r="B138" s="20" t="s">
        <v>17</v>
      </c>
      <c r="C138" s="20">
        <v>57.0</v>
      </c>
      <c r="D138" s="21"/>
      <c r="E138" s="11">
        <f>IF(J138="","", C138 * IFERROR(VLOOKUP(J138, SETUP!$A:$D, 3, FALSE), 0))</f>
        <v>34.2</v>
      </c>
      <c r="F138" s="11">
        <f>IF(J138="","", C138 * IFERROR(VLOOKUP(J138, SETUP!$A:$D, 4, FALSE), 0))</f>
        <v>22.8</v>
      </c>
      <c r="G138" s="11">
        <f t="shared" si="1"/>
        <v>22.8</v>
      </c>
      <c r="H138" s="22"/>
      <c r="I138" s="11"/>
      <c r="J138" s="17" t="str">
        <f>IF(TRIM(B138)="","",IF(ISNUMBER(SEARCH(" - ",B138)),TRIM(RIGHT(B138,LEN(B138)-FIND(" - ",B138)-2)),IFERROR(VLOOKUP(UPPER(TRIM(B138)), SETUP!$B$4:$C$11, 2, FALSE), UPPER(TRIM(B138)))))</f>
        <v>RYAN</v>
      </c>
      <c r="K138" s="23">
        <f t="shared" si="2"/>
        <v>46055</v>
      </c>
      <c r="L138" s="17">
        <f t="shared" si="3"/>
        <v>46059</v>
      </c>
      <c r="M138" s="17" t="str">
        <f t="shared" si="4"/>
        <v>2026-02</v>
      </c>
    </row>
    <row r="139" ht="15.75" customHeight="1">
      <c r="A139" s="19">
        <v>46059.0</v>
      </c>
      <c r="B139" s="20" t="s">
        <v>18</v>
      </c>
      <c r="C139" s="20">
        <v>50.0</v>
      </c>
      <c r="D139" s="21"/>
      <c r="E139" s="11">
        <f>IF(J139="","", C139 * IFERROR(VLOOKUP(J139, SETUP!$A:$D, 3, FALSE), 0))</f>
        <v>25</v>
      </c>
      <c r="F139" s="11">
        <f>IF(J139="","", C139 * IFERROR(VLOOKUP(J139, SETUP!$A:$D, 4, FALSE), 0))</f>
        <v>25</v>
      </c>
      <c r="G139" s="11">
        <f t="shared" si="1"/>
        <v>25</v>
      </c>
      <c r="H139" s="22"/>
      <c r="I139" s="11"/>
      <c r="J139" s="17" t="str">
        <f>IF(TRIM(B139)="","",IF(ISNUMBER(SEARCH(" - ",B139)),TRIM(RIGHT(B139,LEN(B139)-FIND(" - ",B139)-2)),IFERROR(VLOOKUP(UPPER(TRIM(B139)), SETUP!$B$4:$C$11, 2, FALSE), UPPER(TRIM(B139)))))</f>
        <v>CRIS</v>
      </c>
      <c r="K139" s="23">
        <f t="shared" si="2"/>
        <v>46055</v>
      </c>
      <c r="L139" s="17">
        <f t="shared" si="3"/>
        <v>46059</v>
      </c>
      <c r="M139" s="17" t="str">
        <f t="shared" si="4"/>
        <v>2026-02</v>
      </c>
    </row>
    <row r="140" ht="15.75" customHeight="1">
      <c r="A140" s="19">
        <v>46059.0</v>
      </c>
      <c r="B140" s="20" t="s">
        <v>18</v>
      </c>
      <c r="C140" s="20">
        <v>30.0</v>
      </c>
      <c r="D140" s="21"/>
      <c r="E140" s="11">
        <f>IF(J140="","", C140 * IFERROR(VLOOKUP(J140, SETUP!$A:$D, 3, FALSE), 0))</f>
        <v>15</v>
      </c>
      <c r="F140" s="11">
        <f>IF(J140="","", C140 * IFERROR(VLOOKUP(J140, SETUP!$A:$D, 4, FALSE), 0))</f>
        <v>15</v>
      </c>
      <c r="G140" s="11">
        <f t="shared" si="1"/>
        <v>15</v>
      </c>
      <c r="H140" s="22"/>
      <c r="I140" s="11"/>
      <c r="J140" s="17" t="str">
        <f>IF(TRIM(B140)="","",IF(ISNUMBER(SEARCH(" - ",B140)),TRIM(RIGHT(B140,LEN(B140)-FIND(" - ",B140)-2)),IFERROR(VLOOKUP(UPPER(TRIM(B140)), SETUP!$B$4:$C$11, 2, FALSE), UPPER(TRIM(B140)))))</f>
        <v>CRIS</v>
      </c>
      <c r="K140" s="23">
        <f t="shared" si="2"/>
        <v>46055</v>
      </c>
      <c r="L140" s="17">
        <f t="shared" si="3"/>
        <v>46059</v>
      </c>
      <c r="M140" s="17" t="str">
        <f t="shared" si="4"/>
        <v>2026-02</v>
      </c>
    </row>
    <row r="141" ht="15.75" customHeight="1">
      <c r="A141" s="19">
        <v>46059.0</v>
      </c>
      <c r="B141" s="20" t="s">
        <v>18</v>
      </c>
      <c r="C141" s="20">
        <v>85.0</v>
      </c>
      <c r="D141" s="21"/>
      <c r="E141" s="11">
        <f>IF(J141="","", C141 * IFERROR(VLOOKUP(J141, SETUP!$A:$D, 3, FALSE), 0))</f>
        <v>42.5</v>
      </c>
      <c r="F141" s="11">
        <f>IF(J141="","", C141 * IFERROR(VLOOKUP(J141, SETUP!$A:$D, 4, FALSE), 0))</f>
        <v>42.5</v>
      </c>
      <c r="G141" s="11">
        <f t="shared" si="1"/>
        <v>42.5</v>
      </c>
      <c r="H141" s="22"/>
      <c r="I141" s="11"/>
      <c r="J141" s="17" t="str">
        <f>IF(TRIM(B141)="","",IF(ISNUMBER(SEARCH(" - ",B141)),TRIM(RIGHT(B141,LEN(B141)-FIND(" - ",B141)-2)),IFERROR(VLOOKUP(UPPER(TRIM(B141)), SETUP!$B$4:$C$11, 2, FALSE), UPPER(TRIM(B141)))))</f>
        <v>CRIS</v>
      </c>
      <c r="K141" s="23">
        <f t="shared" si="2"/>
        <v>46055</v>
      </c>
      <c r="L141" s="17">
        <f t="shared" si="3"/>
        <v>46059</v>
      </c>
      <c r="M141" s="17" t="str">
        <f t="shared" si="4"/>
        <v>2026-02</v>
      </c>
    </row>
    <row r="142" ht="15.75" customHeight="1">
      <c r="A142" s="19">
        <v>46059.0</v>
      </c>
      <c r="B142" s="20" t="s">
        <v>18</v>
      </c>
      <c r="C142" s="20">
        <v>60.0</v>
      </c>
      <c r="D142" s="21"/>
      <c r="E142" s="11">
        <f>IF(J142="","", C142 * IFERROR(VLOOKUP(J142, SETUP!$A:$D, 3, FALSE), 0))</f>
        <v>30</v>
      </c>
      <c r="F142" s="11">
        <f>IF(J142="","", C142 * IFERROR(VLOOKUP(J142, SETUP!$A:$D, 4, FALSE), 0))</f>
        <v>30</v>
      </c>
      <c r="G142" s="11">
        <f t="shared" si="1"/>
        <v>30</v>
      </c>
      <c r="H142" s="22"/>
      <c r="I142" s="11"/>
      <c r="J142" s="17" t="str">
        <f>IF(TRIM(B142)="","",IF(ISNUMBER(SEARCH(" - ",B142)),TRIM(RIGHT(B142,LEN(B142)-FIND(" - ",B142)-2)),IFERROR(VLOOKUP(UPPER(TRIM(B142)), SETUP!$B$4:$C$11, 2, FALSE), UPPER(TRIM(B142)))))</f>
        <v>CRIS</v>
      </c>
      <c r="K142" s="23">
        <f t="shared" si="2"/>
        <v>46055</v>
      </c>
      <c r="L142" s="17">
        <f t="shared" si="3"/>
        <v>46059</v>
      </c>
      <c r="M142" s="17" t="str">
        <f t="shared" si="4"/>
        <v>2026-02</v>
      </c>
    </row>
    <row r="143" ht="15.75" customHeight="1">
      <c r="A143" s="19">
        <v>46059.0</v>
      </c>
      <c r="B143" s="20" t="s">
        <v>19</v>
      </c>
      <c r="C143" s="20">
        <v>67.0</v>
      </c>
      <c r="D143" s="21"/>
      <c r="E143" s="11">
        <f>IF(J143="","", C143 * IFERROR(VLOOKUP(J143, SETUP!$A:$D, 3, FALSE), 0))</f>
        <v>0</v>
      </c>
      <c r="F143" s="11">
        <f>IF(J143="","", C143 * IFERROR(VLOOKUP(J143, SETUP!$A:$D, 4, FALSE), 0))</f>
        <v>67</v>
      </c>
      <c r="G143" s="11">
        <f t="shared" si="1"/>
        <v>67</v>
      </c>
      <c r="H143" s="22"/>
      <c r="I143" s="11"/>
      <c r="J143" s="17" t="str">
        <f>IF(TRIM(B143)="","",IF(ISNUMBER(SEARCH(" - ",B143)),TRIM(RIGHT(B143,LEN(B143)-FIND(" - ",B143)-2)),IFERROR(VLOOKUP(UPPER(TRIM(B143)), SETUP!$B$4:$C$11, 2, FALSE), UPPER(TRIM(B143)))))</f>
        <v>HANNI</v>
      </c>
      <c r="K143" s="23">
        <f t="shared" si="2"/>
        <v>46055</v>
      </c>
      <c r="L143" s="17">
        <f t="shared" si="3"/>
        <v>46059</v>
      </c>
      <c r="M143" s="17" t="str">
        <f t="shared" si="4"/>
        <v>2026-02</v>
      </c>
    </row>
    <row r="144" ht="15.75" customHeight="1">
      <c r="A144" s="19">
        <v>46059.0</v>
      </c>
      <c r="B144" s="20" t="s">
        <v>19</v>
      </c>
      <c r="C144" s="20">
        <v>77.0</v>
      </c>
      <c r="D144" s="21"/>
      <c r="E144" s="11">
        <f>IF(J144="","", C144 * IFERROR(VLOOKUP(J144, SETUP!$A:$D, 3, FALSE), 0))</f>
        <v>0</v>
      </c>
      <c r="F144" s="11">
        <f>IF(J144="","", C144 * IFERROR(VLOOKUP(J144, SETUP!$A:$D, 4, FALSE), 0))</f>
        <v>77</v>
      </c>
      <c r="G144" s="11">
        <f t="shared" si="1"/>
        <v>77</v>
      </c>
      <c r="H144" s="22"/>
      <c r="I144" s="11"/>
      <c r="J144" s="17" t="str">
        <f>IF(TRIM(B144)="","",IF(ISNUMBER(SEARCH(" - ",B144)),TRIM(RIGHT(B144,LEN(B144)-FIND(" - ",B144)-2)),IFERROR(VLOOKUP(UPPER(TRIM(B144)), SETUP!$B$4:$C$11, 2, FALSE), UPPER(TRIM(B144)))))</f>
        <v>HANNI</v>
      </c>
      <c r="K144" s="23">
        <f t="shared" si="2"/>
        <v>46055</v>
      </c>
      <c r="L144" s="17">
        <f t="shared" si="3"/>
        <v>46059</v>
      </c>
      <c r="M144" s="17" t="str">
        <f t="shared" si="4"/>
        <v>2026-02</v>
      </c>
    </row>
    <row r="145" ht="15.75" customHeight="1">
      <c r="A145" s="19">
        <v>46059.0</v>
      </c>
      <c r="B145" s="20" t="s">
        <v>20</v>
      </c>
      <c r="C145" s="20">
        <v>57.0</v>
      </c>
      <c r="D145" s="21"/>
      <c r="E145" s="11">
        <f>IF(J145="","", C145 * IFERROR(VLOOKUP(J145, SETUP!$A:$D, 3, FALSE), 0))</f>
        <v>34.2</v>
      </c>
      <c r="F145" s="11">
        <f>IF(J145="","", C145 * IFERROR(VLOOKUP(J145, SETUP!$A:$D, 4, FALSE), 0))</f>
        <v>22.8</v>
      </c>
      <c r="G145" s="11">
        <f t="shared" si="1"/>
        <v>22.8</v>
      </c>
      <c r="H145" s="22"/>
      <c r="I145" s="11"/>
      <c r="J145" s="17" t="str">
        <f>IF(TRIM(B145)="","",IF(ISNUMBER(SEARCH(" - ",B145)),TRIM(RIGHT(B145,LEN(B145)-FIND(" - ",B145)-2)),IFERROR(VLOOKUP(UPPER(TRIM(B145)), SETUP!$B$4:$C$11, 2, FALSE), UPPER(TRIM(B145)))))</f>
        <v>AMY</v>
      </c>
      <c r="K145" s="23">
        <f t="shared" si="2"/>
        <v>46055</v>
      </c>
      <c r="L145" s="17">
        <f t="shared" si="3"/>
        <v>46059</v>
      </c>
      <c r="M145" s="17" t="str">
        <f t="shared" si="4"/>
        <v>2026-02</v>
      </c>
    </row>
    <row r="146" ht="15.75" customHeight="1">
      <c r="A146" s="19">
        <v>46059.0</v>
      </c>
      <c r="B146" s="20" t="s">
        <v>20</v>
      </c>
      <c r="C146" s="20">
        <v>67.0</v>
      </c>
      <c r="D146" s="21"/>
      <c r="E146" s="11">
        <f>IF(J146="","", C146 * IFERROR(VLOOKUP(J146, SETUP!$A:$D, 3, FALSE), 0))</f>
        <v>40.2</v>
      </c>
      <c r="F146" s="11">
        <f>IF(J146="","", C146 * IFERROR(VLOOKUP(J146, SETUP!$A:$D, 4, FALSE), 0))</f>
        <v>26.8</v>
      </c>
      <c r="G146" s="11">
        <f t="shared" si="1"/>
        <v>26.8</v>
      </c>
      <c r="H146" s="22"/>
      <c r="I146" s="11"/>
      <c r="J146" s="17" t="str">
        <f>IF(TRIM(B146)="","",IF(ISNUMBER(SEARCH(" - ",B146)),TRIM(RIGHT(B146,LEN(B146)-FIND(" - ",B146)-2)),IFERROR(VLOOKUP(UPPER(TRIM(B146)), SETUP!$B$4:$C$11, 2, FALSE), UPPER(TRIM(B146)))))</f>
        <v>AMY</v>
      </c>
      <c r="K146" s="23">
        <f t="shared" si="2"/>
        <v>46055</v>
      </c>
      <c r="L146" s="17">
        <f t="shared" si="3"/>
        <v>46059</v>
      </c>
      <c r="M146" s="17" t="str">
        <f t="shared" si="4"/>
        <v>2026-02</v>
      </c>
    </row>
    <row r="147" ht="15.75" customHeight="1">
      <c r="A147" s="19">
        <v>46059.0</v>
      </c>
      <c r="B147" s="20" t="s">
        <v>20</v>
      </c>
      <c r="C147" s="20">
        <v>57.0</v>
      </c>
      <c r="D147" s="21"/>
      <c r="E147" s="11">
        <f>IF(J147="","", C147 * IFERROR(VLOOKUP(J147, SETUP!$A:$D, 3, FALSE), 0))</f>
        <v>34.2</v>
      </c>
      <c r="F147" s="11">
        <f>IF(J147="","", C147 * IFERROR(VLOOKUP(J147, SETUP!$A:$D, 4, FALSE), 0))</f>
        <v>22.8</v>
      </c>
      <c r="G147" s="11">
        <f t="shared" si="1"/>
        <v>22.8</v>
      </c>
      <c r="H147" s="22"/>
      <c r="I147" s="11"/>
      <c r="J147" s="17" t="str">
        <f>IF(TRIM(B147)="","",IF(ISNUMBER(SEARCH(" - ",B147)),TRIM(RIGHT(B147,LEN(B147)-FIND(" - ",B147)-2)),IFERROR(VLOOKUP(UPPER(TRIM(B147)), SETUP!$B$4:$C$11, 2, FALSE), UPPER(TRIM(B147)))))</f>
        <v>AMY</v>
      </c>
      <c r="K147" s="23">
        <f t="shared" si="2"/>
        <v>46055</v>
      </c>
      <c r="L147" s="17">
        <f t="shared" si="3"/>
        <v>46059</v>
      </c>
      <c r="M147" s="17" t="str">
        <f t="shared" si="4"/>
        <v>2026-02</v>
      </c>
    </row>
    <row r="148" ht="15.75" customHeight="1">
      <c r="A148" s="19">
        <v>46059.0</v>
      </c>
      <c r="B148" s="20" t="s">
        <v>20</v>
      </c>
      <c r="C148" s="20">
        <v>70.0</v>
      </c>
      <c r="D148" s="21"/>
      <c r="E148" s="11">
        <f>IF(J148="","", C148 * IFERROR(VLOOKUP(J148, SETUP!$A:$D, 3, FALSE), 0))</f>
        <v>42</v>
      </c>
      <c r="F148" s="11">
        <f>IF(J148="","", C148 * IFERROR(VLOOKUP(J148, SETUP!$A:$D, 4, FALSE), 0))</f>
        <v>28</v>
      </c>
      <c r="G148" s="11">
        <f t="shared" si="1"/>
        <v>28</v>
      </c>
      <c r="H148" s="22"/>
      <c r="I148" s="11"/>
      <c r="J148" s="17" t="str">
        <f>IF(TRIM(B148)="","",IF(ISNUMBER(SEARCH(" - ",B148)),TRIM(RIGHT(B148,LEN(B148)-FIND(" - ",B148)-2)),IFERROR(VLOOKUP(UPPER(TRIM(B148)), SETUP!$B$4:$C$11, 2, FALSE), UPPER(TRIM(B148)))))</f>
        <v>AMY</v>
      </c>
      <c r="K148" s="23">
        <f t="shared" si="2"/>
        <v>46055</v>
      </c>
      <c r="L148" s="17">
        <f t="shared" si="3"/>
        <v>46059</v>
      </c>
      <c r="M148" s="17" t="str">
        <f t="shared" si="4"/>
        <v>2026-02</v>
      </c>
    </row>
    <row r="149" ht="15.75" customHeight="1">
      <c r="A149" s="19">
        <v>46059.0</v>
      </c>
      <c r="B149" s="20" t="s">
        <v>20</v>
      </c>
      <c r="C149" s="20">
        <v>57.0</v>
      </c>
      <c r="D149" s="21"/>
      <c r="E149" s="11">
        <f>IF(J149="","", C149 * IFERROR(VLOOKUP(J149, SETUP!$A:$D, 3, FALSE), 0))</f>
        <v>34.2</v>
      </c>
      <c r="F149" s="11">
        <f>IF(J149="","", C149 * IFERROR(VLOOKUP(J149, SETUP!$A:$D, 4, FALSE), 0))</f>
        <v>22.8</v>
      </c>
      <c r="G149" s="11">
        <f t="shared" si="1"/>
        <v>22.8</v>
      </c>
      <c r="H149" s="22"/>
      <c r="I149" s="11"/>
      <c r="J149" s="17" t="str">
        <f>IF(TRIM(B149)="","",IF(ISNUMBER(SEARCH(" - ",B149)),TRIM(RIGHT(B149,LEN(B149)-FIND(" - ",B149)-2)),IFERROR(VLOOKUP(UPPER(TRIM(B149)), SETUP!$B$4:$C$11, 2, FALSE), UPPER(TRIM(B149)))))</f>
        <v>AMY</v>
      </c>
      <c r="K149" s="23">
        <f t="shared" si="2"/>
        <v>46055</v>
      </c>
      <c r="L149" s="17">
        <f t="shared" si="3"/>
        <v>46059</v>
      </c>
      <c r="M149" s="17" t="str">
        <f t="shared" si="4"/>
        <v>2026-02</v>
      </c>
    </row>
    <row r="150" ht="15.75" customHeight="1">
      <c r="A150" s="19">
        <v>46059.0</v>
      </c>
      <c r="B150" s="20" t="s">
        <v>20</v>
      </c>
      <c r="C150" s="20">
        <v>20.0</v>
      </c>
      <c r="D150" s="21"/>
      <c r="E150" s="11">
        <f>IF(J150="","", C150 * IFERROR(VLOOKUP(J150, SETUP!$A:$D, 3, FALSE), 0))</f>
        <v>12</v>
      </c>
      <c r="F150" s="11">
        <f>IF(J150="","", C150 * IFERROR(VLOOKUP(J150, SETUP!$A:$D, 4, FALSE), 0))</f>
        <v>8</v>
      </c>
      <c r="G150" s="11">
        <f t="shared" si="1"/>
        <v>8</v>
      </c>
      <c r="H150" s="22"/>
      <c r="I150" s="11"/>
      <c r="J150" s="17" t="str">
        <f>IF(TRIM(B150)="","",IF(ISNUMBER(SEARCH(" - ",B150)),TRIM(RIGHT(B150,LEN(B150)-FIND(" - ",B150)-2)),IFERROR(VLOOKUP(UPPER(TRIM(B150)), SETUP!$B$4:$C$11, 2, FALSE), UPPER(TRIM(B150)))))</f>
        <v>AMY</v>
      </c>
      <c r="K150" s="23">
        <f t="shared" si="2"/>
        <v>46055</v>
      </c>
      <c r="L150" s="17">
        <f t="shared" si="3"/>
        <v>46059</v>
      </c>
      <c r="M150" s="17" t="str">
        <f t="shared" si="4"/>
        <v>2026-02</v>
      </c>
    </row>
    <row r="151" ht="15.75" customHeight="1">
      <c r="A151" s="19">
        <v>46059.0</v>
      </c>
      <c r="B151" s="20" t="s">
        <v>20</v>
      </c>
      <c r="C151" s="20">
        <v>110.0</v>
      </c>
      <c r="D151" s="21"/>
      <c r="E151" s="11">
        <f>IF(J151="","", C151 * IFERROR(VLOOKUP(J151, SETUP!$A:$D, 3, FALSE), 0))</f>
        <v>66</v>
      </c>
      <c r="F151" s="11">
        <f>IF(J151="","", C151 * IFERROR(VLOOKUP(J151, SETUP!$A:$D, 4, FALSE), 0))</f>
        <v>44</v>
      </c>
      <c r="G151" s="11">
        <f t="shared" si="1"/>
        <v>44</v>
      </c>
      <c r="H151" s="22"/>
      <c r="I151" s="11"/>
      <c r="J151" s="17" t="str">
        <f>IF(TRIM(B151)="","",IF(ISNUMBER(SEARCH(" - ",B151)),TRIM(RIGHT(B151,LEN(B151)-FIND(" - ",B151)-2)),IFERROR(VLOOKUP(UPPER(TRIM(B151)), SETUP!$B$4:$C$11, 2, FALSE), UPPER(TRIM(B151)))))</f>
        <v>AMY</v>
      </c>
      <c r="K151" s="23">
        <f t="shared" si="2"/>
        <v>46055</v>
      </c>
      <c r="L151" s="17">
        <f t="shared" si="3"/>
        <v>46059</v>
      </c>
      <c r="M151" s="17" t="str">
        <f t="shared" si="4"/>
        <v>2026-02</v>
      </c>
    </row>
    <row r="152" ht="15.75" customHeight="1">
      <c r="A152" s="19">
        <v>46059.0</v>
      </c>
      <c r="B152" s="20" t="s">
        <v>20</v>
      </c>
      <c r="C152" s="20">
        <v>87.0</v>
      </c>
      <c r="D152" s="21"/>
      <c r="E152" s="11">
        <f>IF(J152="","", C152 * IFERROR(VLOOKUP(J152, SETUP!$A:$D, 3, FALSE), 0))</f>
        <v>52.2</v>
      </c>
      <c r="F152" s="11">
        <f>IF(J152="","", C152 * IFERROR(VLOOKUP(J152, SETUP!$A:$D, 4, FALSE), 0))</f>
        <v>34.8</v>
      </c>
      <c r="G152" s="11">
        <f t="shared" si="1"/>
        <v>34.8</v>
      </c>
      <c r="H152" s="22"/>
      <c r="I152" s="11"/>
      <c r="J152" s="17" t="str">
        <f>IF(TRIM(B152)="","",IF(ISNUMBER(SEARCH(" - ",B152)),TRIM(RIGHT(B152,LEN(B152)-FIND(" - ",B152)-2)),IFERROR(VLOOKUP(UPPER(TRIM(B152)), SETUP!$B$4:$C$11, 2, FALSE), UPPER(TRIM(B152)))))</f>
        <v>AMY</v>
      </c>
      <c r="K152" s="23">
        <f t="shared" si="2"/>
        <v>46055</v>
      </c>
      <c r="L152" s="17">
        <f t="shared" si="3"/>
        <v>46059</v>
      </c>
      <c r="M152" s="17" t="str">
        <f t="shared" si="4"/>
        <v>2026-02</v>
      </c>
    </row>
    <row r="153" ht="15.75" customHeight="1">
      <c r="A153" s="19">
        <v>46059.0</v>
      </c>
      <c r="B153" s="20" t="s">
        <v>20</v>
      </c>
      <c r="C153" s="20">
        <v>50.0</v>
      </c>
      <c r="D153" s="21"/>
      <c r="E153" s="11">
        <f>IF(J153="","", C153 * IFERROR(VLOOKUP(J153, SETUP!$A:$D, 3, FALSE), 0))</f>
        <v>30</v>
      </c>
      <c r="F153" s="11">
        <f>IF(J153="","", C153 * IFERROR(VLOOKUP(J153, SETUP!$A:$D, 4, FALSE), 0))</f>
        <v>20</v>
      </c>
      <c r="G153" s="11">
        <f t="shared" si="1"/>
        <v>20</v>
      </c>
      <c r="H153" s="22"/>
      <c r="I153" s="11"/>
      <c r="J153" s="17" t="str">
        <f>IF(TRIM(B153)="","",IF(ISNUMBER(SEARCH(" - ",B153)),TRIM(RIGHT(B153,LEN(B153)-FIND(" - ",B153)-2)),IFERROR(VLOOKUP(UPPER(TRIM(B153)), SETUP!$B$4:$C$11, 2, FALSE), UPPER(TRIM(B153)))))</f>
        <v>AMY</v>
      </c>
      <c r="K153" s="23">
        <f t="shared" si="2"/>
        <v>46055</v>
      </c>
      <c r="L153" s="17">
        <f t="shared" si="3"/>
        <v>46059</v>
      </c>
      <c r="M153" s="17" t="str">
        <f t="shared" si="4"/>
        <v>2026-02</v>
      </c>
    </row>
    <row r="154" ht="15.75" customHeight="1">
      <c r="A154" s="19">
        <v>46059.0</v>
      </c>
      <c r="B154" s="20" t="s">
        <v>21</v>
      </c>
      <c r="C154" s="20">
        <v>87.0</v>
      </c>
      <c r="D154" s="21"/>
      <c r="E154" s="11">
        <f>IF(J154="","", C154 * IFERROR(VLOOKUP(J154, SETUP!$A:$D, 3, FALSE), 0))</f>
        <v>52.2</v>
      </c>
      <c r="F154" s="11">
        <f>IF(J154="","", C154 * IFERROR(VLOOKUP(J154, SETUP!$A:$D, 4, FALSE), 0))</f>
        <v>34.8</v>
      </c>
      <c r="G154" s="11">
        <f t="shared" si="1"/>
        <v>34.8</v>
      </c>
      <c r="H154" s="22"/>
      <c r="I154" s="11"/>
      <c r="J154" s="17" t="str">
        <f>IF(TRIM(B154)="","",IF(ISNUMBER(SEARCH(" - ",B154)),TRIM(RIGHT(B154,LEN(B154)-FIND(" - ",B154)-2)),IFERROR(VLOOKUP(UPPER(TRIM(B154)), SETUP!$B$4:$C$11, 2, FALSE), UPPER(TRIM(B154)))))</f>
        <v>TONY</v>
      </c>
      <c r="K154" s="23">
        <f t="shared" si="2"/>
        <v>46055</v>
      </c>
      <c r="L154" s="17">
        <f t="shared" si="3"/>
        <v>46059</v>
      </c>
      <c r="M154" s="17" t="str">
        <f t="shared" si="4"/>
        <v>2026-02</v>
      </c>
    </row>
    <row r="155" ht="15.75" customHeight="1">
      <c r="A155" s="19">
        <v>46059.0</v>
      </c>
      <c r="B155" s="20" t="s">
        <v>21</v>
      </c>
      <c r="C155" s="20">
        <v>57.0</v>
      </c>
      <c r="D155" s="21"/>
      <c r="E155" s="11">
        <f>IF(J155="","", C155 * IFERROR(VLOOKUP(J155, SETUP!$A:$D, 3, FALSE), 0))</f>
        <v>34.2</v>
      </c>
      <c r="F155" s="11">
        <f>IF(J155="","", C155 * IFERROR(VLOOKUP(J155, SETUP!$A:$D, 4, FALSE), 0))</f>
        <v>22.8</v>
      </c>
      <c r="G155" s="11">
        <f t="shared" si="1"/>
        <v>22.8</v>
      </c>
      <c r="H155" s="22"/>
      <c r="I155" s="11"/>
      <c r="J155" s="17" t="str">
        <f>IF(TRIM(B155)="","",IF(ISNUMBER(SEARCH(" - ",B155)),TRIM(RIGHT(B155,LEN(B155)-FIND(" - ",B155)-2)),IFERROR(VLOOKUP(UPPER(TRIM(B155)), SETUP!$B$4:$C$11, 2, FALSE), UPPER(TRIM(B155)))))</f>
        <v>TONY</v>
      </c>
      <c r="K155" s="23">
        <f t="shared" si="2"/>
        <v>46055</v>
      </c>
      <c r="L155" s="17">
        <f t="shared" si="3"/>
        <v>46059</v>
      </c>
      <c r="M155" s="17" t="str">
        <f t="shared" si="4"/>
        <v>2026-02</v>
      </c>
    </row>
    <row r="156" ht="15.75" customHeight="1">
      <c r="A156" s="19">
        <v>46059.0</v>
      </c>
      <c r="B156" s="20" t="s">
        <v>21</v>
      </c>
      <c r="C156" s="20">
        <v>115.0</v>
      </c>
      <c r="D156" s="21"/>
      <c r="E156" s="11">
        <f>IF(J156="","", C156 * IFERROR(VLOOKUP(J156, SETUP!$A:$D, 3, FALSE), 0))</f>
        <v>69</v>
      </c>
      <c r="F156" s="11">
        <f>IF(J156="","", C156 * IFERROR(VLOOKUP(J156, SETUP!$A:$D, 4, FALSE), 0))</f>
        <v>46</v>
      </c>
      <c r="G156" s="11">
        <f t="shared" si="1"/>
        <v>46</v>
      </c>
      <c r="H156" s="22"/>
      <c r="I156" s="11"/>
      <c r="J156" s="17" t="str">
        <f>IF(TRIM(B156)="","",IF(ISNUMBER(SEARCH(" - ",B156)),TRIM(RIGHT(B156,LEN(B156)-FIND(" - ",B156)-2)),IFERROR(VLOOKUP(UPPER(TRIM(B156)), SETUP!$B$4:$C$11, 2, FALSE), UPPER(TRIM(B156)))))</f>
        <v>TONY</v>
      </c>
      <c r="K156" s="23">
        <f t="shared" si="2"/>
        <v>46055</v>
      </c>
      <c r="L156" s="17">
        <f t="shared" si="3"/>
        <v>46059</v>
      </c>
      <c r="M156" s="17" t="str">
        <f t="shared" si="4"/>
        <v>2026-02</v>
      </c>
    </row>
    <row r="157" ht="15.75" customHeight="1">
      <c r="A157" s="19">
        <v>46059.0</v>
      </c>
      <c r="B157" s="20" t="s">
        <v>21</v>
      </c>
      <c r="C157" s="20">
        <v>47.0</v>
      </c>
      <c r="D157" s="21"/>
      <c r="E157" s="11">
        <f>IF(J157="","", C157 * IFERROR(VLOOKUP(J157, SETUP!$A:$D, 3, FALSE), 0))</f>
        <v>28.2</v>
      </c>
      <c r="F157" s="11">
        <f>IF(J157="","", C157 * IFERROR(VLOOKUP(J157, SETUP!$A:$D, 4, FALSE), 0))</f>
        <v>18.8</v>
      </c>
      <c r="G157" s="11">
        <f t="shared" si="1"/>
        <v>18.8</v>
      </c>
      <c r="H157" s="22"/>
      <c r="I157" s="11"/>
      <c r="J157" s="17" t="str">
        <f>IF(TRIM(B157)="","",IF(ISNUMBER(SEARCH(" - ",B157)),TRIM(RIGHT(B157,LEN(B157)-FIND(" - ",B157)-2)),IFERROR(VLOOKUP(UPPER(TRIM(B157)), SETUP!$B$4:$C$11, 2, FALSE), UPPER(TRIM(B157)))))</f>
        <v>TONY</v>
      </c>
      <c r="K157" s="23">
        <f t="shared" si="2"/>
        <v>46055</v>
      </c>
      <c r="L157" s="17">
        <f t="shared" si="3"/>
        <v>46059</v>
      </c>
      <c r="M157" s="17" t="str">
        <f t="shared" si="4"/>
        <v>2026-02</v>
      </c>
    </row>
    <row r="158" ht="15.75" customHeight="1">
      <c r="A158" s="19">
        <v>46059.0</v>
      </c>
      <c r="B158" s="20" t="s">
        <v>21</v>
      </c>
      <c r="C158" s="20">
        <v>67.0</v>
      </c>
      <c r="D158" s="21"/>
      <c r="E158" s="11">
        <f>IF(J158="","", C158 * IFERROR(VLOOKUP(J158, SETUP!$A:$D, 3, FALSE), 0))</f>
        <v>40.2</v>
      </c>
      <c r="F158" s="11">
        <f>IF(J158="","", C158 * IFERROR(VLOOKUP(J158, SETUP!$A:$D, 4, FALSE), 0))</f>
        <v>26.8</v>
      </c>
      <c r="G158" s="11">
        <f t="shared" si="1"/>
        <v>26.8</v>
      </c>
      <c r="H158" s="22"/>
      <c r="I158" s="11"/>
      <c r="J158" s="17" t="str">
        <f>IF(TRIM(B158)="","",IF(ISNUMBER(SEARCH(" - ",B158)),TRIM(RIGHT(B158,LEN(B158)-FIND(" - ",B158)-2)),IFERROR(VLOOKUP(UPPER(TRIM(B158)), SETUP!$B$4:$C$11, 2, FALSE), UPPER(TRIM(B158)))))</f>
        <v>TONY</v>
      </c>
      <c r="K158" s="23">
        <f t="shared" si="2"/>
        <v>46055</v>
      </c>
      <c r="L158" s="17">
        <f t="shared" si="3"/>
        <v>46059</v>
      </c>
      <c r="M158" s="17" t="str">
        <f t="shared" si="4"/>
        <v>2026-02</v>
      </c>
    </row>
    <row r="159" ht="15.75" customHeight="1">
      <c r="A159" s="19">
        <v>46059.0</v>
      </c>
      <c r="B159" s="20" t="s">
        <v>21</v>
      </c>
      <c r="C159" s="20">
        <v>62.0</v>
      </c>
      <c r="D159" s="21"/>
      <c r="E159" s="11">
        <f>IF(J159="","", C159 * IFERROR(VLOOKUP(J159, SETUP!$A:$D, 3, FALSE), 0))</f>
        <v>37.2</v>
      </c>
      <c r="F159" s="11">
        <f>IF(J159="","", C159 * IFERROR(VLOOKUP(J159, SETUP!$A:$D, 4, FALSE), 0))</f>
        <v>24.8</v>
      </c>
      <c r="G159" s="11">
        <f t="shared" si="1"/>
        <v>24.8</v>
      </c>
      <c r="H159" s="22"/>
      <c r="I159" s="11"/>
      <c r="J159" s="17" t="str">
        <f>IF(TRIM(B159)="","",IF(ISNUMBER(SEARCH(" - ",B159)),TRIM(RIGHT(B159,LEN(B159)-FIND(" - ",B159)-2)),IFERROR(VLOOKUP(UPPER(TRIM(B159)), SETUP!$B$4:$C$11, 2, FALSE), UPPER(TRIM(B159)))))</f>
        <v>TONY</v>
      </c>
      <c r="K159" s="23">
        <f t="shared" si="2"/>
        <v>46055</v>
      </c>
      <c r="L159" s="17">
        <f t="shared" si="3"/>
        <v>46059</v>
      </c>
      <c r="M159" s="17" t="str">
        <f t="shared" si="4"/>
        <v>2026-02</v>
      </c>
    </row>
    <row r="160" ht="15.75" customHeight="1">
      <c r="A160" s="19">
        <v>46059.0</v>
      </c>
      <c r="B160" s="20" t="s">
        <v>21</v>
      </c>
      <c r="C160" s="20">
        <v>132.0</v>
      </c>
      <c r="D160" s="21"/>
      <c r="E160" s="11">
        <f>IF(J160="","", C160 * IFERROR(VLOOKUP(J160, SETUP!$A:$D, 3, FALSE), 0))</f>
        <v>79.2</v>
      </c>
      <c r="F160" s="11">
        <f>IF(J160="","", C160 * IFERROR(VLOOKUP(J160, SETUP!$A:$D, 4, FALSE), 0))</f>
        <v>52.8</v>
      </c>
      <c r="G160" s="11">
        <f t="shared" si="1"/>
        <v>52.8</v>
      </c>
      <c r="H160" s="22"/>
      <c r="I160" s="11"/>
      <c r="J160" s="17" t="str">
        <f>IF(TRIM(B160)="","",IF(ISNUMBER(SEARCH(" - ",B160)),TRIM(RIGHT(B160,LEN(B160)-FIND(" - ",B160)-2)),IFERROR(VLOOKUP(UPPER(TRIM(B160)), SETUP!$B$4:$C$11, 2, FALSE), UPPER(TRIM(B160)))))</f>
        <v>TONY</v>
      </c>
      <c r="K160" s="23">
        <f t="shared" si="2"/>
        <v>46055</v>
      </c>
      <c r="L160" s="17">
        <f t="shared" si="3"/>
        <v>46059</v>
      </c>
      <c r="M160" s="17" t="str">
        <f t="shared" si="4"/>
        <v>2026-02</v>
      </c>
    </row>
    <row r="161" ht="15.75" customHeight="1">
      <c r="A161" s="19">
        <v>46060.0</v>
      </c>
      <c r="B161" s="20" t="s">
        <v>16</v>
      </c>
      <c r="C161" s="20">
        <v>47.0</v>
      </c>
      <c r="D161" s="21"/>
      <c r="E161" s="11">
        <f>IF(J161="","", C161 * IFERROR(VLOOKUP(J161, SETUP!$A:$D, 3, FALSE), 0))</f>
        <v>0</v>
      </c>
      <c r="F161" s="11">
        <f>IF(J161="","", C161 * IFERROR(VLOOKUP(J161, SETUP!$A:$D, 4, FALSE), 0))</f>
        <v>47</v>
      </c>
      <c r="G161" s="11">
        <f t="shared" si="1"/>
        <v>47</v>
      </c>
      <c r="H161" s="22"/>
      <c r="I161" s="11"/>
      <c r="J161" s="17" t="str">
        <f>IF(TRIM(B161)="","",IF(ISNUMBER(SEARCH(" - ",B161)),TRIM(RIGHT(B161,LEN(B161)-FIND(" - ",B161)-2)),IFERROR(VLOOKUP(UPPER(TRIM(B161)), SETUP!$B$4:$C$11, 2, FALSE), UPPER(TRIM(B161)))))</f>
        <v>KEN</v>
      </c>
      <c r="K161" s="23">
        <f t="shared" si="2"/>
        <v>46055</v>
      </c>
      <c r="L161" s="17">
        <f t="shared" si="3"/>
        <v>46060</v>
      </c>
      <c r="M161" s="17" t="str">
        <f t="shared" si="4"/>
        <v>2026-02</v>
      </c>
    </row>
    <row r="162" ht="15.75" customHeight="1">
      <c r="A162" s="19">
        <v>46060.0</v>
      </c>
      <c r="B162" s="20" t="s">
        <v>16</v>
      </c>
      <c r="C162" s="20">
        <v>10.0</v>
      </c>
      <c r="D162" s="21"/>
      <c r="E162" s="11">
        <f>IF(J162="","", C162 * IFERROR(VLOOKUP(J162, SETUP!$A:$D, 3, FALSE), 0))</f>
        <v>0</v>
      </c>
      <c r="F162" s="11">
        <f>IF(J162="","", C162 * IFERROR(VLOOKUP(J162, SETUP!$A:$D, 4, FALSE), 0))</f>
        <v>10</v>
      </c>
      <c r="G162" s="11">
        <f t="shared" si="1"/>
        <v>10</v>
      </c>
      <c r="H162" s="22"/>
      <c r="I162" s="11"/>
      <c r="J162" s="17" t="str">
        <f>IF(TRIM(B162)="","",IF(ISNUMBER(SEARCH(" - ",B162)),TRIM(RIGHT(B162,LEN(B162)-FIND(" - ",B162)-2)),IFERROR(VLOOKUP(UPPER(TRIM(B162)), SETUP!$B$4:$C$11, 2, FALSE), UPPER(TRIM(B162)))))</f>
        <v>KEN</v>
      </c>
      <c r="K162" s="23">
        <f t="shared" si="2"/>
        <v>46055</v>
      </c>
      <c r="L162" s="17">
        <f t="shared" si="3"/>
        <v>46060</v>
      </c>
      <c r="M162" s="17" t="str">
        <f t="shared" si="4"/>
        <v>2026-02</v>
      </c>
    </row>
    <row r="163" ht="15.75" customHeight="1">
      <c r="A163" s="19">
        <v>46060.0</v>
      </c>
      <c r="B163" s="20" t="s">
        <v>17</v>
      </c>
      <c r="C163" s="20">
        <v>60.0</v>
      </c>
      <c r="D163" s="21"/>
      <c r="E163" s="11">
        <f>IF(J163="","", C163 * IFERROR(VLOOKUP(J163, SETUP!$A:$D, 3, FALSE), 0))</f>
        <v>36</v>
      </c>
      <c r="F163" s="11">
        <f>IF(J163="","", C163 * IFERROR(VLOOKUP(J163, SETUP!$A:$D, 4, FALSE), 0))</f>
        <v>24</v>
      </c>
      <c r="G163" s="11">
        <f t="shared" si="1"/>
        <v>24</v>
      </c>
      <c r="H163" s="22"/>
      <c r="I163" s="11"/>
      <c r="J163" s="17" t="str">
        <f>IF(TRIM(B163)="","",IF(ISNUMBER(SEARCH(" - ",B163)),TRIM(RIGHT(B163,LEN(B163)-FIND(" - ",B163)-2)),IFERROR(VLOOKUP(UPPER(TRIM(B163)), SETUP!$B$4:$C$11, 2, FALSE), UPPER(TRIM(B163)))))</f>
        <v>RYAN</v>
      </c>
      <c r="K163" s="23">
        <f t="shared" si="2"/>
        <v>46055</v>
      </c>
      <c r="L163" s="17">
        <f t="shared" si="3"/>
        <v>46060</v>
      </c>
      <c r="M163" s="17" t="str">
        <f t="shared" si="4"/>
        <v>2026-02</v>
      </c>
    </row>
    <row r="164" ht="15.75" customHeight="1">
      <c r="A164" s="19">
        <v>46060.0</v>
      </c>
      <c r="B164" s="20" t="s">
        <v>17</v>
      </c>
      <c r="C164" s="20">
        <v>35.0</v>
      </c>
      <c r="D164" s="21"/>
      <c r="E164" s="11">
        <f>IF(J164="","", C164 * IFERROR(VLOOKUP(J164, SETUP!$A:$D, 3, FALSE), 0))</f>
        <v>21</v>
      </c>
      <c r="F164" s="11">
        <f>IF(J164="","", C164 * IFERROR(VLOOKUP(J164, SETUP!$A:$D, 4, FALSE), 0))</f>
        <v>14</v>
      </c>
      <c r="G164" s="11">
        <f t="shared" si="1"/>
        <v>14</v>
      </c>
      <c r="H164" s="22"/>
      <c r="I164" s="11"/>
      <c r="J164" s="17" t="str">
        <f>IF(TRIM(B164)="","",IF(ISNUMBER(SEARCH(" - ",B164)),TRIM(RIGHT(B164,LEN(B164)-FIND(" - ",B164)-2)),IFERROR(VLOOKUP(UPPER(TRIM(B164)), SETUP!$B$4:$C$11, 2, FALSE), UPPER(TRIM(B164)))))</f>
        <v>RYAN</v>
      </c>
      <c r="K164" s="23">
        <f t="shared" si="2"/>
        <v>46055</v>
      </c>
      <c r="L164" s="17">
        <f t="shared" si="3"/>
        <v>46060</v>
      </c>
      <c r="M164" s="17" t="str">
        <f t="shared" si="4"/>
        <v>2026-02</v>
      </c>
    </row>
    <row r="165" ht="15.75" customHeight="1">
      <c r="A165" s="19">
        <v>46060.0</v>
      </c>
      <c r="B165" s="20" t="s">
        <v>17</v>
      </c>
      <c r="C165" s="20">
        <v>40.0</v>
      </c>
      <c r="D165" s="21"/>
      <c r="E165" s="11">
        <f>IF(J165="","", C165 * IFERROR(VLOOKUP(J165, SETUP!$A:$D, 3, FALSE), 0))</f>
        <v>24</v>
      </c>
      <c r="F165" s="11">
        <f>IF(J165="","", C165 * IFERROR(VLOOKUP(J165, SETUP!$A:$D, 4, FALSE), 0))</f>
        <v>16</v>
      </c>
      <c r="G165" s="11">
        <f t="shared" si="1"/>
        <v>16</v>
      </c>
      <c r="H165" s="22"/>
      <c r="I165" s="11"/>
      <c r="J165" s="17" t="str">
        <f>IF(TRIM(B165)="","",IF(ISNUMBER(SEARCH(" - ",B165)),TRIM(RIGHT(B165,LEN(B165)-FIND(" - ",B165)-2)),IFERROR(VLOOKUP(UPPER(TRIM(B165)), SETUP!$B$4:$C$11, 2, FALSE), UPPER(TRIM(B165)))))</f>
        <v>RYAN</v>
      </c>
      <c r="K165" s="23">
        <f t="shared" si="2"/>
        <v>46055</v>
      </c>
      <c r="L165" s="17">
        <f t="shared" si="3"/>
        <v>46060</v>
      </c>
      <c r="M165" s="17" t="str">
        <f t="shared" si="4"/>
        <v>2026-02</v>
      </c>
    </row>
    <row r="166" ht="15.75" customHeight="1">
      <c r="A166" s="19">
        <v>46060.0</v>
      </c>
      <c r="B166" s="20" t="s">
        <v>17</v>
      </c>
      <c r="C166" s="20">
        <v>137.0</v>
      </c>
      <c r="D166" s="21"/>
      <c r="E166" s="11">
        <f>IF(J166="","", C166 * IFERROR(VLOOKUP(J166, SETUP!$A:$D, 3, FALSE), 0))</f>
        <v>82.2</v>
      </c>
      <c r="F166" s="11">
        <f>IF(J166="","", C166 * IFERROR(VLOOKUP(J166, SETUP!$A:$D, 4, FALSE), 0))</f>
        <v>54.8</v>
      </c>
      <c r="G166" s="11">
        <f t="shared" si="1"/>
        <v>54.8</v>
      </c>
      <c r="H166" s="22"/>
      <c r="I166" s="11"/>
      <c r="J166" s="17" t="str">
        <f>IF(TRIM(B166)="","",IF(ISNUMBER(SEARCH(" - ",B166)),TRIM(RIGHT(B166,LEN(B166)-FIND(" - ",B166)-2)),IFERROR(VLOOKUP(UPPER(TRIM(B166)), SETUP!$B$4:$C$11, 2, FALSE), UPPER(TRIM(B166)))))</f>
        <v>RYAN</v>
      </c>
      <c r="K166" s="23">
        <f t="shared" si="2"/>
        <v>46055</v>
      </c>
      <c r="L166" s="17">
        <f t="shared" si="3"/>
        <v>46060</v>
      </c>
      <c r="M166" s="17" t="str">
        <f t="shared" si="4"/>
        <v>2026-02</v>
      </c>
    </row>
    <row r="167" ht="15.75" customHeight="1">
      <c r="A167" s="19">
        <v>46060.0</v>
      </c>
      <c r="B167" s="20" t="s">
        <v>17</v>
      </c>
      <c r="C167" s="20">
        <v>67.0</v>
      </c>
      <c r="D167" s="21"/>
      <c r="E167" s="11">
        <f>IF(J167="","", C167 * IFERROR(VLOOKUP(J167, SETUP!$A:$D, 3, FALSE), 0))</f>
        <v>40.2</v>
      </c>
      <c r="F167" s="11">
        <f>IF(J167="","", C167 * IFERROR(VLOOKUP(J167, SETUP!$A:$D, 4, FALSE), 0))</f>
        <v>26.8</v>
      </c>
      <c r="G167" s="11">
        <f t="shared" si="1"/>
        <v>26.8</v>
      </c>
      <c r="H167" s="22"/>
      <c r="I167" s="11"/>
      <c r="J167" s="17" t="str">
        <f>IF(TRIM(B167)="","",IF(ISNUMBER(SEARCH(" - ",B167)),TRIM(RIGHT(B167,LEN(B167)-FIND(" - ",B167)-2)),IFERROR(VLOOKUP(UPPER(TRIM(B167)), SETUP!$B$4:$C$11, 2, FALSE), UPPER(TRIM(B167)))))</f>
        <v>RYAN</v>
      </c>
      <c r="K167" s="23">
        <f t="shared" si="2"/>
        <v>46055</v>
      </c>
      <c r="L167" s="17">
        <f t="shared" si="3"/>
        <v>46060</v>
      </c>
      <c r="M167" s="17" t="str">
        <f t="shared" si="4"/>
        <v>2026-02</v>
      </c>
    </row>
    <row r="168" ht="15.75" customHeight="1">
      <c r="A168" s="19">
        <v>46060.0</v>
      </c>
      <c r="B168" s="20" t="s">
        <v>17</v>
      </c>
      <c r="C168" s="20">
        <v>67.0</v>
      </c>
      <c r="D168" s="21"/>
      <c r="E168" s="11">
        <f>IF(J168="","", C168 * IFERROR(VLOOKUP(J168, SETUP!$A:$D, 3, FALSE), 0))</f>
        <v>40.2</v>
      </c>
      <c r="F168" s="11">
        <f>IF(J168="","", C168 * IFERROR(VLOOKUP(J168, SETUP!$A:$D, 4, FALSE), 0))</f>
        <v>26.8</v>
      </c>
      <c r="G168" s="11">
        <f t="shared" si="1"/>
        <v>26.8</v>
      </c>
      <c r="H168" s="22"/>
      <c r="I168" s="11"/>
      <c r="J168" s="17" t="str">
        <f>IF(TRIM(B168)="","",IF(ISNUMBER(SEARCH(" - ",B168)),TRIM(RIGHT(B168,LEN(B168)-FIND(" - ",B168)-2)),IFERROR(VLOOKUP(UPPER(TRIM(B168)), SETUP!$B$4:$C$11, 2, FALSE), UPPER(TRIM(B168)))))</f>
        <v>RYAN</v>
      </c>
      <c r="K168" s="23">
        <f t="shared" si="2"/>
        <v>46055</v>
      </c>
      <c r="L168" s="17">
        <f t="shared" si="3"/>
        <v>46060</v>
      </c>
      <c r="M168" s="17" t="str">
        <f t="shared" si="4"/>
        <v>2026-02</v>
      </c>
    </row>
    <row r="169" ht="15.75" customHeight="1">
      <c r="A169" s="19">
        <v>46060.0</v>
      </c>
      <c r="B169" s="20" t="s">
        <v>17</v>
      </c>
      <c r="C169" s="20">
        <v>65.0</v>
      </c>
      <c r="D169" s="21"/>
      <c r="E169" s="11">
        <f>IF(J169="","", C169 * IFERROR(VLOOKUP(J169, SETUP!$A:$D, 3, FALSE), 0))</f>
        <v>39</v>
      </c>
      <c r="F169" s="11">
        <f>IF(J169="","", C169 * IFERROR(VLOOKUP(J169, SETUP!$A:$D, 4, FALSE), 0))</f>
        <v>26</v>
      </c>
      <c r="G169" s="11">
        <f t="shared" si="1"/>
        <v>26</v>
      </c>
      <c r="H169" s="22"/>
      <c r="I169" s="11"/>
      <c r="J169" s="17" t="str">
        <f>IF(TRIM(B169)="","",IF(ISNUMBER(SEARCH(" - ",B169)),TRIM(RIGHT(B169,LEN(B169)-FIND(" - ",B169)-2)),IFERROR(VLOOKUP(UPPER(TRIM(B169)), SETUP!$B$4:$C$11, 2, FALSE), UPPER(TRIM(B169)))))</f>
        <v>RYAN</v>
      </c>
      <c r="K169" s="23">
        <f t="shared" si="2"/>
        <v>46055</v>
      </c>
      <c r="L169" s="17">
        <f t="shared" si="3"/>
        <v>46060</v>
      </c>
      <c r="M169" s="17" t="str">
        <f t="shared" si="4"/>
        <v>2026-02</v>
      </c>
    </row>
    <row r="170" ht="15.75" customHeight="1">
      <c r="A170" s="19">
        <v>46060.0</v>
      </c>
      <c r="B170" s="20" t="s">
        <v>18</v>
      </c>
      <c r="C170" s="20">
        <v>30.0</v>
      </c>
      <c r="D170" s="21"/>
      <c r="E170" s="11">
        <f>IF(J170="","", C170 * IFERROR(VLOOKUP(J170, SETUP!$A:$D, 3, FALSE), 0))</f>
        <v>15</v>
      </c>
      <c r="F170" s="11">
        <f>IF(J170="","", C170 * IFERROR(VLOOKUP(J170, SETUP!$A:$D, 4, FALSE), 0))</f>
        <v>15</v>
      </c>
      <c r="G170" s="11">
        <f t="shared" si="1"/>
        <v>15</v>
      </c>
      <c r="H170" s="22"/>
      <c r="I170" s="11"/>
      <c r="J170" s="17" t="str">
        <f>IF(TRIM(B170)="","",IF(ISNUMBER(SEARCH(" - ",B170)),TRIM(RIGHT(B170,LEN(B170)-FIND(" - ",B170)-2)),IFERROR(VLOOKUP(UPPER(TRIM(B170)), SETUP!$B$4:$C$11, 2, FALSE), UPPER(TRIM(B170)))))</f>
        <v>CRIS</v>
      </c>
      <c r="K170" s="23">
        <f t="shared" si="2"/>
        <v>46055</v>
      </c>
      <c r="L170" s="17">
        <f t="shared" si="3"/>
        <v>46060</v>
      </c>
      <c r="M170" s="17" t="str">
        <f t="shared" si="4"/>
        <v>2026-02</v>
      </c>
    </row>
    <row r="171" ht="15.75" customHeight="1">
      <c r="A171" s="19">
        <v>46060.0</v>
      </c>
      <c r="B171" s="20" t="s">
        <v>18</v>
      </c>
      <c r="C171" s="20">
        <v>50.0</v>
      </c>
      <c r="D171" s="21"/>
      <c r="E171" s="11">
        <f>IF(J171="","", C171 * IFERROR(VLOOKUP(J171, SETUP!$A:$D, 3, FALSE), 0))</f>
        <v>25</v>
      </c>
      <c r="F171" s="11">
        <f>IF(J171="","", C171 * IFERROR(VLOOKUP(J171, SETUP!$A:$D, 4, FALSE), 0))</f>
        <v>25</v>
      </c>
      <c r="G171" s="11">
        <f t="shared" si="1"/>
        <v>25</v>
      </c>
      <c r="H171" s="22"/>
      <c r="I171" s="11"/>
      <c r="J171" s="17" t="str">
        <f>IF(TRIM(B171)="","",IF(ISNUMBER(SEARCH(" - ",B171)),TRIM(RIGHT(B171,LEN(B171)-FIND(" - ",B171)-2)),IFERROR(VLOOKUP(UPPER(TRIM(B171)), SETUP!$B$4:$C$11, 2, FALSE), UPPER(TRIM(B171)))))</f>
        <v>CRIS</v>
      </c>
      <c r="K171" s="23">
        <f t="shared" si="2"/>
        <v>46055</v>
      </c>
      <c r="L171" s="17">
        <f t="shared" si="3"/>
        <v>46060</v>
      </c>
      <c r="M171" s="17" t="str">
        <f t="shared" si="4"/>
        <v>2026-02</v>
      </c>
    </row>
    <row r="172" ht="15.75" customHeight="1">
      <c r="A172" s="19">
        <v>46060.0</v>
      </c>
      <c r="B172" s="20" t="s">
        <v>18</v>
      </c>
      <c r="C172" s="20">
        <v>50.0</v>
      </c>
      <c r="D172" s="21"/>
      <c r="E172" s="11">
        <f>IF(J172="","", C172 * IFERROR(VLOOKUP(J172, SETUP!$A:$D, 3, FALSE), 0))</f>
        <v>25</v>
      </c>
      <c r="F172" s="11">
        <f>IF(J172="","", C172 * IFERROR(VLOOKUP(J172, SETUP!$A:$D, 4, FALSE), 0))</f>
        <v>25</v>
      </c>
      <c r="G172" s="11">
        <f t="shared" si="1"/>
        <v>25</v>
      </c>
      <c r="H172" s="22"/>
      <c r="I172" s="11"/>
      <c r="J172" s="17" t="str">
        <f>IF(TRIM(B172)="","",IF(ISNUMBER(SEARCH(" - ",B172)),TRIM(RIGHT(B172,LEN(B172)-FIND(" - ",B172)-2)),IFERROR(VLOOKUP(UPPER(TRIM(B172)), SETUP!$B$4:$C$11, 2, FALSE), UPPER(TRIM(B172)))))</f>
        <v>CRIS</v>
      </c>
      <c r="K172" s="23">
        <f t="shared" si="2"/>
        <v>46055</v>
      </c>
      <c r="L172" s="17">
        <f t="shared" si="3"/>
        <v>46060</v>
      </c>
      <c r="M172" s="17" t="str">
        <f t="shared" si="4"/>
        <v>2026-02</v>
      </c>
    </row>
    <row r="173" ht="15.75" customHeight="1">
      <c r="A173" s="19">
        <v>46060.0</v>
      </c>
      <c r="B173" s="20" t="s">
        <v>18</v>
      </c>
      <c r="C173" s="20">
        <v>50.0</v>
      </c>
      <c r="D173" s="21"/>
      <c r="E173" s="11">
        <f>IF(J173="","", C173 * IFERROR(VLOOKUP(J173, SETUP!$A:$D, 3, FALSE), 0))</f>
        <v>25</v>
      </c>
      <c r="F173" s="11">
        <f>IF(J173="","", C173 * IFERROR(VLOOKUP(J173, SETUP!$A:$D, 4, FALSE), 0))</f>
        <v>25</v>
      </c>
      <c r="G173" s="11">
        <f t="shared" si="1"/>
        <v>25</v>
      </c>
      <c r="H173" s="22"/>
      <c r="I173" s="11"/>
      <c r="J173" s="17" t="str">
        <f>IF(TRIM(B173)="","",IF(ISNUMBER(SEARCH(" - ",B173)),TRIM(RIGHT(B173,LEN(B173)-FIND(" - ",B173)-2)),IFERROR(VLOOKUP(UPPER(TRIM(B173)), SETUP!$B$4:$C$11, 2, FALSE), UPPER(TRIM(B173)))))</f>
        <v>CRIS</v>
      </c>
      <c r="K173" s="23">
        <f t="shared" si="2"/>
        <v>46055</v>
      </c>
      <c r="L173" s="17">
        <f t="shared" si="3"/>
        <v>46060</v>
      </c>
      <c r="M173" s="17" t="str">
        <f t="shared" si="4"/>
        <v>2026-02</v>
      </c>
    </row>
    <row r="174" ht="15.75" customHeight="1">
      <c r="A174" s="19">
        <v>46060.0</v>
      </c>
      <c r="B174" s="20" t="s">
        <v>18</v>
      </c>
      <c r="C174" s="20">
        <v>65.0</v>
      </c>
      <c r="D174" s="21"/>
      <c r="E174" s="11">
        <f>IF(J174="","", C174 * IFERROR(VLOOKUP(J174, SETUP!$A:$D, 3, FALSE), 0))</f>
        <v>32.5</v>
      </c>
      <c r="F174" s="11">
        <f>IF(J174="","", C174 * IFERROR(VLOOKUP(J174, SETUP!$A:$D, 4, FALSE), 0))</f>
        <v>32.5</v>
      </c>
      <c r="G174" s="11">
        <f t="shared" si="1"/>
        <v>32.5</v>
      </c>
      <c r="H174" s="22"/>
      <c r="I174" s="11"/>
      <c r="J174" s="17" t="str">
        <f>IF(TRIM(B174)="","",IF(ISNUMBER(SEARCH(" - ",B174)),TRIM(RIGHT(B174,LEN(B174)-FIND(" - ",B174)-2)),IFERROR(VLOOKUP(UPPER(TRIM(B174)), SETUP!$B$4:$C$11, 2, FALSE), UPPER(TRIM(B174)))))</f>
        <v>CRIS</v>
      </c>
      <c r="K174" s="23">
        <f t="shared" si="2"/>
        <v>46055</v>
      </c>
      <c r="L174" s="17">
        <f t="shared" si="3"/>
        <v>46060</v>
      </c>
      <c r="M174" s="17" t="str">
        <f t="shared" si="4"/>
        <v>2026-02</v>
      </c>
    </row>
    <row r="175" ht="15.75" customHeight="1">
      <c r="A175" s="19">
        <v>46060.0</v>
      </c>
      <c r="B175" s="20" t="s">
        <v>18</v>
      </c>
      <c r="C175" s="20">
        <v>50.0</v>
      </c>
      <c r="D175" s="21"/>
      <c r="E175" s="11">
        <f>IF(J175="","", C175 * IFERROR(VLOOKUP(J175, SETUP!$A:$D, 3, FALSE), 0))</f>
        <v>25</v>
      </c>
      <c r="F175" s="11">
        <f>IF(J175="","", C175 * IFERROR(VLOOKUP(J175, SETUP!$A:$D, 4, FALSE), 0))</f>
        <v>25</v>
      </c>
      <c r="G175" s="11">
        <f t="shared" si="1"/>
        <v>25</v>
      </c>
      <c r="H175" s="22"/>
      <c r="I175" s="11"/>
      <c r="J175" s="17" t="str">
        <f>IF(TRIM(B175)="","",IF(ISNUMBER(SEARCH(" - ",B175)),TRIM(RIGHT(B175,LEN(B175)-FIND(" - ",B175)-2)),IFERROR(VLOOKUP(UPPER(TRIM(B175)), SETUP!$B$4:$C$11, 2, FALSE), UPPER(TRIM(B175)))))</f>
        <v>CRIS</v>
      </c>
      <c r="K175" s="23">
        <f t="shared" si="2"/>
        <v>46055</v>
      </c>
      <c r="L175" s="17">
        <f t="shared" si="3"/>
        <v>46060</v>
      </c>
      <c r="M175" s="17" t="str">
        <f t="shared" si="4"/>
        <v>2026-02</v>
      </c>
    </row>
    <row r="176" ht="15.75" customHeight="1">
      <c r="A176" s="19">
        <v>46060.0</v>
      </c>
      <c r="B176" s="20" t="s">
        <v>18</v>
      </c>
      <c r="C176" s="20">
        <v>85.0</v>
      </c>
      <c r="D176" s="21"/>
      <c r="E176" s="11">
        <f>IF(J176="","", C176 * IFERROR(VLOOKUP(J176, SETUP!$A:$D, 3, FALSE), 0))</f>
        <v>42.5</v>
      </c>
      <c r="F176" s="11">
        <f>IF(J176="","", C176 * IFERROR(VLOOKUP(J176, SETUP!$A:$D, 4, FALSE), 0))</f>
        <v>42.5</v>
      </c>
      <c r="G176" s="11">
        <f t="shared" si="1"/>
        <v>42.5</v>
      </c>
      <c r="H176" s="22"/>
      <c r="I176" s="11"/>
      <c r="J176" s="17" t="str">
        <f>IF(TRIM(B176)="","",IF(ISNUMBER(SEARCH(" - ",B176)),TRIM(RIGHT(B176,LEN(B176)-FIND(" - ",B176)-2)),IFERROR(VLOOKUP(UPPER(TRIM(B176)), SETUP!$B$4:$C$11, 2, FALSE), UPPER(TRIM(B176)))))</f>
        <v>CRIS</v>
      </c>
      <c r="K176" s="23">
        <f t="shared" si="2"/>
        <v>46055</v>
      </c>
      <c r="L176" s="17">
        <f t="shared" si="3"/>
        <v>46060</v>
      </c>
      <c r="M176" s="17" t="str">
        <f t="shared" si="4"/>
        <v>2026-02</v>
      </c>
    </row>
    <row r="177" ht="15.75" customHeight="1">
      <c r="A177" s="19">
        <v>46060.0</v>
      </c>
      <c r="B177" s="20" t="s">
        <v>19</v>
      </c>
      <c r="C177" s="20">
        <v>62.0</v>
      </c>
      <c r="D177" s="21"/>
      <c r="E177" s="11">
        <f>IF(J177="","", C177 * IFERROR(VLOOKUP(J177, SETUP!$A:$D, 3, FALSE), 0))</f>
        <v>0</v>
      </c>
      <c r="F177" s="11">
        <f>IF(J177="","", C177 * IFERROR(VLOOKUP(J177, SETUP!$A:$D, 4, FALSE), 0))</f>
        <v>62</v>
      </c>
      <c r="G177" s="11">
        <f t="shared" si="1"/>
        <v>62</v>
      </c>
      <c r="H177" s="22"/>
      <c r="I177" s="11"/>
      <c r="J177" s="17" t="str">
        <f>IF(TRIM(B177)="","",IF(ISNUMBER(SEARCH(" - ",B177)),TRIM(RIGHT(B177,LEN(B177)-FIND(" - ",B177)-2)),IFERROR(VLOOKUP(UPPER(TRIM(B177)), SETUP!$B$4:$C$11, 2, FALSE), UPPER(TRIM(B177)))))</f>
        <v>HANNI</v>
      </c>
      <c r="K177" s="23">
        <f t="shared" si="2"/>
        <v>46055</v>
      </c>
      <c r="L177" s="17">
        <f t="shared" si="3"/>
        <v>46060</v>
      </c>
      <c r="M177" s="17" t="str">
        <f t="shared" si="4"/>
        <v>2026-02</v>
      </c>
    </row>
    <row r="178" ht="15.75" customHeight="1">
      <c r="A178" s="19">
        <v>46060.0</v>
      </c>
      <c r="B178" s="20" t="s">
        <v>19</v>
      </c>
      <c r="C178" s="20">
        <v>62.0</v>
      </c>
      <c r="D178" s="21"/>
      <c r="E178" s="11">
        <f>IF(J178="","", C178 * IFERROR(VLOOKUP(J178, SETUP!$A:$D, 3, FALSE), 0))</f>
        <v>0</v>
      </c>
      <c r="F178" s="11">
        <f>IF(J178="","", C178 * IFERROR(VLOOKUP(J178, SETUP!$A:$D, 4, FALSE), 0))</f>
        <v>62</v>
      </c>
      <c r="G178" s="11">
        <f t="shared" si="1"/>
        <v>62</v>
      </c>
      <c r="H178" s="22"/>
      <c r="I178" s="11"/>
      <c r="J178" s="17" t="str">
        <f>IF(TRIM(B178)="","",IF(ISNUMBER(SEARCH(" - ",B178)),TRIM(RIGHT(B178,LEN(B178)-FIND(" - ",B178)-2)),IFERROR(VLOOKUP(UPPER(TRIM(B178)), SETUP!$B$4:$C$11, 2, FALSE), UPPER(TRIM(B178)))))</f>
        <v>HANNI</v>
      </c>
      <c r="K178" s="23">
        <f t="shared" si="2"/>
        <v>46055</v>
      </c>
      <c r="L178" s="17">
        <f t="shared" si="3"/>
        <v>46060</v>
      </c>
      <c r="M178" s="17" t="str">
        <f t="shared" si="4"/>
        <v>2026-02</v>
      </c>
    </row>
    <row r="179" ht="15.75" customHeight="1">
      <c r="A179" s="19">
        <v>46060.0</v>
      </c>
      <c r="B179" s="20" t="s">
        <v>19</v>
      </c>
      <c r="C179" s="20">
        <v>47.0</v>
      </c>
      <c r="D179" s="21"/>
      <c r="E179" s="11">
        <f>IF(J179="","", C179 * IFERROR(VLOOKUP(J179, SETUP!$A:$D, 3, FALSE), 0))</f>
        <v>0</v>
      </c>
      <c r="F179" s="11">
        <f>IF(J179="","", C179 * IFERROR(VLOOKUP(J179, SETUP!$A:$D, 4, FALSE), 0))</f>
        <v>47</v>
      </c>
      <c r="G179" s="11">
        <f t="shared" si="1"/>
        <v>47</v>
      </c>
      <c r="H179" s="22"/>
      <c r="I179" s="11"/>
      <c r="J179" s="17" t="str">
        <f>IF(TRIM(B179)="","",IF(ISNUMBER(SEARCH(" - ",B179)),TRIM(RIGHT(B179,LEN(B179)-FIND(" - ",B179)-2)),IFERROR(VLOOKUP(UPPER(TRIM(B179)), SETUP!$B$4:$C$11, 2, FALSE), UPPER(TRIM(B179)))))</f>
        <v>HANNI</v>
      </c>
      <c r="K179" s="23">
        <f t="shared" si="2"/>
        <v>46055</v>
      </c>
      <c r="L179" s="17">
        <f t="shared" si="3"/>
        <v>46060</v>
      </c>
      <c r="M179" s="17" t="str">
        <f t="shared" si="4"/>
        <v>2026-02</v>
      </c>
    </row>
    <row r="180" ht="15.75" customHeight="1">
      <c r="A180" s="19">
        <v>46060.0</v>
      </c>
      <c r="B180" s="20" t="s">
        <v>20</v>
      </c>
      <c r="C180" s="20">
        <v>40.0</v>
      </c>
      <c r="D180" s="21"/>
      <c r="E180" s="11">
        <f>IF(J180="","", C180 * IFERROR(VLOOKUP(J180, SETUP!$A:$D, 3, FALSE), 0))</f>
        <v>24</v>
      </c>
      <c r="F180" s="11">
        <f>IF(J180="","", C180 * IFERROR(VLOOKUP(J180, SETUP!$A:$D, 4, FALSE), 0))</f>
        <v>16</v>
      </c>
      <c r="G180" s="11">
        <f t="shared" si="1"/>
        <v>16</v>
      </c>
      <c r="H180" s="22"/>
      <c r="I180" s="11"/>
      <c r="J180" s="17" t="str">
        <f>IF(TRIM(B180)="","",IF(ISNUMBER(SEARCH(" - ",B180)),TRIM(RIGHT(B180,LEN(B180)-FIND(" - ",B180)-2)),IFERROR(VLOOKUP(UPPER(TRIM(B180)), SETUP!$B$4:$C$11, 2, FALSE), UPPER(TRIM(B180)))))</f>
        <v>AMY</v>
      </c>
      <c r="K180" s="23">
        <f t="shared" si="2"/>
        <v>46055</v>
      </c>
      <c r="L180" s="17">
        <f t="shared" si="3"/>
        <v>46060</v>
      </c>
      <c r="M180" s="17" t="str">
        <f t="shared" si="4"/>
        <v>2026-02</v>
      </c>
    </row>
    <row r="181" ht="15.75" customHeight="1">
      <c r="A181" s="19">
        <v>46060.0</v>
      </c>
      <c r="B181" s="20" t="s">
        <v>20</v>
      </c>
      <c r="C181" s="20">
        <v>67.0</v>
      </c>
      <c r="D181" s="21"/>
      <c r="E181" s="11">
        <f>IF(J181="","", C181 * IFERROR(VLOOKUP(J181, SETUP!$A:$D, 3, FALSE), 0))</f>
        <v>40.2</v>
      </c>
      <c r="F181" s="11">
        <f>IF(J181="","", C181 * IFERROR(VLOOKUP(J181, SETUP!$A:$D, 4, FALSE), 0))</f>
        <v>26.8</v>
      </c>
      <c r="G181" s="11">
        <f t="shared" si="1"/>
        <v>26.8</v>
      </c>
      <c r="H181" s="22"/>
      <c r="I181" s="11"/>
      <c r="J181" s="17" t="str">
        <f>IF(TRIM(B181)="","",IF(ISNUMBER(SEARCH(" - ",B181)),TRIM(RIGHT(B181,LEN(B181)-FIND(" - ",B181)-2)),IFERROR(VLOOKUP(UPPER(TRIM(B181)), SETUP!$B$4:$C$11, 2, FALSE), UPPER(TRIM(B181)))))</f>
        <v>AMY</v>
      </c>
      <c r="K181" s="23">
        <f t="shared" si="2"/>
        <v>46055</v>
      </c>
      <c r="L181" s="17">
        <f t="shared" si="3"/>
        <v>46060</v>
      </c>
      <c r="M181" s="17" t="str">
        <f t="shared" si="4"/>
        <v>2026-02</v>
      </c>
    </row>
    <row r="182" ht="15.75" customHeight="1">
      <c r="A182" s="19">
        <v>46060.0</v>
      </c>
      <c r="B182" s="20" t="s">
        <v>20</v>
      </c>
      <c r="C182" s="20">
        <v>127.0</v>
      </c>
      <c r="D182" s="21"/>
      <c r="E182" s="11">
        <f>IF(J182="","", C182 * IFERROR(VLOOKUP(J182, SETUP!$A:$D, 3, FALSE), 0))</f>
        <v>76.2</v>
      </c>
      <c r="F182" s="11">
        <f>IF(J182="","", C182 * IFERROR(VLOOKUP(J182, SETUP!$A:$D, 4, FALSE), 0))</f>
        <v>50.8</v>
      </c>
      <c r="G182" s="11">
        <f t="shared" si="1"/>
        <v>50.8</v>
      </c>
      <c r="H182" s="22"/>
      <c r="I182" s="11"/>
      <c r="J182" s="17" t="str">
        <f>IF(TRIM(B182)="","",IF(ISNUMBER(SEARCH(" - ",B182)),TRIM(RIGHT(B182,LEN(B182)-FIND(" - ",B182)-2)),IFERROR(VLOOKUP(UPPER(TRIM(B182)), SETUP!$B$4:$C$11, 2, FALSE), UPPER(TRIM(B182)))))</f>
        <v>AMY</v>
      </c>
      <c r="K182" s="23">
        <f t="shared" si="2"/>
        <v>46055</v>
      </c>
      <c r="L182" s="17">
        <f t="shared" si="3"/>
        <v>46060</v>
      </c>
      <c r="M182" s="17" t="str">
        <f t="shared" si="4"/>
        <v>2026-02</v>
      </c>
    </row>
    <row r="183" ht="15.75" customHeight="1">
      <c r="A183" s="19">
        <v>46060.0</v>
      </c>
      <c r="B183" s="20" t="s">
        <v>20</v>
      </c>
      <c r="C183" s="20">
        <v>62.0</v>
      </c>
      <c r="D183" s="21"/>
      <c r="E183" s="11">
        <f>IF(J183="","", C183 * IFERROR(VLOOKUP(J183, SETUP!$A:$D, 3, FALSE), 0))</f>
        <v>37.2</v>
      </c>
      <c r="F183" s="11">
        <f>IF(J183="","", C183 * IFERROR(VLOOKUP(J183, SETUP!$A:$D, 4, FALSE), 0))</f>
        <v>24.8</v>
      </c>
      <c r="G183" s="11">
        <f t="shared" si="1"/>
        <v>24.8</v>
      </c>
      <c r="H183" s="22"/>
      <c r="I183" s="11"/>
      <c r="J183" s="17" t="str">
        <f>IF(TRIM(B183)="","",IF(ISNUMBER(SEARCH(" - ",B183)),TRIM(RIGHT(B183,LEN(B183)-FIND(" - ",B183)-2)),IFERROR(VLOOKUP(UPPER(TRIM(B183)), SETUP!$B$4:$C$11, 2, FALSE), UPPER(TRIM(B183)))))</f>
        <v>AMY</v>
      </c>
      <c r="K183" s="23">
        <f t="shared" si="2"/>
        <v>46055</v>
      </c>
      <c r="L183" s="17">
        <f t="shared" si="3"/>
        <v>46060</v>
      </c>
      <c r="M183" s="17" t="str">
        <f t="shared" si="4"/>
        <v>2026-02</v>
      </c>
    </row>
    <row r="184" ht="15.75" customHeight="1">
      <c r="A184" s="19">
        <v>46060.0</v>
      </c>
      <c r="B184" s="20" t="s">
        <v>20</v>
      </c>
      <c r="C184" s="20">
        <v>137.0</v>
      </c>
      <c r="D184" s="21"/>
      <c r="E184" s="11">
        <f>IF(J184="","", C184 * IFERROR(VLOOKUP(J184, SETUP!$A:$D, 3, FALSE), 0))</f>
        <v>82.2</v>
      </c>
      <c r="F184" s="11">
        <f>IF(J184="","", C184 * IFERROR(VLOOKUP(J184, SETUP!$A:$D, 4, FALSE), 0))</f>
        <v>54.8</v>
      </c>
      <c r="G184" s="11">
        <f t="shared" si="1"/>
        <v>54.8</v>
      </c>
      <c r="H184" s="22"/>
      <c r="I184" s="11"/>
      <c r="J184" s="17" t="str">
        <f>IF(TRIM(B184)="","",IF(ISNUMBER(SEARCH(" - ",B184)),TRIM(RIGHT(B184,LEN(B184)-FIND(" - ",B184)-2)),IFERROR(VLOOKUP(UPPER(TRIM(B184)), SETUP!$B$4:$C$11, 2, FALSE), UPPER(TRIM(B184)))))</f>
        <v>AMY</v>
      </c>
      <c r="K184" s="23">
        <f t="shared" si="2"/>
        <v>46055</v>
      </c>
      <c r="L184" s="17">
        <f t="shared" si="3"/>
        <v>46060</v>
      </c>
      <c r="M184" s="17" t="str">
        <f t="shared" si="4"/>
        <v>2026-02</v>
      </c>
    </row>
    <row r="185" ht="15.75" customHeight="1">
      <c r="A185" s="19">
        <v>46060.0</v>
      </c>
      <c r="B185" s="20" t="s">
        <v>20</v>
      </c>
      <c r="C185" s="20">
        <v>124.0</v>
      </c>
      <c r="D185" s="21"/>
      <c r="E185" s="11">
        <f>IF(J185="","", C185 * IFERROR(VLOOKUP(J185, SETUP!$A:$D, 3, FALSE), 0))</f>
        <v>74.4</v>
      </c>
      <c r="F185" s="11">
        <f>IF(J185="","", C185 * IFERROR(VLOOKUP(J185, SETUP!$A:$D, 4, FALSE), 0))</f>
        <v>49.6</v>
      </c>
      <c r="G185" s="11">
        <f t="shared" si="1"/>
        <v>49.6</v>
      </c>
      <c r="H185" s="22"/>
      <c r="I185" s="11"/>
      <c r="J185" s="17" t="str">
        <f>IF(TRIM(B185)="","",IF(ISNUMBER(SEARCH(" - ",B185)),TRIM(RIGHT(B185,LEN(B185)-FIND(" - ",B185)-2)),IFERROR(VLOOKUP(UPPER(TRIM(B185)), SETUP!$B$4:$C$11, 2, FALSE), UPPER(TRIM(B185)))))</f>
        <v>AMY</v>
      </c>
      <c r="K185" s="23">
        <f t="shared" si="2"/>
        <v>46055</v>
      </c>
      <c r="L185" s="17">
        <f t="shared" si="3"/>
        <v>46060</v>
      </c>
      <c r="M185" s="17" t="str">
        <f t="shared" si="4"/>
        <v>2026-02</v>
      </c>
    </row>
    <row r="186" ht="15.75" customHeight="1">
      <c r="A186" s="19">
        <v>46060.0</v>
      </c>
      <c r="B186" s="20" t="s">
        <v>21</v>
      </c>
      <c r="C186" s="20">
        <v>122.0</v>
      </c>
      <c r="D186" s="21"/>
      <c r="E186" s="11">
        <f>IF(J186="","", C186 * IFERROR(VLOOKUP(J186, SETUP!$A:$D, 3, FALSE), 0))</f>
        <v>73.2</v>
      </c>
      <c r="F186" s="11">
        <f>IF(J186="","", C186 * IFERROR(VLOOKUP(J186, SETUP!$A:$D, 4, FALSE), 0))</f>
        <v>48.8</v>
      </c>
      <c r="G186" s="11">
        <f t="shared" si="1"/>
        <v>48.8</v>
      </c>
      <c r="H186" s="22"/>
      <c r="I186" s="11"/>
      <c r="J186" s="17" t="str">
        <f>IF(TRIM(B186)="","",IF(ISNUMBER(SEARCH(" - ",B186)),TRIM(RIGHT(B186,LEN(B186)-FIND(" - ",B186)-2)),IFERROR(VLOOKUP(UPPER(TRIM(B186)), SETUP!$B$4:$C$11, 2, FALSE), UPPER(TRIM(B186)))))</f>
        <v>TONY</v>
      </c>
      <c r="K186" s="23">
        <f t="shared" si="2"/>
        <v>46055</v>
      </c>
      <c r="L186" s="17">
        <f t="shared" si="3"/>
        <v>46060</v>
      </c>
      <c r="M186" s="17" t="str">
        <f t="shared" si="4"/>
        <v>2026-02</v>
      </c>
    </row>
    <row r="187" ht="15.75" customHeight="1">
      <c r="A187" s="19">
        <v>46060.0</v>
      </c>
      <c r="B187" s="20" t="s">
        <v>21</v>
      </c>
      <c r="C187" s="20">
        <v>47.0</v>
      </c>
      <c r="D187" s="21"/>
      <c r="E187" s="11">
        <f>IF(J187="","", C187 * IFERROR(VLOOKUP(J187, SETUP!$A:$D, 3, FALSE), 0))</f>
        <v>28.2</v>
      </c>
      <c r="F187" s="11">
        <f>IF(J187="","", C187 * IFERROR(VLOOKUP(J187, SETUP!$A:$D, 4, FALSE), 0))</f>
        <v>18.8</v>
      </c>
      <c r="G187" s="11">
        <f t="shared" si="1"/>
        <v>18.8</v>
      </c>
      <c r="H187" s="22"/>
      <c r="I187" s="11"/>
      <c r="J187" s="17" t="str">
        <f>IF(TRIM(B187)="","",IF(ISNUMBER(SEARCH(" - ",B187)),TRIM(RIGHT(B187,LEN(B187)-FIND(" - ",B187)-2)),IFERROR(VLOOKUP(UPPER(TRIM(B187)), SETUP!$B$4:$C$11, 2, FALSE), UPPER(TRIM(B187)))))</f>
        <v>TONY</v>
      </c>
      <c r="K187" s="23">
        <f t="shared" si="2"/>
        <v>46055</v>
      </c>
      <c r="L187" s="17">
        <f t="shared" si="3"/>
        <v>46060</v>
      </c>
      <c r="M187" s="17" t="str">
        <f t="shared" si="4"/>
        <v>2026-02</v>
      </c>
    </row>
    <row r="188" ht="15.75" customHeight="1">
      <c r="A188" s="19">
        <v>46060.0</v>
      </c>
      <c r="B188" s="20" t="s">
        <v>21</v>
      </c>
      <c r="C188" s="20">
        <v>112.0</v>
      </c>
      <c r="D188" s="21"/>
      <c r="E188" s="11">
        <f>IF(J188="","", C188 * IFERROR(VLOOKUP(J188, SETUP!$A:$D, 3, FALSE), 0))</f>
        <v>67.2</v>
      </c>
      <c r="F188" s="11">
        <f>IF(J188="","", C188 * IFERROR(VLOOKUP(J188, SETUP!$A:$D, 4, FALSE), 0))</f>
        <v>44.8</v>
      </c>
      <c r="G188" s="11">
        <f t="shared" si="1"/>
        <v>44.8</v>
      </c>
      <c r="H188" s="22"/>
      <c r="I188" s="11"/>
      <c r="J188" s="17" t="str">
        <f>IF(TRIM(B188)="","",IF(ISNUMBER(SEARCH(" - ",B188)),TRIM(RIGHT(B188,LEN(B188)-FIND(" - ",B188)-2)),IFERROR(VLOOKUP(UPPER(TRIM(B188)), SETUP!$B$4:$C$11, 2, FALSE), UPPER(TRIM(B188)))))</f>
        <v>TONY</v>
      </c>
      <c r="K188" s="23">
        <f t="shared" si="2"/>
        <v>46055</v>
      </c>
      <c r="L188" s="17">
        <f t="shared" si="3"/>
        <v>46060</v>
      </c>
      <c r="M188" s="17" t="str">
        <f t="shared" si="4"/>
        <v>2026-02</v>
      </c>
    </row>
    <row r="189" ht="15.75" customHeight="1">
      <c r="A189" s="19">
        <v>46060.0</v>
      </c>
      <c r="B189" s="20" t="s">
        <v>21</v>
      </c>
      <c r="C189" s="20">
        <v>57.0</v>
      </c>
      <c r="D189" s="21"/>
      <c r="E189" s="11">
        <f>IF(J189="","", C189 * IFERROR(VLOOKUP(J189, SETUP!$A:$D, 3, FALSE), 0))</f>
        <v>34.2</v>
      </c>
      <c r="F189" s="11">
        <f>IF(J189="","", C189 * IFERROR(VLOOKUP(J189, SETUP!$A:$D, 4, FALSE), 0))</f>
        <v>22.8</v>
      </c>
      <c r="G189" s="11">
        <f t="shared" si="1"/>
        <v>22.8</v>
      </c>
      <c r="H189" s="22"/>
      <c r="I189" s="11"/>
      <c r="J189" s="17" t="str">
        <f>IF(TRIM(B189)="","",IF(ISNUMBER(SEARCH(" - ",B189)),TRIM(RIGHT(B189,LEN(B189)-FIND(" - ",B189)-2)),IFERROR(VLOOKUP(UPPER(TRIM(B189)), SETUP!$B$4:$C$11, 2, FALSE), UPPER(TRIM(B189)))))</f>
        <v>TONY</v>
      </c>
      <c r="K189" s="23">
        <f t="shared" si="2"/>
        <v>46055</v>
      </c>
      <c r="L189" s="17">
        <f t="shared" si="3"/>
        <v>46060</v>
      </c>
      <c r="M189" s="17" t="str">
        <f t="shared" si="4"/>
        <v>2026-02</v>
      </c>
    </row>
    <row r="190" ht="15.75" customHeight="1">
      <c r="A190" s="19">
        <v>46060.0</v>
      </c>
      <c r="B190" s="20" t="s">
        <v>21</v>
      </c>
      <c r="C190" s="20">
        <v>92.0</v>
      </c>
      <c r="D190" s="21"/>
      <c r="E190" s="11">
        <f>IF(J190="","", C190 * IFERROR(VLOOKUP(J190, SETUP!$A:$D, 3, FALSE), 0))</f>
        <v>55.2</v>
      </c>
      <c r="F190" s="11">
        <f>IF(J190="","", C190 * IFERROR(VLOOKUP(J190, SETUP!$A:$D, 4, FALSE), 0))</f>
        <v>36.8</v>
      </c>
      <c r="G190" s="11">
        <f t="shared" si="1"/>
        <v>36.8</v>
      </c>
      <c r="H190" s="22"/>
      <c r="I190" s="11"/>
      <c r="J190" s="17" t="str">
        <f>IF(TRIM(B190)="","",IF(ISNUMBER(SEARCH(" - ",B190)),TRIM(RIGHT(B190,LEN(B190)-FIND(" - ",B190)-2)),IFERROR(VLOOKUP(UPPER(TRIM(B190)), SETUP!$B$4:$C$11, 2, FALSE), UPPER(TRIM(B190)))))</f>
        <v>TONY</v>
      </c>
      <c r="K190" s="23">
        <f t="shared" si="2"/>
        <v>46055</v>
      </c>
      <c r="L190" s="17">
        <f t="shared" si="3"/>
        <v>46060</v>
      </c>
      <c r="M190" s="17" t="str">
        <f t="shared" si="4"/>
        <v>2026-02</v>
      </c>
    </row>
    <row r="191" ht="15.75" customHeight="1">
      <c r="A191" s="19">
        <v>46061.0</v>
      </c>
      <c r="B191" s="20" t="s">
        <v>17</v>
      </c>
      <c r="C191" s="20">
        <v>84.0</v>
      </c>
      <c r="D191" s="21"/>
      <c r="E191" s="11">
        <f>IF(J191="","", C191 * IFERROR(VLOOKUP(J191, SETUP!$A:$D, 3, FALSE), 0))</f>
        <v>50.4</v>
      </c>
      <c r="F191" s="11">
        <f>IF(J191="","", C191 * IFERROR(VLOOKUP(J191, SETUP!$A:$D, 4, FALSE), 0))</f>
        <v>33.6</v>
      </c>
      <c r="G191" s="11">
        <f t="shared" si="1"/>
        <v>33.6</v>
      </c>
      <c r="H191" s="22"/>
      <c r="I191" s="11"/>
      <c r="J191" s="17" t="str">
        <f>IF(TRIM(B191)="","",IF(ISNUMBER(SEARCH(" - ",B191)),TRIM(RIGHT(B191,LEN(B191)-FIND(" - ",B191)-2)),IFERROR(VLOOKUP(UPPER(TRIM(B191)), SETUP!$B$4:$C$11, 2, FALSE), UPPER(TRIM(B191)))))</f>
        <v>RYAN</v>
      </c>
      <c r="K191" s="23">
        <f t="shared" si="2"/>
        <v>46055</v>
      </c>
      <c r="L191" s="17">
        <f t="shared" si="3"/>
        <v>46061</v>
      </c>
      <c r="M191" s="17" t="str">
        <f t="shared" si="4"/>
        <v>2026-02</v>
      </c>
    </row>
    <row r="192" ht="15.75" customHeight="1">
      <c r="A192" s="19">
        <v>46061.0</v>
      </c>
      <c r="B192" s="20" t="s">
        <v>17</v>
      </c>
      <c r="C192" s="20">
        <v>75.0</v>
      </c>
      <c r="D192" s="21"/>
      <c r="E192" s="11">
        <f>IF(J192="","", C192 * IFERROR(VLOOKUP(J192, SETUP!$A:$D, 3, FALSE), 0))</f>
        <v>45</v>
      </c>
      <c r="F192" s="11">
        <f>IF(J192="","", C192 * IFERROR(VLOOKUP(J192, SETUP!$A:$D, 4, FALSE), 0))</f>
        <v>30</v>
      </c>
      <c r="G192" s="11">
        <f t="shared" si="1"/>
        <v>30</v>
      </c>
      <c r="H192" s="22"/>
      <c r="I192" s="11"/>
      <c r="J192" s="17" t="str">
        <f>IF(TRIM(B192)="","",IF(ISNUMBER(SEARCH(" - ",B192)),TRIM(RIGHT(B192,LEN(B192)-FIND(" - ",B192)-2)),IFERROR(VLOOKUP(UPPER(TRIM(B192)), SETUP!$B$4:$C$11, 2, FALSE), UPPER(TRIM(B192)))))</f>
        <v>RYAN</v>
      </c>
      <c r="K192" s="23">
        <f t="shared" si="2"/>
        <v>46055</v>
      </c>
      <c r="L192" s="17">
        <f t="shared" si="3"/>
        <v>46061</v>
      </c>
      <c r="M192" s="17" t="str">
        <f t="shared" si="4"/>
        <v>2026-02</v>
      </c>
    </row>
    <row r="193" ht="15.75" customHeight="1">
      <c r="A193" s="19">
        <v>46061.0</v>
      </c>
      <c r="B193" s="20" t="s">
        <v>17</v>
      </c>
      <c r="C193" s="20">
        <v>95.0</v>
      </c>
      <c r="D193" s="21"/>
      <c r="E193" s="11">
        <f>IF(J193="","", C193 * IFERROR(VLOOKUP(J193, SETUP!$A:$D, 3, FALSE), 0))</f>
        <v>57</v>
      </c>
      <c r="F193" s="11">
        <f>IF(J193="","", C193 * IFERROR(VLOOKUP(J193, SETUP!$A:$D, 4, FALSE), 0))</f>
        <v>38</v>
      </c>
      <c r="G193" s="11">
        <f t="shared" si="1"/>
        <v>38</v>
      </c>
      <c r="H193" s="22"/>
      <c r="I193" s="11"/>
      <c r="J193" s="17" t="str">
        <f>IF(TRIM(B193)="","",IF(ISNUMBER(SEARCH(" - ",B193)),TRIM(RIGHT(B193,LEN(B193)-FIND(" - ",B193)-2)),IFERROR(VLOOKUP(UPPER(TRIM(B193)), SETUP!$B$4:$C$11, 2, FALSE), UPPER(TRIM(B193)))))</f>
        <v>RYAN</v>
      </c>
      <c r="K193" s="23">
        <f t="shared" si="2"/>
        <v>46055</v>
      </c>
      <c r="L193" s="17">
        <f t="shared" si="3"/>
        <v>46061</v>
      </c>
      <c r="M193" s="17" t="str">
        <f t="shared" si="4"/>
        <v>2026-02</v>
      </c>
    </row>
    <row r="194" ht="15.75" customHeight="1">
      <c r="A194" s="19">
        <v>46061.0</v>
      </c>
      <c r="B194" s="20" t="s">
        <v>17</v>
      </c>
      <c r="C194" s="20">
        <v>70.0</v>
      </c>
      <c r="D194" s="21"/>
      <c r="E194" s="11">
        <f>IF(J194="","", C194 * IFERROR(VLOOKUP(J194, SETUP!$A:$D, 3, FALSE), 0))</f>
        <v>42</v>
      </c>
      <c r="F194" s="11">
        <f>IF(J194="","", C194 * IFERROR(VLOOKUP(J194, SETUP!$A:$D, 4, FALSE), 0))</f>
        <v>28</v>
      </c>
      <c r="G194" s="11">
        <f t="shared" si="1"/>
        <v>28</v>
      </c>
      <c r="H194" s="22"/>
      <c r="I194" s="11"/>
      <c r="J194" s="17" t="str">
        <f>IF(TRIM(B194)="","",IF(ISNUMBER(SEARCH(" - ",B194)),TRIM(RIGHT(B194,LEN(B194)-FIND(" - ",B194)-2)),IFERROR(VLOOKUP(UPPER(TRIM(B194)), SETUP!$B$4:$C$11, 2, FALSE), UPPER(TRIM(B194)))))</f>
        <v>RYAN</v>
      </c>
      <c r="K194" s="23">
        <f t="shared" si="2"/>
        <v>46055</v>
      </c>
      <c r="L194" s="17">
        <f t="shared" si="3"/>
        <v>46061</v>
      </c>
      <c r="M194" s="17" t="str">
        <f t="shared" si="4"/>
        <v>2026-02</v>
      </c>
    </row>
    <row r="195" ht="15.75" customHeight="1">
      <c r="A195" s="19">
        <v>46061.0</v>
      </c>
      <c r="B195" s="20" t="s">
        <v>18</v>
      </c>
      <c r="C195" s="20">
        <v>10.0</v>
      </c>
      <c r="D195" s="21"/>
      <c r="E195" s="11">
        <f>IF(J195="","", C195 * IFERROR(VLOOKUP(J195, SETUP!$A:$D, 3, FALSE), 0))</f>
        <v>5</v>
      </c>
      <c r="F195" s="11">
        <f>IF(J195="","", C195 * IFERROR(VLOOKUP(J195, SETUP!$A:$D, 4, FALSE), 0))</f>
        <v>5</v>
      </c>
      <c r="G195" s="11">
        <f t="shared" si="1"/>
        <v>5</v>
      </c>
      <c r="H195" s="22"/>
      <c r="I195" s="11"/>
      <c r="J195" s="17" t="str">
        <f>IF(TRIM(B195)="","",IF(ISNUMBER(SEARCH(" - ",B195)),TRIM(RIGHT(B195,LEN(B195)-FIND(" - ",B195)-2)),IFERROR(VLOOKUP(UPPER(TRIM(B195)), SETUP!$B$4:$C$11, 2, FALSE), UPPER(TRIM(B195)))))</f>
        <v>CRIS</v>
      </c>
      <c r="K195" s="23">
        <f t="shared" si="2"/>
        <v>46055</v>
      </c>
      <c r="L195" s="17">
        <f t="shared" si="3"/>
        <v>46061</v>
      </c>
      <c r="M195" s="17" t="str">
        <f t="shared" si="4"/>
        <v>2026-02</v>
      </c>
    </row>
    <row r="196" ht="15.75" customHeight="1">
      <c r="A196" s="19">
        <v>46061.0</v>
      </c>
      <c r="B196" s="20" t="s">
        <v>18</v>
      </c>
      <c r="C196" s="20">
        <v>65.0</v>
      </c>
      <c r="D196" s="21"/>
      <c r="E196" s="11">
        <f>IF(J196="","", C196 * IFERROR(VLOOKUP(J196, SETUP!$A:$D, 3, FALSE), 0))</f>
        <v>32.5</v>
      </c>
      <c r="F196" s="11">
        <f>IF(J196="","", C196 * IFERROR(VLOOKUP(J196, SETUP!$A:$D, 4, FALSE), 0))</f>
        <v>32.5</v>
      </c>
      <c r="G196" s="11">
        <f t="shared" si="1"/>
        <v>32.5</v>
      </c>
      <c r="H196" s="22"/>
      <c r="I196" s="11"/>
      <c r="J196" s="17" t="str">
        <f>IF(TRIM(B196)="","",IF(ISNUMBER(SEARCH(" - ",B196)),TRIM(RIGHT(B196,LEN(B196)-FIND(" - ",B196)-2)),IFERROR(VLOOKUP(UPPER(TRIM(B196)), SETUP!$B$4:$C$11, 2, FALSE), UPPER(TRIM(B196)))))</f>
        <v>CRIS</v>
      </c>
      <c r="K196" s="23">
        <f t="shared" si="2"/>
        <v>46055</v>
      </c>
      <c r="L196" s="17">
        <f t="shared" si="3"/>
        <v>46061</v>
      </c>
      <c r="M196" s="17" t="str">
        <f t="shared" si="4"/>
        <v>2026-02</v>
      </c>
    </row>
    <row r="197" ht="15.75" customHeight="1">
      <c r="A197" s="19">
        <v>46061.0</v>
      </c>
      <c r="B197" s="20" t="s">
        <v>18</v>
      </c>
      <c r="C197" s="20">
        <v>65.0</v>
      </c>
      <c r="D197" s="21"/>
      <c r="E197" s="11">
        <f>IF(J197="","", C197 * IFERROR(VLOOKUP(J197, SETUP!$A:$D, 3, FALSE), 0))</f>
        <v>32.5</v>
      </c>
      <c r="F197" s="11">
        <f>IF(J197="","", C197 * IFERROR(VLOOKUP(J197, SETUP!$A:$D, 4, FALSE), 0))</f>
        <v>32.5</v>
      </c>
      <c r="G197" s="11">
        <f t="shared" si="1"/>
        <v>32.5</v>
      </c>
      <c r="H197" s="22"/>
      <c r="I197" s="11"/>
      <c r="J197" s="17" t="str">
        <f>IF(TRIM(B197)="","",IF(ISNUMBER(SEARCH(" - ",B197)),TRIM(RIGHT(B197,LEN(B197)-FIND(" - ",B197)-2)),IFERROR(VLOOKUP(UPPER(TRIM(B197)), SETUP!$B$4:$C$11, 2, FALSE), UPPER(TRIM(B197)))))</f>
        <v>CRIS</v>
      </c>
      <c r="K197" s="23">
        <f t="shared" si="2"/>
        <v>46055</v>
      </c>
      <c r="L197" s="17">
        <f t="shared" si="3"/>
        <v>46061</v>
      </c>
      <c r="M197" s="17" t="str">
        <f t="shared" si="4"/>
        <v>2026-02</v>
      </c>
    </row>
    <row r="198" ht="15.75" customHeight="1">
      <c r="A198" s="19">
        <v>46061.0</v>
      </c>
      <c r="B198" s="20" t="s">
        <v>18</v>
      </c>
      <c r="C198" s="20">
        <v>80.0</v>
      </c>
      <c r="D198" s="21"/>
      <c r="E198" s="11">
        <f>IF(J198="","", C198 * IFERROR(VLOOKUP(J198, SETUP!$A:$D, 3, FALSE), 0))</f>
        <v>40</v>
      </c>
      <c r="F198" s="11">
        <f>IF(J198="","", C198 * IFERROR(VLOOKUP(J198, SETUP!$A:$D, 4, FALSE), 0))</f>
        <v>40</v>
      </c>
      <c r="G198" s="11">
        <f t="shared" si="1"/>
        <v>40</v>
      </c>
      <c r="H198" s="22"/>
      <c r="I198" s="11"/>
      <c r="J198" s="17" t="str">
        <f>IF(TRIM(B198)="","",IF(ISNUMBER(SEARCH(" - ",B198)),TRIM(RIGHT(B198,LEN(B198)-FIND(" - ",B198)-2)),IFERROR(VLOOKUP(UPPER(TRIM(B198)), SETUP!$B$4:$C$11, 2, FALSE), UPPER(TRIM(B198)))))</f>
        <v>CRIS</v>
      </c>
      <c r="K198" s="23">
        <f t="shared" si="2"/>
        <v>46055</v>
      </c>
      <c r="L198" s="17">
        <f t="shared" si="3"/>
        <v>46061</v>
      </c>
      <c r="M198" s="17" t="str">
        <f t="shared" si="4"/>
        <v>2026-02</v>
      </c>
    </row>
    <row r="199" ht="15.75" customHeight="1">
      <c r="A199" s="19">
        <v>46061.0</v>
      </c>
      <c r="B199" s="20" t="s">
        <v>20</v>
      </c>
      <c r="C199" s="20">
        <v>55.0</v>
      </c>
      <c r="D199" s="21"/>
      <c r="E199" s="11">
        <f>IF(J199="","", C199 * IFERROR(VLOOKUP(J199, SETUP!$A:$D, 3, FALSE), 0))</f>
        <v>33</v>
      </c>
      <c r="F199" s="11">
        <f>IF(J199="","", C199 * IFERROR(VLOOKUP(J199, SETUP!$A:$D, 4, FALSE), 0))</f>
        <v>22</v>
      </c>
      <c r="G199" s="11">
        <f t="shared" si="1"/>
        <v>22</v>
      </c>
      <c r="H199" s="22"/>
      <c r="I199" s="11"/>
      <c r="J199" s="17" t="str">
        <f>IF(TRIM(B199)="","",IF(ISNUMBER(SEARCH(" - ",B199)),TRIM(RIGHT(B199,LEN(B199)-FIND(" - ",B199)-2)),IFERROR(VLOOKUP(UPPER(TRIM(B199)), SETUP!$B$4:$C$11, 2, FALSE), UPPER(TRIM(B199)))))</f>
        <v>AMY</v>
      </c>
      <c r="K199" s="23">
        <f t="shared" si="2"/>
        <v>46055</v>
      </c>
      <c r="L199" s="17">
        <f t="shared" si="3"/>
        <v>46061</v>
      </c>
      <c r="M199" s="17" t="str">
        <f t="shared" si="4"/>
        <v>2026-02</v>
      </c>
    </row>
    <row r="200" ht="15.75" customHeight="1">
      <c r="A200" s="19">
        <v>46061.0</v>
      </c>
      <c r="B200" s="20" t="s">
        <v>20</v>
      </c>
      <c r="C200" s="20">
        <v>57.0</v>
      </c>
      <c r="D200" s="21"/>
      <c r="E200" s="11">
        <f>IF(J200="","", C200 * IFERROR(VLOOKUP(J200, SETUP!$A:$D, 3, FALSE), 0))</f>
        <v>34.2</v>
      </c>
      <c r="F200" s="11">
        <f>IF(J200="","", C200 * IFERROR(VLOOKUP(J200, SETUP!$A:$D, 4, FALSE), 0))</f>
        <v>22.8</v>
      </c>
      <c r="G200" s="11">
        <f t="shared" si="1"/>
        <v>22.8</v>
      </c>
      <c r="H200" s="22"/>
      <c r="I200" s="11"/>
      <c r="J200" s="17" t="str">
        <f>IF(TRIM(B200)="","",IF(ISNUMBER(SEARCH(" - ",B200)),TRIM(RIGHT(B200,LEN(B200)-FIND(" - ",B200)-2)),IFERROR(VLOOKUP(UPPER(TRIM(B200)), SETUP!$B$4:$C$11, 2, FALSE), UPPER(TRIM(B200)))))</f>
        <v>AMY</v>
      </c>
      <c r="K200" s="23">
        <f t="shared" si="2"/>
        <v>46055</v>
      </c>
      <c r="L200" s="17">
        <f t="shared" si="3"/>
        <v>46061</v>
      </c>
      <c r="M200" s="17" t="str">
        <f t="shared" si="4"/>
        <v>2026-02</v>
      </c>
    </row>
    <row r="201" ht="15.75" customHeight="1">
      <c r="A201" s="19">
        <v>46061.0</v>
      </c>
      <c r="B201" s="20" t="s">
        <v>20</v>
      </c>
      <c r="C201" s="20">
        <v>107.0</v>
      </c>
      <c r="D201" s="21"/>
      <c r="E201" s="11">
        <f>IF(J201="","", C201 * IFERROR(VLOOKUP(J201, SETUP!$A:$D, 3, FALSE), 0))</f>
        <v>64.2</v>
      </c>
      <c r="F201" s="11">
        <f>IF(J201="","", C201 * IFERROR(VLOOKUP(J201, SETUP!$A:$D, 4, FALSE), 0))</f>
        <v>42.8</v>
      </c>
      <c r="G201" s="11">
        <f t="shared" si="1"/>
        <v>42.8</v>
      </c>
      <c r="H201" s="22"/>
      <c r="I201" s="11"/>
      <c r="J201" s="17" t="str">
        <f>IF(TRIM(B201)="","",IF(ISNUMBER(SEARCH(" - ",B201)),TRIM(RIGHT(B201,LEN(B201)-FIND(" - ",B201)-2)),IFERROR(VLOOKUP(UPPER(TRIM(B201)), SETUP!$B$4:$C$11, 2, FALSE), UPPER(TRIM(B201)))))</f>
        <v>AMY</v>
      </c>
      <c r="K201" s="23">
        <f t="shared" si="2"/>
        <v>46055</v>
      </c>
      <c r="L201" s="17">
        <f t="shared" si="3"/>
        <v>46061</v>
      </c>
      <c r="M201" s="17" t="str">
        <f t="shared" si="4"/>
        <v>2026-02</v>
      </c>
    </row>
    <row r="202" ht="15.75" customHeight="1">
      <c r="A202" s="19">
        <v>46061.0</v>
      </c>
      <c r="B202" s="20" t="s">
        <v>20</v>
      </c>
      <c r="C202" s="20">
        <v>52.0</v>
      </c>
      <c r="D202" s="21"/>
      <c r="E202" s="11">
        <f>IF(J202="","", C202 * IFERROR(VLOOKUP(J202, SETUP!$A:$D, 3, FALSE), 0))</f>
        <v>31.2</v>
      </c>
      <c r="F202" s="11">
        <f>IF(J202="","", C202 * IFERROR(VLOOKUP(J202, SETUP!$A:$D, 4, FALSE), 0))</f>
        <v>20.8</v>
      </c>
      <c r="G202" s="11">
        <f t="shared" si="1"/>
        <v>20.8</v>
      </c>
      <c r="H202" s="22"/>
      <c r="I202" s="11"/>
      <c r="J202" s="17" t="str">
        <f>IF(TRIM(B202)="","",IF(ISNUMBER(SEARCH(" - ",B202)),TRIM(RIGHT(B202,LEN(B202)-FIND(" - ",B202)-2)),IFERROR(VLOOKUP(UPPER(TRIM(B202)), SETUP!$B$4:$C$11, 2, FALSE), UPPER(TRIM(B202)))))</f>
        <v>AMY</v>
      </c>
      <c r="K202" s="23">
        <f t="shared" si="2"/>
        <v>46055</v>
      </c>
      <c r="L202" s="17">
        <f t="shared" si="3"/>
        <v>46061</v>
      </c>
      <c r="M202" s="17" t="str">
        <f t="shared" si="4"/>
        <v>2026-02</v>
      </c>
    </row>
    <row r="203" ht="15.75" customHeight="1">
      <c r="A203" s="19">
        <v>46061.0</v>
      </c>
      <c r="B203" s="20" t="s">
        <v>20</v>
      </c>
      <c r="C203" s="20">
        <v>77.0</v>
      </c>
      <c r="D203" s="21"/>
      <c r="E203" s="11">
        <f>IF(J203="","", C203 * IFERROR(VLOOKUP(J203, SETUP!$A:$D, 3, FALSE), 0))</f>
        <v>46.2</v>
      </c>
      <c r="F203" s="11">
        <f>IF(J203="","", C203 * IFERROR(VLOOKUP(J203, SETUP!$A:$D, 4, FALSE), 0))</f>
        <v>30.8</v>
      </c>
      <c r="G203" s="11">
        <f t="shared" si="1"/>
        <v>30.8</v>
      </c>
      <c r="H203" s="22"/>
      <c r="I203" s="11"/>
      <c r="J203" s="17" t="str">
        <f>IF(TRIM(B203)="","",IF(ISNUMBER(SEARCH(" - ",B203)),TRIM(RIGHT(B203,LEN(B203)-FIND(" - ",B203)-2)),IFERROR(VLOOKUP(UPPER(TRIM(B203)), SETUP!$B$4:$C$11, 2, FALSE), UPPER(TRIM(B203)))))</f>
        <v>AMY</v>
      </c>
      <c r="K203" s="23">
        <f t="shared" si="2"/>
        <v>46055</v>
      </c>
      <c r="L203" s="17">
        <f t="shared" si="3"/>
        <v>46061</v>
      </c>
      <c r="M203" s="17" t="str">
        <f t="shared" si="4"/>
        <v>2026-02</v>
      </c>
    </row>
    <row r="204" ht="15.75" customHeight="1">
      <c r="A204" s="19">
        <v>46061.0</v>
      </c>
      <c r="B204" s="20" t="s">
        <v>21</v>
      </c>
      <c r="C204" s="20">
        <v>55.0</v>
      </c>
      <c r="D204" s="21"/>
      <c r="E204" s="11">
        <f>IF(J204="","", C204 * IFERROR(VLOOKUP(J204, SETUP!$A:$D, 3, FALSE), 0))</f>
        <v>33</v>
      </c>
      <c r="F204" s="11">
        <f>IF(J204="","", C204 * IFERROR(VLOOKUP(J204, SETUP!$A:$D, 4, FALSE), 0))</f>
        <v>22</v>
      </c>
      <c r="G204" s="11">
        <f t="shared" si="1"/>
        <v>22</v>
      </c>
      <c r="H204" s="22"/>
      <c r="I204" s="11"/>
      <c r="J204" s="17" t="str">
        <f>IF(TRIM(B204)="","",IF(ISNUMBER(SEARCH(" - ",B204)),TRIM(RIGHT(B204,LEN(B204)-FIND(" - ",B204)-2)),IFERROR(VLOOKUP(UPPER(TRIM(B204)), SETUP!$B$4:$C$11, 2, FALSE), UPPER(TRIM(B204)))))</f>
        <v>TONY</v>
      </c>
      <c r="K204" s="23">
        <f t="shared" si="2"/>
        <v>46055</v>
      </c>
      <c r="L204" s="17">
        <f t="shared" si="3"/>
        <v>46061</v>
      </c>
      <c r="M204" s="17" t="str">
        <f t="shared" si="4"/>
        <v>2026-02</v>
      </c>
    </row>
    <row r="205" ht="15.75" customHeight="1">
      <c r="A205" s="19">
        <v>46061.0</v>
      </c>
      <c r="B205" s="20" t="s">
        <v>21</v>
      </c>
      <c r="C205" s="20">
        <v>92.0</v>
      </c>
      <c r="D205" s="21"/>
      <c r="E205" s="11">
        <f>IF(J205="","", C205 * IFERROR(VLOOKUP(J205, SETUP!$A:$D, 3, FALSE), 0))</f>
        <v>55.2</v>
      </c>
      <c r="F205" s="11">
        <f>IF(J205="","", C205 * IFERROR(VLOOKUP(J205, SETUP!$A:$D, 4, FALSE), 0))</f>
        <v>36.8</v>
      </c>
      <c r="G205" s="11">
        <f t="shared" si="1"/>
        <v>36.8</v>
      </c>
      <c r="H205" s="22"/>
      <c r="I205" s="11"/>
      <c r="J205" s="17" t="str">
        <f>IF(TRIM(B205)="","",IF(ISNUMBER(SEARCH(" - ",B205)),TRIM(RIGHT(B205,LEN(B205)-FIND(" - ",B205)-2)),IFERROR(VLOOKUP(UPPER(TRIM(B205)), SETUP!$B$4:$C$11, 2, FALSE), UPPER(TRIM(B205)))))</f>
        <v>TONY</v>
      </c>
      <c r="K205" s="23">
        <f t="shared" si="2"/>
        <v>46055</v>
      </c>
      <c r="L205" s="17">
        <f t="shared" si="3"/>
        <v>46061</v>
      </c>
      <c r="M205" s="17" t="str">
        <f t="shared" si="4"/>
        <v>2026-02</v>
      </c>
    </row>
    <row r="206" ht="15.75" customHeight="1">
      <c r="A206" s="19">
        <v>46061.0</v>
      </c>
      <c r="B206" s="20" t="s">
        <v>21</v>
      </c>
      <c r="C206" s="20">
        <v>55.0</v>
      </c>
      <c r="D206" s="21"/>
      <c r="E206" s="11">
        <f>IF(J206="","", C206 * IFERROR(VLOOKUP(J206, SETUP!$A:$D, 3, FALSE), 0))</f>
        <v>33</v>
      </c>
      <c r="F206" s="11">
        <f>IF(J206="","", C206 * IFERROR(VLOOKUP(J206, SETUP!$A:$D, 4, FALSE), 0))</f>
        <v>22</v>
      </c>
      <c r="G206" s="11">
        <f t="shared" si="1"/>
        <v>22</v>
      </c>
      <c r="H206" s="22"/>
      <c r="I206" s="11"/>
      <c r="J206" s="17" t="str">
        <f>IF(TRIM(B206)="","",IF(ISNUMBER(SEARCH(" - ",B206)),TRIM(RIGHT(B206,LEN(B206)-FIND(" - ",B206)-2)),IFERROR(VLOOKUP(UPPER(TRIM(B206)), SETUP!$B$4:$C$11, 2, FALSE), UPPER(TRIM(B206)))))</f>
        <v>TONY</v>
      </c>
      <c r="K206" s="23">
        <f t="shared" si="2"/>
        <v>46055</v>
      </c>
      <c r="L206" s="17">
        <f t="shared" si="3"/>
        <v>46061</v>
      </c>
      <c r="M206" s="17" t="str">
        <f t="shared" si="4"/>
        <v>2026-02</v>
      </c>
    </row>
    <row r="207" ht="15.75" customHeight="1">
      <c r="A207" s="19">
        <v>46061.0</v>
      </c>
      <c r="B207" s="20" t="s">
        <v>21</v>
      </c>
      <c r="C207" s="20">
        <v>52.0</v>
      </c>
      <c r="D207" s="21"/>
      <c r="E207" s="11">
        <f>IF(J207="","", C207 * IFERROR(VLOOKUP(J207, SETUP!$A:$D, 3, FALSE), 0))</f>
        <v>31.2</v>
      </c>
      <c r="F207" s="11">
        <f>IF(J207="","", C207 * IFERROR(VLOOKUP(J207, SETUP!$A:$D, 4, FALSE), 0))</f>
        <v>20.8</v>
      </c>
      <c r="G207" s="11">
        <f t="shared" si="1"/>
        <v>20.8</v>
      </c>
      <c r="H207" s="22"/>
      <c r="I207" s="11"/>
      <c r="J207" s="17" t="str">
        <f>IF(TRIM(B207)="","",IF(ISNUMBER(SEARCH(" - ",B207)),TRIM(RIGHT(B207,LEN(B207)-FIND(" - ",B207)-2)),IFERROR(VLOOKUP(UPPER(TRIM(B207)), SETUP!$B$4:$C$11, 2, FALSE), UPPER(TRIM(B207)))))</f>
        <v>TONY</v>
      </c>
      <c r="K207" s="23">
        <f t="shared" si="2"/>
        <v>46055</v>
      </c>
      <c r="L207" s="17">
        <f t="shared" si="3"/>
        <v>46061</v>
      </c>
      <c r="M207" s="17" t="str">
        <f t="shared" si="4"/>
        <v>2026-02</v>
      </c>
    </row>
    <row r="208" ht="15.75" customHeight="1">
      <c r="A208" s="19">
        <v>46061.0</v>
      </c>
      <c r="B208" s="20" t="s">
        <v>21</v>
      </c>
      <c r="C208" s="20">
        <v>57.0</v>
      </c>
      <c r="D208" s="21"/>
      <c r="E208" s="11">
        <f>IF(J208="","", C208 * IFERROR(VLOOKUP(J208, SETUP!$A:$D, 3, FALSE), 0))</f>
        <v>34.2</v>
      </c>
      <c r="F208" s="11">
        <f>IF(J208="","", C208 * IFERROR(VLOOKUP(J208, SETUP!$A:$D, 4, FALSE), 0))</f>
        <v>22.8</v>
      </c>
      <c r="G208" s="11">
        <f t="shared" si="1"/>
        <v>22.8</v>
      </c>
      <c r="H208" s="22"/>
      <c r="I208" s="11"/>
      <c r="J208" s="17" t="str">
        <f>IF(TRIM(B208)="","",IF(ISNUMBER(SEARCH(" - ",B208)),TRIM(RIGHT(B208,LEN(B208)-FIND(" - ",B208)-2)),IFERROR(VLOOKUP(UPPER(TRIM(B208)), SETUP!$B$4:$C$11, 2, FALSE), UPPER(TRIM(B208)))))</f>
        <v>TONY</v>
      </c>
      <c r="K208" s="23">
        <f t="shared" si="2"/>
        <v>46055</v>
      </c>
      <c r="L208" s="17">
        <f t="shared" si="3"/>
        <v>46061</v>
      </c>
      <c r="M208" s="17" t="str">
        <f t="shared" si="4"/>
        <v>2026-02</v>
      </c>
    </row>
    <row r="209" ht="15.75" customHeight="1">
      <c r="A209" s="19">
        <v>46062.0</v>
      </c>
      <c r="B209" s="20" t="s">
        <v>16</v>
      </c>
      <c r="C209" s="20">
        <v>85.0</v>
      </c>
      <c r="D209" s="21"/>
      <c r="E209" s="11">
        <f>IF(J209="","", C209 * IFERROR(VLOOKUP(J209, SETUP!$A:$D, 3, FALSE), 0))</f>
        <v>0</v>
      </c>
      <c r="F209" s="11">
        <f>IF(J209="","", C209 * IFERROR(VLOOKUP(J209, SETUP!$A:$D, 4, FALSE), 0))</f>
        <v>85</v>
      </c>
      <c r="G209" s="11">
        <f t="shared" si="1"/>
        <v>85</v>
      </c>
      <c r="H209" s="22"/>
      <c r="I209" s="11"/>
      <c r="J209" s="17" t="str">
        <f>IF(TRIM(B209)="","",IF(ISNUMBER(SEARCH(" - ",B209)),TRIM(RIGHT(B209,LEN(B209)-FIND(" - ",B209)-2)),IFERROR(VLOOKUP(UPPER(TRIM(B209)), SETUP!$B$4:$C$11, 2, FALSE), UPPER(TRIM(B209)))))</f>
        <v>KEN</v>
      </c>
      <c r="K209" s="23">
        <f t="shared" si="2"/>
        <v>46062</v>
      </c>
      <c r="L209" s="17">
        <f t="shared" si="3"/>
        <v>46062</v>
      </c>
      <c r="M209" s="17" t="str">
        <f t="shared" si="4"/>
        <v>2026-02</v>
      </c>
    </row>
    <row r="210" ht="15.75" customHeight="1">
      <c r="A210" s="19">
        <v>46062.0</v>
      </c>
      <c r="B210" s="20" t="s">
        <v>17</v>
      </c>
      <c r="C210" s="20">
        <v>47.0</v>
      </c>
      <c r="D210" s="21"/>
      <c r="E210" s="11">
        <f>IF(J210="","", C210 * IFERROR(VLOOKUP(J210, SETUP!$A:$D, 3, FALSE), 0))</f>
        <v>28.2</v>
      </c>
      <c r="F210" s="11">
        <f>IF(J210="","", C210 * IFERROR(VLOOKUP(J210, SETUP!$A:$D, 4, FALSE), 0))</f>
        <v>18.8</v>
      </c>
      <c r="G210" s="11">
        <f t="shared" si="1"/>
        <v>18.8</v>
      </c>
      <c r="H210" s="22"/>
      <c r="I210" s="11"/>
      <c r="J210" s="17" t="str">
        <f>IF(TRIM(B210)="","",IF(ISNUMBER(SEARCH(" - ",B210)),TRIM(RIGHT(B210,LEN(B210)-FIND(" - ",B210)-2)),IFERROR(VLOOKUP(UPPER(TRIM(B210)), SETUP!$B$4:$C$11, 2, FALSE), UPPER(TRIM(B210)))))</f>
        <v>RYAN</v>
      </c>
      <c r="K210" s="23">
        <f t="shared" si="2"/>
        <v>46062</v>
      </c>
      <c r="L210" s="17">
        <f t="shared" si="3"/>
        <v>46062</v>
      </c>
      <c r="M210" s="17" t="str">
        <f t="shared" si="4"/>
        <v>2026-02</v>
      </c>
    </row>
    <row r="211" ht="15.75" customHeight="1">
      <c r="A211" s="19">
        <v>46062.0</v>
      </c>
      <c r="B211" s="20" t="s">
        <v>17</v>
      </c>
      <c r="C211" s="20">
        <v>50.0</v>
      </c>
      <c r="D211" s="21"/>
      <c r="E211" s="11">
        <f>IF(J211="","", C211 * IFERROR(VLOOKUP(J211, SETUP!$A:$D, 3, FALSE), 0))</f>
        <v>30</v>
      </c>
      <c r="F211" s="11">
        <f>IF(J211="","", C211 * IFERROR(VLOOKUP(J211, SETUP!$A:$D, 4, FALSE), 0))</f>
        <v>20</v>
      </c>
      <c r="G211" s="11">
        <f t="shared" si="1"/>
        <v>20</v>
      </c>
      <c r="H211" s="22"/>
      <c r="I211" s="11"/>
      <c r="J211" s="17" t="str">
        <f>IF(TRIM(B211)="","",IF(ISNUMBER(SEARCH(" - ",B211)),TRIM(RIGHT(B211,LEN(B211)-FIND(" - ",B211)-2)),IFERROR(VLOOKUP(UPPER(TRIM(B211)), SETUP!$B$4:$C$11, 2, FALSE), UPPER(TRIM(B211)))))</f>
        <v>RYAN</v>
      </c>
      <c r="K211" s="23">
        <f t="shared" si="2"/>
        <v>46062</v>
      </c>
      <c r="L211" s="17">
        <f t="shared" si="3"/>
        <v>46062</v>
      </c>
      <c r="M211" s="17" t="str">
        <f t="shared" si="4"/>
        <v>2026-02</v>
      </c>
    </row>
    <row r="212" ht="15.75" customHeight="1">
      <c r="A212" s="19">
        <v>46062.0</v>
      </c>
      <c r="B212" s="20" t="s">
        <v>17</v>
      </c>
      <c r="C212" s="20">
        <v>47.0</v>
      </c>
      <c r="D212" s="21"/>
      <c r="E212" s="11">
        <f>IF(J212="","", C212 * IFERROR(VLOOKUP(J212, SETUP!$A:$D, 3, FALSE), 0))</f>
        <v>28.2</v>
      </c>
      <c r="F212" s="11">
        <f>IF(J212="","", C212 * IFERROR(VLOOKUP(J212, SETUP!$A:$D, 4, FALSE), 0))</f>
        <v>18.8</v>
      </c>
      <c r="G212" s="11">
        <f t="shared" si="1"/>
        <v>18.8</v>
      </c>
      <c r="H212" s="22"/>
      <c r="I212" s="11"/>
      <c r="J212" s="17" t="str">
        <f>IF(TRIM(B212)="","",IF(ISNUMBER(SEARCH(" - ",B212)),TRIM(RIGHT(B212,LEN(B212)-FIND(" - ",B212)-2)),IFERROR(VLOOKUP(UPPER(TRIM(B212)), SETUP!$B$4:$C$11, 2, FALSE), UPPER(TRIM(B212)))))</f>
        <v>RYAN</v>
      </c>
      <c r="K212" s="23">
        <f t="shared" si="2"/>
        <v>46062</v>
      </c>
      <c r="L212" s="17">
        <f t="shared" si="3"/>
        <v>46062</v>
      </c>
      <c r="M212" s="17" t="str">
        <f t="shared" si="4"/>
        <v>2026-02</v>
      </c>
    </row>
    <row r="213" ht="15.75" customHeight="1">
      <c r="A213" s="19">
        <v>46062.0</v>
      </c>
      <c r="B213" s="20" t="s">
        <v>17</v>
      </c>
      <c r="C213" s="20">
        <v>52.0</v>
      </c>
      <c r="D213" s="21"/>
      <c r="E213" s="11">
        <f>IF(J213="","", C213 * IFERROR(VLOOKUP(J213, SETUP!$A:$D, 3, FALSE), 0))</f>
        <v>31.2</v>
      </c>
      <c r="F213" s="11">
        <f>IF(J213="","", C213 * IFERROR(VLOOKUP(J213, SETUP!$A:$D, 4, FALSE), 0))</f>
        <v>20.8</v>
      </c>
      <c r="G213" s="11">
        <f t="shared" si="1"/>
        <v>20.8</v>
      </c>
      <c r="H213" s="22"/>
      <c r="I213" s="11"/>
      <c r="J213" s="17" t="str">
        <f>IF(TRIM(B213)="","",IF(ISNUMBER(SEARCH(" - ",B213)),TRIM(RIGHT(B213,LEN(B213)-FIND(" - ",B213)-2)),IFERROR(VLOOKUP(UPPER(TRIM(B213)), SETUP!$B$4:$C$11, 2, FALSE), UPPER(TRIM(B213)))))</f>
        <v>RYAN</v>
      </c>
      <c r="K213" s="23">
        <f t="shared" si="2"/>
        <v>46062</v>
      </c>
      <c r="L213" s="17">
        <f t="shared" si="3"/>
        <v>46062</v>
      </c>
      <c r="M213" s="17" t="str">
        <f t="shared" si="4"/>
        <v>2026-02</v>
      </c>
    </row>
    <row r="214" ht="15.75" customHeight="1">
      <c r="A214" s="19">
        <v>46062.0</v>
      </c>
      <c r="B214" s="20" t="s">
        <v>17</v>
      </c>
      <c r="C214" s="20">
        <v>62.0</v>
      </c>
      <c r="D214" s="21"/>
      <c r="E214" s="11">
        <f>IF(J214="","", C214 * IFERROR(VLOOKUP(J214, SETUP!$A:$D, 3, FALSE), 0))</f>
        <v>37.2</v>
      </c>
      <c r="F214" s="11">
        <f>IF(J214="","", C214 * IFERROR(VLOOKUP(J214, SETUP!$A:$D, 4, FALSE), 0))</f>
        <v>24.8</v>
      </c>
      <c r="G214" s="11">
        <f t="shared" si="1"/>
        <v>24.8</v>
      </c>
      <c r="H214" s="22"/>
      <c r="I214" s="11"/>
      <c r="J214" s="17" t="str">
        <f>IF(TRIM(B214)="","",IF(ISNUMBER(SEARCH(" - ",B214)),TRIM(RIGHT(B214,LEN(B214)-FIND(" - ",B214)-2)),IFERROR(VLOOKUP(UPPER(TRIM(B214)), SETUP!$B$4:$C$11, 2, FALSE), UPPER(TRIM(B214)))))</f>
        <v>RYAN</v>
      </c>
      <c r="K214" s="23">
        <f t="shared" si="2"/>
        <v>46062</v>
      </c>
      <c r="L214" s="17">
        <f t="shared" si="3"/>
        <v>46062</v>
      </c>
      <c r="M214" s="17" t="str">
        <f t="shared" si="4"/>
        <v>2026-02</v>
      </c>
    </row>
    <row r="215" ht="15.75" customHeight="1">
      <c r="A215" s="19">
        <v>46062.0</v>
      </c>
      <c r="B215" s="20" t="s">
        <v>18</v>
      </c>
      <c r="C215" s="20">
        <v>40.0</v>
      </c>
      <c r="D215" s="21"/>
      <c r="E215" s="11">
        <f>IF(J215="","", C215 * IFERROR(VLOOKUP(J215, SETUP!$A:$D, 3, FALSE), 0))</f>
        <v>20</v>
      </c>
      <c r="F215" s="11">
        <f>IF(J215="","", C215 * IFERROR(VLOOKUP(J215, SETUP!$A:$D, 4, FALSE), 0))</f>
        <v>20</v>
      </c>
      <c r="G215" s="11">
        <f t="shared" si="1"/>
        <v>20</v>
      </c>
      <c r="H215" s="22"/>
      <c r="I215" s="11"/>
      <c r="J215" s="17" t="str">
        <f>IF(TRIM(B215)="","",IF(ISNUMBER(SEARCH(" - ",B215)),TRIM(RIGHT(B215,LEN(B215)-FIND(" - ",B215)-2)),IFERROR(VLOOKUP(UPPER(TRIM(B215)), SETUP!$B$4:$C$11, 2, FALSE), UPPER(TRIM(B215)))))</f>
        <v>CRIS</v>
      </c>
      <c r="K215" s="23">
        <f t="shared" si="2"/>
        <v>46062</v>
      </c>
      <c r="L215" s="17">
        <f t="shared" si="3"/>
        <v>46062</v>
      </c>
      <c r="M215" s="17" t="str">
        <f t="shared" si="4"/>
        <v>2026-02</v>
      </c>
    </row>
    <row r="216" ht="15.75" customHeight="1">
      <c r="A216" s="19">
        <v>46062.0</v>
      </c>
      <c r="B216" s="20" t="s">
        <v>18</v>
      </c>
      <c r="C216" s="20">
        <v>65.0</v>
      </c>
      <c r="D216" s="21"/>
      <c r="E216" s="11">
        <f>IF(J216="","", C216 * IFERROR(VLOOKUP(J216, SETUP!$A:$D, 3, FALSE), 0))</f>
        <v>32.5</v>
      </c>
      <c r="F216" s="11">
        <f>IF(J216="","", C216 * IFERROR(VLOOKUP(J216, SETUP!$A:$D, 4, FALSE), 0))</f>
        <v>32.5</v>
      </c>
      <c r="G216" s="11">
        <f t="shared" si="1"/>
        <v>32.5</v>
      </c>
      <c r="H216" s="22"/>
      <c r="I216" s="11"/>
      <c r="J216" s="17" t="str">
        <f>IF(TRIM(B216)="","",IF(ISNUMBER(SEARCH(" - ",B216)),TRIM(RIGHT(B216,LEN(B216)-FIND(" - ",B216)-2)),IFERROR(VLOOKUP(UPPER(TRIM(B216)), SETUP!$B$4:$C$11, 2, FALSE), UPPER(TRIM(B216)))))</f>
        <v>CRIS</v>
      </c>
      <c r="K216" s="23">
        <f t="shared" si="2"/>
        <v>46062</v>
      </c>
      <c r="L216" s="17">
        <f t="shared" si="3"/>
        <v>46062</v>
      </c>
      <c r="M216" s="17" t="str">
        <f t="shared" si="4"/>
        <v>2026-02</v>
      </c>
    </row>
    <row r="217" ht="15.75" customHeight="1">
      <c r="A217" s="19">
        <v>46062.0</v>
      </c>
      <c r="B217" s="20" t="s">
        <v>18</v>
      </c>
      <c r="C217" s="20">
        <v>60.0</v>
      </c>
      <c r="D217" s="21"/>
      <c r="E217" s="11">
        <f>IF(J217="","", C217 * IFERROR(VLOOKUP(J217, SETUP!$A:$D, 3, FALSE), 0))</f>
        <v>30</v>
      </c>
      <c r="F217" s="11">
        <f>IF(J217="","", C217 * IFERROR(VLOOKUP(J217, SETUP!$A:$D, 4, FALSE), 0))</f>
        <v>30</v>
      </c>
      <c r="G217" s="11">
        <f t="shared" si="1"/>
        <v>30</v>
      </c>
      <c r="H217" s="22"/>
      <c r="I217" s="11"/>
      <c r="J217" s="17" t="str">
        <f>IF(TRIM(B217)="","",IF(ISNUMBER(SEARCH(" - ",B217)),TRIM(RIGHT(B217,LEN(B217)-FIND(" - ",B217)-2)),IFERROR(VLOOKUP(UPPER(TRIM(B217)), SETUP!$B$4:$C$11, 2, FALSE), UPPER(TRIM(B217)))))</f>
        <v>CRIS</v>
      </c>
      <c r="K217" s="23">
        <f t="shared" si="2"/>
        <v>46062</v>
      </c>
      <c r="L217" s="17">
        <f t="shared" si="3"/>
        <v>46062</v>
      </c>
      <c r="M217" s="17" t="str">
        <f t="shared" si="4"/>
        <v>2026-02</v>
      </c>
    </row>
    <row r="218" ht="15.75" customHeight="1">
      <c r="A218" s="19">
        <v>46062.0</v>
      </c>
      <c r="B218" s="20" t="s">
        <v>19</v>
      </c>
      <c r="C218" s="20">
        <v>132.0</v>
      </c>
      <c r="D218" s="21"/>
      <c r="E218" s="11">
        <f>IF(J218="","", C218 * IFERROR(VLOOKUP(J218, SETUP!$A:$D, 3, FALSE), 0))</f>
        <v>0</v>
      </c>
      <c r="F218" s="11">
        <f>IF(J218="","", C218 * IFERROR(VLOOKUP(J218, SETUP!$A:$D, 4, FALSE), 0))</f>
        <v>132</v>
      </c>
      <c r="G218" s="11">
        <f t="shared" si="1"/>
        <v>132</v>
      </c>
      <c r="H218" s="22"/>
      <c r="I218" s="11"/>
      <c r="J218" s="17" t="str">
        <f>IF(TRIM(B218)="","",IF(ISNUMBER(SEARCH(" - ",B218)),TRIM(RIGHT(B218,LEN(B218)-FIND(" - ",B218)-2)),IFERROR(VLOOKUP(UPPER(TRIM(B218)), SETUP!$B$4:$C$11, 2, FALSE), UPPER(TRIM(B218)))))</f>
        <v>HANNI</v>
      </c>
      <c r="K218" s="23">
        <f t="shared" si="2"/>
        <v>46062</v>
      </c>
      <c r="L218" s="17">
        <f t="shared" si="3"/>
        <v>46062</v>
      </c>
      <c r="M218" s="17" t="str">
        <f t="shared" si="4"/>
        <v>2026-02</v>
      </c>
    </row>
    <row r="219" ht="15.75" customHeight="1">
      <c r="A219" s="19">
        <v>46062.0</v>
      </c>
      <c r="B219" s="20" t="s">
        <v>19</v>
      </c>
      <c r="C219" s="20">
        <v>68.0</v>
      </c>
      <c r="D219" s="21"/>
      <c r="E219" s="11">
        <f>IF(J219="","", C219 * IFERROR(VLOOKUP(J219, SETUP!$A:$D, 3, FALSE), 0))</f>
        <v>0</v>
      </c>
      <c r="F219" s="11">
        <f>IF(J219="","", C219 * IFERROR(VLOOKUP(J219, SETUP!$A:$D, 4, FALSE), 0))</f>
        <v>68</v>
      </c>
      <c r="G219" s="11">
        <f t="shared" si="1"/>
        <v>68</v>
      </c>
      <c r="H219" s="22"/>
      <c r="I219" s="11"/>
      <c r="J219" s="17" t="str">
        <f>IF(TRIM(B219)="","",IF(ISNUMBER(SEARCH(" - ",B219)),TRIM(RIGHT(B219,LEN(B219)-FIND(" - ",B219)-2)),IFERROR(VLOOKUP(UPPER(TRIM(B219)), SETUP!$B$4:$C$11, 2, FALSE), UPPER(TRIM(B219)))))</f>
        <v>HANNI</v>
      </c>
      <c r="K219" s="23">
        <f t="shared" si="2"/>
        <v>46062</v>
      </c>
      <c r="L219" s="17">
        <f t="shared" si="3"/>
        <v>46062</v>
      </c>
      <c r="M219" s="17" t="str">
        <f t="shared" si="4"/>
        <v>2026-02</v>
      </c>
    </row>
    <row r="220" ht="15.75" customHeight="1">
      <c r="A220" s="19">
        <v>46062.0</v>
      </c>
      <c r="B220" s="20" t="s">
        <v>20</v>
      </c>
      <c r="C220" s="20">
        <v>50.0</v>
      </c>
      <c r="D220" s="21"/>
      <c r="E220" s="11">
        <f>IF(J220="","", C220 * IFERROR(VLOOKUP(J220, SETUP!$A:$D, 3, FALSE), 0))</f>
        <v>30</v>
      </c>
      <c r="F220" s="11">
        <f>IF(J220="","", C220 * IFERROR(VLOOKUP(J220, SETUP!$A:$D, 4, FALSE), 0))</f>
        <v>20</v>
      </c>
      <c r="G220" s="11">
        <f t="shared" si="1"/>
        <v>20</v>
      </c>
      <c r="H220" s="22"/>
      <c r="I220" s="11"/>
      <c r="J220" s="17" t="str">
        <f>IF(TRIM(B220)="","",IF(ISNUMBER(SEARCH(" - ",B220)),TRIM(RIGHT(B220,LEN(B220)-FIND(" - ",B220)-2)),IFERROR(VLOOKUP(UPPER(TRIM(B220)), SETUP!$B$4:$C$11, 2, FALSE), UPPER(TRIM(B220)))))</f>
        <v>AMY</v>
      </c>
      <c r="K220" s="23">
        <f t="shared" si="2"/>
        <v>46062</v>
      </c>
      <c r="L220" s="17">
        <f t="shared" si="3"/>
        <v>46062</v>
      </c>
      <c r="M220" s="17" t="str">
        <f t="shared" si="4"/>
        <v>2026-02</v>
      </c>
    </row>
    <row r="221" ht="15.75" customHeight="1">
      <c r="A221" s="19">
        <v>46062.0</v>
      </c>
      <c r="B221" s="20" t="s">
        <v>20</v>
      </c>
      <c r="C221" s="20">
        <v>65.0</v>
      </c>
      <c r="D221" s="21"/>
      <c r="E221" s="11">
        <f>IF(J221="","", C221 * IFERROR(VLOOKUP(J221, SETUP!$A:$D, 3, FALSE), 0))</f>
        <v>39</v>
      </c>
      <c r="F221" s="11">
        <f>IF(J221="","", C221 * IFERROR(VLOOKUP(J221, SETUP!$A:$D, 4, FALSE), 0))</f>
        <v>26</v>
      </c>
      <c r="G221" s="11">
        <f t="shared" si="1"/>
        <v>26</v>
      </c>
      <c r="H221" s="22"/>
      <c r="I221" s="11"/>
      <c r="J221" s="17" t="str">
        <f>IF(TRIM(B221)="","",IF(ISNUMBER(SEARCH(" - ",B221)),TRIM(RIGHT(B221,LEN(B221)-FIND(" - ",B221)-2)),IFERROR(VLOOKUP(UPPER(TRIM(B221)), SETUP!$B$4:$C$11, 2, FALSE), UPPER(TRIM(B221)))))</f>
        <v>AMY</v>
      </c>
      <c r="K221" s="23">
        <f t="shared" si="2"/>
        <v>46062</v>
      </c>
      <c r="L221" s="17">
        <f t="shared" si="3"/>
        <v>46062</v>
      </c>
      <c r="M221" s="17" t="str">
        <f t="shared" si="4"/>
        <v>2026-02</v>
      </c>
    </row>
    <row r="222" ht="15.75" customHeight="1">
      <c r="A222" s="19">
        <v>46062.0</v>
      </c>
      <c r="B222" s="20" t="s">
        <v>20</v>
      </c>
      <c r="C222" s="20">
        <v>57.0</v>
      </c>
      <c r="D222" s="21"/>
      <c r="E222" s="11">
        <f>IF(J222="","", C222 * IFERROR(VLOOKUP(J222, SETUP!$A:$D, 3, FALSE), 0))</f>
        <v>34.2</v>
      </c>
      <c r="F222" s="11">
        <f>IF(J222="","", C222 * IFERROR(VLOOKUP(J222, SETUP!$A:$D, 4, FALSE), 0))</f>
        <v>22.8</v>
      </c>
      <c r="G222" s="11">
        <f t="shared" si="1"/>
        <v>22.8</v>
      </c>
      <c r="H222" s="22"/>
      <c r="I222" s="11"/>
      <c r="J222" s="17" t="str">
        <f>IF(TRIM(B222)="","",IF(ISNUMBER(SEARCH(" - ",B222)),TRIM(RIGHT(B222,LEN(B222)-FIND(" - ",B222)-2)),IFERROR(VLOOKUP(UPPER(TRIM(B222)), SETUP!$B$4:$C$11, 2, FALSE), UPPER(TRIM(B222)))))</f>
        <v>AMY</v>
      </c>
      <c r="K222" s="23">
        <f t="shared" si="2"/>
        <v>46062</v>
      </c>
      <c r="L222" s="17">
        <f t="shared" si="3"/>
        <v>46062</v>
      </c>
      <c r="M222" s="17" t="str">
        <f t="shared" si="4"/>
        <v>2026-02</v>
      </c>
    </row>
    <row r="223" ht="15.75" customHeight="1">
      <c r="A223" s="19">
        <v>46062.0</v>
      </c>
      <c r="B223" s="20" t="s">
        <v>20</v>
      </c>
      <c r="C223" s="20">
        <v>67.0</v>
      </c>
      <c r="D223" s="21"/>
      <c r="E223" s="11">
        <f>IF(J223="","", C223 * IFERROR(VLOOKUP(J223, SETUP!$A:$D, 3, FALSE), 0))</f>
        <v>40.2</v>
      </c>
      <c r="F223" s="11">
        <f>IF(J223="","", C223 * IFERROR(VLOOKUP(J223, SETUP!$A:$D, 4, FALSE), 0))</f>
        <v>26.8</v>
      </c>
      <c r="G223" s="11">
        <f t="shared" si="1"/>
        <v>26.8</v>
      </c>
      <c r="H223" s="22"/>
      <c r="I223" s="11"/>
      <c r="J223" s="17" t="str">
        <f>IF(TRIM(B223)="","",IF(ISNUMBER(SEARCH(" - ",B223)),TRIM(RIGHT(B223,LEN(B223)-FIND(" - ",B223)-2)),IFERROR(VLOOKUP(UPPER(TRIM(B223)), SETUP!$B$4:$C$11, 2, FALSE), UPPER(TRIM(B223)))))</f>
        <v>AMY</v>
      </c>
      <c r="K223" s="23">
        <f t="shared" si="2"/>
        <v>46062</v>
      </c>
      <c r="L223" s="17">
        <f t="shared" si="3"/>
        <v>46062</v>
      </c>
      <c r="M223" s="17" t="str">
        <f t="shared" si="4"/>
        <v>2026-02</v>
      </c>
    </row>
    <row r="224" ht="15.75" customHeight="1">
      <c r="A224" s="19">
        <v>46062.0</v>
      </c>
      <c r="B224" s="20" t="s">
        <v>21</v>
      </c>
      <c r="C224" s="20">
        <v>67.0</v>
      </c>
      <c r="D224" s="21"/>
      <c r="E224" s="11">
        <f>IF(J224="","", C224 * IFERROR(VLOOKUP(J224, SETUP!$A:$D, 3, FALSE), 0))</f>
        <v>40.2</v>
      </c>
      <c r="F224" s="11">
        <f>IF(J224="","", C224 * IFERROR(VLOOKUP(J224, SETUP!$A:$D, 4, FALSE), 0))</f>
        <v>26.8</v>
      </c>
      <c r="G224" s="11">
        <f t="shared" si="1"/>
        <v>26.8</v>
      </c>
      <c r="H224" s="22"/>
      <c r="I224" s="11"/>
      <c r="J224" s="17" t="str">
        <f>IF(TRIM(B224)="","",IF(ISNUMBER(SEARCH(" - ",B224)),TRIM(RIGHT(B224,LEN(B224)-FIND(" - ",B224)-2)),IFERROR(VLOOKUP(UPPER(TRIM(B224)), SETUP!$B$4:$C$11, 2, FALSE), UPPER(TRIM(B224)))))</f>
        <v>TONY</v>
      </c>
      <c r="K224" s="23">
        <f t="shared" si="2"/>
        <v>46062</v>
      </c>
      <c r="L224" s="17">
        <f t="shared" si="3"/>
        <v>46062</v>
      </c>
      <c r="M224" s="17" t="str">
        <f t="shared" si="4"/>
        <v>2026-02</v>
      </c>
    </row>
    <row r="225" ht="15.75" customHeight="1">
      <c r="A225" s="19">
        <v>46062.0</v>
      </c>
      <c r="B225" s="20" t="s">
        <v>21</v>
      </c>
      <c r="C225" s="20">
        <v>60.0</v>
      </c>
      <c r="D225" s="21"/>
      <c r="E225" s="11">
        <f>IF(J225="","", C225 * IFERROR(VLOOKUP(J225, SETUP!$A:$D, 3, FALSE), 0))</f>
        <v>36</v>
      </c>
      <c r="F225" s="11">
        <f>IF(J225="","", C225 * IFERROR(VLOOKUP(J225, SETUP!$A:$D, 4, FALSE), 0))</f>
        <v>24</v>
      </c>
      <c r="G225" s="11">
        <f t="shared" si="1"/>
        <v>24</v>
      </c>
      <c r="H225" s="22"/>
      <c r="I225" s="11"/>
      <c r="J225" s="17" t="str">
        <f>IF(TRIM(B225)="","",IF(ISNUMBER(SEARCH(" - ",B225)),TRIM(RIGHT(B225,LEN(B225)-FIND(" - ",B225)-2)),IFERROR(VLOOKUP(UPPER(TRIM(B225)), SETUP!$B$4:$C$11, 2, FALSE), UPPER(TRIM(B225)))))</f>
        <v>TONY</v>
      </c>
      <c r="K225" s="23">
        <f t="shared" si="2"/>
        <v>46062</v>
      </c>
      <c r="L225" s="17">
        <f t="shared" si="3"/>
        <v>46062</v>
      </c>
      <c r="M225" s="17" t="str">
        <f t="shared" si="4"/>
        <v>2026-02</v>
      </c>
    </row>
    <row r="226" ht="15.75" customHeight="1">
      <c r="A226" s="19">
        <v>46062.0</v>
      </c>
      <c r="B226" s="20" t="s">
        <v>21</v>
      </c>
      <c r="C226" s="20">
        <v>97.0</v>
      </c>
      <c r="D226" s="21"/>
      <c r="E226" s="11">
        <f>IF(J226="","", C226 * IFERROR(VLOOKUP(J226, SETUP!$A:$D, 3, FALSE), 0))</f>
        <v>58.2</v>
      </c>
      <c r="F226" s="11">
        <f>IF(J226="","", C226 * IFERROR(VLOOKUP(J226, SETUP!$A:$D, 4, FALSE), 0))</f>
        <v>38.8</v>
      </c>
      <c r="G226" s="11">
        <f t="shared" si="1"/>
        <v>38.8</v>
      </c>
      <c r="H226" s="22"/>
      <c r="I226" s="11"/>
      <c r="J226" s="17" t="str">
        <f>IF(TRIM(B226)="","",IF(ISNUMBER(SEARCH(" - ",B226)),TRIM(RIGHT(B226,LEN(B226)-FIND(" - ",B226)-2)),IFERROR(VLOOKUP(UPPER(TRIM(B226)), SETUP!$B$4:$C$11, 2, FALSE), UPPER(TRIM(B226)))))</f>
        <v>TONY</v>
      </c>
      <c r="K226" s="23">
        <f t="shared" si="2"/>
        <v>46062</v>
      </c>
      <c r="L226" s="17">
        <f t="shared" si="3"/>
        <v>46062</v>
      </c>
      <c r="M226" s="17" t="str">
        <f t="shared" si="4"/>
        <v>2026-02</v>
      </c>
    </row>
    <row r="227" ht="15.75" customHeight="1">
      <c r="A227" s="19">
        <v>46062.0</v>
      </c>
      <c r="B227" s="20" t="s">
        <v>21</v>
      </c>
      <c r="C227" s="20">
        <v>72.0</v>
      </c>
      <c r="D227" s="21"/>
      <c r="E227" s="11">
        <f>IF(J227="","", C227 * IFERROR(VLOOKUP(J227, SETUP!$A:$D, 3, FALSE), 0))</f>
        <v>43.2</v>
      </c>
      <c r="F227" s="11">
        <f>IF(J227="","", C227 * IFERROR(VLOOKUP(J227, SETUP!$A:$D, 4, FALSE), 0))</f>
        <v>28.8</v>
      </c>
      <c r="G227" s="11">
        <f t="shared" si="1"/>
        <v>28.8</v>
      </c>
      <c r="H227" s="22"/>
      <c r="I227" s="11"/>
      <c r="J227" s="17" t="str">
        <f>IF(TRIM(B227)="","",IF(ISNUMBER(SEARCH(" - ",B227)),TRIM(RIGHT(B227,LEN(B227)-FIND(" - ",B227)-2)),IFERROR(VLOOKUP(UPPER(TRIM(B227)), SETUP!$B$4:$C$11, 2, FALSE), UPPER(TRIM(B227)))))</f>
        <v>TONY</v>
      </c>
      <c r="K227" s="23">
        <f t="shared" si="2"/>
        <v>46062</v>
      </c>
      <c r="L227" s="17">
        <f t="shared" si="3"/>
        <v>46062</v>
      </c>
      <c r="M227" s="17" t="str">
        <f t="shared" si="4"/>
        <v>2026-02</v>
      </c>
    </row>
    <row r="228" ht="15.75" customHeight="1">
      <c r="A228" s="19">
        <v>46062.0</v>
      </c>
      <c r="B228" s="20" t="s">
        <v>21</v>
      </c>
      <c r="C228" s="20">
        <v>112.0</v>
      </c>
      <c r="D228" s="21"/>
      <c r="E228" s="11">
        <f>IF(J228="","", C228 * IFERROR(VLOOKUP(J228, SETUP!$A:$D, 3, FALSE), 0))</f>
        <v>67.2</v>
      </c>
      <c r="F228" s="11">
        <f>IF(J228="","", C228 * IFERROR(VLOOKUP(J228, SETUP!$A:$D, 4, FALSE), 0))</f>
        <v>44.8</v>
      </c>
      <c r="G228" s="11">
        <f t="shared" si="1"/>
        <v>44.8</v>
      </c>
      <c r="H228" s="22"/>
      <c r="I228" s="11"/>
      <c r="J228" s="17" t="str">
        <f>IF(TRIM(B228)="","",IF(ISNUMBER(SEARCH(" - ",B228)),TRIM(RIGHT(B228,LEN(B228)-FIND(" - ",B228)-2)),IFERROR(VLOOKUP(UPPER(TRIM(B228)), SETUP!$B$4:$C$11, 2, FALSE), UPPER(TRIM(B228)))))</f>
        <v>TONY</v>
      </c>
      <c r="K228" s="23">
        <f t="shared" si="2"/>
        <v>46062</v>
      </c>
      <c r="L228" s="17">
        <f t="shared" si="3"/>
        <v>46062</v>
      </c>
      <c r="M228" s="17" t="str">
        <f t="shared" si="4"/>
        <v>2026-02</v>
      </c>
    </row>
    <row r="229" ht="15.75" customHeight="1">
      <c r="A229" s="19">
        <v>46063.0</v>
      </c>
      <c r="B229" s="20" t="s">
        <v>16</v>
      </c>
      <c r="C229" s="20">
        <v>77.0</v>
      </c>
      <c r="D229" s="21"/>
      <c r="E229" s="11">
        <f>IF(J229="","", C229 * IFERROR(VLOOKUP(J229, SETUP!$A:$D, 3, FALSE), 0))</f>
        <v>0</v>
      </c>
      <c r="F229" s="11">
        <f>IF(J229="","", C229 * IFERROR(VLOOKUP(J229, SETUP!$A:$D, 4, FALSE), 0))</f>
        <v>77</v>
      </c>
      <c r="G229" s="11">
        <f t="shared" si="1"/>
        <v>77</v>
      </c>
      <c r="H229" s="22"/>
      <c r="I229" s="11"/>
      <c r="J229" s="17" t="str">
        <f>IF(TRIM(B229)="","",IF(ISNUMBER(SEARCH(" - ",B229)),TRIM(RIGHT(B229,LEN(B229)-FIND(" - ",B229)-2)),IFERROR(VLOOKUP(UPPER(TRIM(B229)), SETUP!$B$4:$C$11, 2, FALSE), UPPER(TRIM(B229)))))</f>
        <v>KEN</v>
      </c>
      <c r="K229" s="23">
        <f t="shared" si="2"/>
        <v>46062</v>
      </c>
      <c r="L229" s="17">
        <f t="shared" si="3"/>
        <v>46063</v>
      </c>
      <c r="M229" s="17" t="str">
        <f t="shared" si="4"/>
        <v>2026-02</v>
      </c>
    </row>
    <row r="230" ht="15.75" customHeight="1">
      <c r="A230" s="19">
        <v>46063.0</v>
      </c>
      <c r="B230" s="20" t="s">
        <v>16</v>
      </c>
      <c r="C230" s="20">
        <v>100.0</v>
      </c>
      <c r="D230" s="21"/>
      <c r="E230" s="11">
        <f>IF(J230="","", C230 * IFERROR(VLOOKUP(J230, SETUP!$A:$D, 3, FALSE), 0))</f>
        <v>0</v>
      </c>
      <c r="F230" s="11">
        <f>IF(J230="","", C230 * IFERROR(VLOOKUP(J230, SETUP!$A:$D, 4, FALSE), 0))</f>
        <v>100</v>
      </c>
      <c r="G230" s="11">
        <f t="shared" si="1"/>
        <v>100</v>
      </c>
      <c r="H230" s="22"/>
      <c r="I230" s="11"/>
      <c r="J230" s="17" t="str">
        <f>IF(TRIM(B230)="","",IF(ISNUMBER(SEARCH(" - ",B230)),TRIM(RIGHT(B230,LEN(B230)-FIND(" - ",B230)-2)),IFERROR(VLOOKUP(UPPER(TRIM(B230)), SETUP!$B$4:$C$11, 2, FALSE), UPPER(TRIM(B230)))))</f>
        <v>KEN</v>
      </c>
      <c r="K230" s="23">
        <f t="shared" si="2"/>
        <v>46062</v>
      </c>
      <c r="L230" s="17">
        <f t="shared" si="3"/>
        <v>46063</v>
      </c>
      <c r="M230" s="17" t="str">
        <f t="shared" si="4"/>
        <v>2026-02</v>
      </c>
    </row>
    <row r="231" ht="15.75" customHeight="1">
      <c r="A231" s="19">
        <v>46063.0</v>
      </c>
      <c r="B231" s="20" t="s">
        <v>17</v>
      </c>
      <c r="C231" s="20">
        <v>97.0</v>
      </c>
      <c r="D231" s="21"/>
      <c r="E231" s="11">
        <f>IF(J231="","", C231 * IFERROR(VLOOKUP(J231, SETUP!$A:$D, 3, FALSE), 0))</f>
        <v>58.2</v>
      </c>
      <c r="F231" s="11">
        <f>IF(J231="","", C231 * IFERROR(VLOOKUP(J231, SETUP!$A:$D, 4, FALSE), 0))</f>
        <v>38.8</v>
      </c>
      <c r="G231" s="11">
        <f t="shared" si="1"/>
        <v>38.8</v>
      </c>
      <c r="H231" s="22"/>
      <c r="I231" s="11"/>
      <c r="J231" s="17" t="str">
        <f>IF(TRIM(B231)="","",IF(ISNUMBER(SEARCH(" - ",B231)),TRIM(RIGHT(B231,LEN(B231)-FIND(" - ",B231)-2)),IFERROR(VLOOKUP(UPPER(TRIM(B231)), SETUP!$B$4:$C$11, 2, FALSE), UPPER(TRIM(B231)))))</f>
        <v>RYAN</v>
      </c>
      <c r="K231" s="23">
        <f t="shared" si="2"/>
        <v>46062</v>
      </c>
      <c r="L231" s="17">
        <f t="shared" si="3"/>
        <v>46063</v>
      </c>
      <c r="M231" s="17" t="str">
        <f t="shared" si="4"/>
        <v>2026-02</v>
      </c>
    </row>
    <row r="232" ht="15.75" customHeight="1">
      <c r="A232" s="19">
        <v>46063.0</v>
      </c>
      <c r="B232" s="20" t="s">
        <v>17</v>
      </c>
      <c r="C232" s="20">
        <v>57.0</v>
      </c>
      <c r="D232" s="21"/>
      <c r="E232" s="11">
        <f>IF(J232="","", C232 * IFERROR(VLOOKUP(J232, SETUP!$A:$D, 3, FALSE), 0))</f>
        <v>34.2</v>
      </c>
      <c r="F232" s="11">
        <f>IF(J232="","", C232 * IFERROR(VLOOKUP(J232, SETUP!$A:$D, 4, FALSE), 0))</f>
        <v>22.8</v>
      </c>
      <c r="G232" s="11">
        <f t="shared" si="1"/>
        <v>22.8</v>
      </c>
      <c r="H232" s="22"/>
      <c r="I232" s="11"/>
      <c r="J232" s="17" t="str">
        <f>IF(TRIM(B232)="","",IF(ISNUMBER(SEARCH(" - ",B232)),TRIM(RIGHT(B232,LEN(B232)-FIND(" - ",B232)-2)),IFERROR(VLOOKUP(UPPER(TRIM(B232)), SETUP!$B$4:$C$11, 2, FALSE), UPPER(TRIM(B232)))))</f>
        <v>RYAN</v>
      </c>
      <c r="K232" s="23">
        <f t="shared" si="2"/>
        <v>46062</v>
      </c>
      <c r="L232" s="17">
        <f t="shared" si="3"/>
        <v>46063</v>
      </c>
      <c r="M232" s="17" t="str">
        <f t="shared" si="4"/>
        <v>2026-02</v>
      </c>
    </row>
    <row r="233" ht="15.75" customHeight="1">
      <c r="A233" s="19">
        <v>46063.0</v>
      </c>
      <c r="B233" s="20" t="s">
        <v>17</v>
      </c>
      <c r="C233" s="20">
        <v>125.0</v>
      </c>
      <c r="D233" s="21"/>
      <c r="E233" s="11">
        <f>IF(J233="","", C233 * IFERROR(VLOOKUP(J233, SETUP!$A:$D, 3, FALSE), 0))</f>
        <v>75</v>
      </c>
      <c r="F233" s="11">
        <f>IF(J233="","", C233 * IFERROR(VLOOKUP(J233, SETUP!$A:$D, 4, FALSE), 0))</f>
        <v>50</v>
      </c>
      <c r="G233" s="11">
        <f t="shared" si="1"/>
        <v>50</v>
      </c>
      <c r="H233" s="22"/>
      <c r="I233" s="11"/>
      <c r="J233" s="17" t="str">
        <f>IF(TRIM(B233)="","",IF(ISNUMBER(SEARCH(" - ",B233)),TRIM(RIGHT(B233,LEN(B233)-FIND(" - ",B233)-2)),IFERROR(VLOOKUP(UPPER(TRIM(B233)), SETUP!$B$4:$C$11, 2, FALSE), UPPER(TRIM(B233)))))</f>
        <v>RYAN</v>
      </c>
      <c r="K233" s="23">
        <f t="shared" si="2"/>
        <v>46062</v>
      </c>
      <c r="L233" s="17">
        <f t="shared" si="3"/>
        <v>46063</v>
      </c>
      <c r="M233" s="17" t="str">
        <f t="shared" si="4"/>
        <v>2026-02</v>
      </c>
    </row>
    <row r="234" ht="15.75" customHeight="1">
      <c r="A234" s="19">
        <v>46063.0</v>
      </c>
      <c r="B234" s="20" t="s">
        <v>18</v>
      </c>
      <c r="C234" s="20">
        <v>35.0</v>
      </c>
      <c r="D234" s="21"/>
      <c r="E234" s="11">
        <f>IF(J234="","", C234 * IFERROR(VLOOKUP(J234, SETUP!$A:$D, 3, FALSE), 0))</f>
        <v>17.5</v>
      </c>
      <c r="F234" s="11">
        <f>IF(J234="","", C234 * IFERROR(VLOOKUP(J234, SETUP!$A:$D, 4, FALSE), 0))</f>
        <v>17.5</v>
      </c>
      <c r="G234" s="11">
        <f t="shared" si="1"/>
        <v>17.5</v>
      </c>
      <c r="H234" s="22"/>
      <c r="I234" s="11"/>
      <c r="J234" s="17" t="str">
        <f>IF(TRIM(B234)="","",IF(ISNUMBER(SEARCH(" - ",B234)),TRIM(RIGHT(B234,LEN(B234)-FIND(" - ",B234)-2)),IFERROR(VLOOKUP(UPPER(TRIM(B234)), SETUP!$B$4:$C$11, 2, FALSE), UPPER(TRIM(B234)))))</f>
        <v>CRIS</v>
      </c>
      <c r="K234" s="23">
        <f t="shared" si="2"/>
        <v>46062</v>
      </c>
      <c r="L234" s="17">
        <f t="shared" si="3"/>
        <v>46063</v>
      </c>
      <c r="M234" s="17" t="str">
        <f t="shared" si="4"/>
        <v>2026-02</v>
      </c>
    </row>
    <row r="235" ht="15.75" customHeight="1">
      <c r="A235" s="19">
        <v>46063.0</v>
      </c>
      <c r="B235" s="20" t="s">
        <v>18</v>
      </c>
      <c r="C235" s="20">
        <v>45.0</v>
      </c>
      <c r="D235" s="21"/>
      <c r="E235" s="11">
        <f>IF(J235="","", C235 * IFERROR(VLOOKUP(J235, SETUP!$A:$D, 3, FALSE), 0))</f>
        <v>22.5</v>
      </c>
      <c r="F235" s="11">
        <f>IF(J235="","", C235 * IFERROR(VLOOKUP(J235, SETUP!$A:$D, 4, FALSE), 0))</f>
        <v>22.5</v>
      </c>
      <c r="G235" s="11">
        <f t="shared" si="1"/>
        <v>22.5</v>
      </c>
      <c r="H235" s="22"/>
      <c r="I235" s="11"/>
      <c r="J235" s="17" t="str">
        <f>IF(TRIM(B235)="","",IF(ISNUMBER(SEARCH(" - ",B235)),TRIM(RIGHT(B235,LEN(B235)-FIND(" - ",B235)-2)),IFERROR(VLOOKUP(UPPER(TRIM(B235)), SETUP!$B$4:$C$11, 2, FALSE), UPPER(TRIM(B235)))))</f>
        <v>CRIS</v>
      </c>
      <c r="K235" s="23">
        <f t="shared" si="2"/>
        <v>46062</v>
      </c>
      <c r="L235" s="17">
        <f t="shared" si="3"/>
        <v>46063</v>
      </c>
      <c r="M235" s="17" t="str">
        <f t="shared" si="4"/>
        <v>2026-02</v>
      </c>
    </row>
    <row r="236" ht="15.75" customHeight="1">
      <c r="A236" s="19">
        <v>46063.0</v>
      </c>
      <c r="B236" s="20" t="s">
        <v>18</v>
      </c>
      <c r="C236" s="20">
        <v>85.0</v>
      </c>
      <c r="D236" s="21"/>
      <c r="E236" s="11">
        <f>IF(J236="","", C236 * IFERROR(VLOOKUP(J236, SETUP!$A:$D, 3, FALSE), 0))</f>
        <v>42.5</v>
      </c>
      <c r="F236" s="11">
        <f>IF(J236="","", C236 * IFERROR(VLOOKUP(J236, SETUP!$A:$D, 4, FALSE), 0))</f>
        <v>42.5</v>
      </c>
      <c r="G236" s="11">
        <f t="shared" si="1"/>
        <v>42.5</v>
      </c>
      <c r="H236" s="22"/>
      <c r="I236" s="11"/>
      <c r="J236" s="17" t="str">
        <f>IF(TRIM(B236)="","",IF(ISNUMBER(SEARCH(" - ",B236)),TRIM(RIGHT(B236,LEN(B236)-FIND(" - ",B236)-2)),IFERROR(VLOOKUP(UPPER(TRIM(B236)), SETUP!$B$4:$C$11, 2, FALSE), UPPER(TRIM(B236)))))</f>
        <v>CRIS</v>
      </c>
      <c r="K236" s="23">
        <f t="shared" si="2"/>
        <v>46062</v>
      </c>
      <c r="L236" s="17">
        <f t="shared" si="3"/>
        <v>46063</v>
      </c>
      <c r="M236" s="17" t="str">
        <f t="shared" si="4"/>
        <v>2026-02</v>
      </c>
    </row>
    <row r="237" ht="15.75" customHeight="1">
      <c r="A237" s="19">
        <v>46063.0</v>
      </c>
      <c r="B237" s="20" t="s">
        <v>18</v>
      </c>
      <c r="C237" s="20">
        <v>40.0</v>
      </c>
      <c r="D237" s="21"/>
      <c r="E237" s="11">
        <f>IF(J237="","", C237 * IFERROR(VLOOKUP(J237, SETUP!$A:$D, 3, FALSE), 0))</f>
        <v>20</v>
      </c>
      <c r="F237" s="11">
        <f>IF(J237="","", C237 * IFERROR(VLOOKUP(J237, SETUP!$A:$D, 4, FALSE), 0))</f>
        <v>20</v>
      </c>
      <c r="G237" s="11">
        <f t="shared" si="1"/>
        <v>20</v>
      </c>
      <c r="H237" s="22"/>
      <c r="I237" s="11"/>
      <c r="J237" s="17" t="str">
        <f>IF(TRIM(B237)="","",IF(ISNUMBER(SEARCH(" - ",B237)),TRIM(RIGHT(B237,LEN(B237)-FIND(" - ",B237)-2)),IFERROR(VLOOKUP(UPPER(TRIM(B237)), SETUP!$B$4:$C$11, 2, FALSE), UPPER(TRIM(B237)))))</f>
        <v>CRIS</v>
      </c>
      <c r="K237" s="23">
        <f t="shared" si="2"/>
        <v>46062</v>
      </c>
      <c r="L237" s="17">
        <f t="shared" si="3"/>
        <v>46063</v>
      </c>
      <c r="M237" s="17" t="str">
        <f t="shared" si="4"/>
        <v>2026-02</v>
      </c>
    </row>
    <row r="238" ht="15.75" customHeight="1">
      <c r="A238" s="19">
        <v>46063.0</v>
      </c>
      <c r="B238" s="20" t="s">
        <v>19</v>
      </c>
      <c r="C238" s="20">
        <v>77.0</v>
      </c>
      <c r="D238" s="21"/>
      <c r="E238" s="11">
        <f>IF(J238="","", C238 * IFERROR(VLOOKUP(J238, SETUP!$A:$D, 3, FALSE), 0))</f>
        <v>0</v>
      </c>
      <c r="F238" s="11">
        <f>IF(J238="","", C238 * IFERROR(VLOOKUP(J238, SETUP!$A:$D, 4, FALSE), 0))</f>
        <v>77</v>
      </c>
      <c r="G238" s="11">
        <f t="shared" si="1"/>
        <v>77</v>
      </c>
      <c r="H238" s="22"/>
      <c r="I238" s="11"/>
      <c r="J238" s="17" t="str">
        <f>IF(TRIM(B238)="","",IF(ISNUMBER(SEARCH(" - ",B238)),TRIM(RIGHT(B238,LEN(B238)-FIND(" - ",B238)-2)),IFERROR(VLOOKUP(UPPER(TRIM(B238)), SETUP!$B$4:$C$11, 2, FALSE), UPPER(TRIM(B238)))))</f>
        <v>HANNI</v>
      </c>
      <c r="K238" s="23">
        <f t="shared" si="2"/>
        <v>46062</v>
      </c>
      <c r="L238" s="17">
        <f t="shared" si="3"/>
        <v>46063</v>
      </c>
      <c r="M238" s="17" t="str">
        <f t="shared" si="4"/>
        <v>2026-02</v>
      </c>
    </row>
    <row r="239" ht="15.75" customHeight="1">
      <c r="A239" s="19">
        <v>46063.0</v>
      </c>
      <c r="B239" s="20" t="s">
        <v>20</v>
      </c>
      <c r="C239" s="20">
        <v>47.0</v>
      </c>
      <c r="D239" s="21"/>
      <c r="E239" s="11">
        <f>IF(J239="","", C239 * IFERROR(VLOOKUP(J239, SETUP!$A:$D, 3, FALSE), 0))</f>
        <v>28.2</v>
      </c>
      <c r="F239" s="11">
        <f>IF(J239="","", C239 * IFERROR(VLOOKUP(J239, SETUP!$A:$D, 4, FALSE), 0))</f>
        <v>18.8</v>
      </c>
      <c r="G239" s="11">
        <f t="shared" si="1"/>
        <v>18.8</v>
      </c>
      <c r="H239" s="22"/>
      <c r="I239" s="11"/>
      <c r="J239" s="17" t="str">
        <f>IF(TRIM(B239)="","",IF(ISNUMBER(SEARCH(" - ",B239)),TRIM(RIGHT(B239,LEN(B239)-FIND(" - ",B239)-2)),IFERROR(VLOOKUP(UPPER(TRIM(B239)), SETUP!$B$4:$C$11, 2, FALSE), UPPER(TRIM(B239)))))</f>
        <v>AMY</v>
      </c>
      <c r="K239" s="23">
        <f t="shared" si="2"/>
        <v>46062</v>
      </c>
      <c r="L239" s="17">
        <f t="shared" si="3"/>
        <v>46063</v>
      </c>
      <c r="M239" s="17" t="str">
        <f t="shared" si="4"/>
        <v>2026-02</v>
      </c>
    </row>
    <row r="240" ht="15.75" customHeight="1">
      <c r="A240" s="19">
        <v>46063.0</v>
      </c>
      <c r="B240" s="20" t="s">
        <v>20</v>
      </c>
      <c r="C240" s="20">
        <v>72.0</v>
      </c>
      <c r="D240" s="21"/>
      <c r="E240" s="11">
        <f>IF(J240="","", C240 * IFERROR(VLOOKUP(J240, SETUP!$A:$D, 3, FALSE), 0))</f>
        <v>43.2</v>
      </c>
      <c r="F240" s="11">
        <f>IF(J240="","", C240 * IFERROR(VLOOKUP(J240, SETUP!$A:$D, 4, FALSE), 0))</f>
        <v>28.8</v>
      </c>
      <c r="G240" s="11">
        <f t="shared" si="1"/>
        <v>28.8</v>
      </c>
      <c r="H240" s="22"/>
      <c r="I240" s="11"/>
      <c r="J240" s="17" t="str">
        <f>IF(TRIM(B240)="","",IF(ISNUMBER(SEARCH(" - ",B240)),TRIM(RIGHT(B240,LEN(B240)-FIND(" - ",B240)-2)),IFERROR(VLOOKUP(UPPER(TRIM(B240)), SETUP!$B$4:$C$11, 2, FALSE), UPPER(TRIM(B240)))))</f>
        <v>AMY</v>
      </c>
      <c r="K240" s="23">
        <f t="shared" si="2"/>
        <v>46062</v>
      </c>
      <c r="L240" s="17">
        <f t="shared" si="3"/>
        <v>46063</v>
      </c>
      <c r="M240" s="17" t="str">
        <f t="shared" si="4"/>
        <v>2026-02</v>
      </c>
    </row>
    <row r="241" ht="15.75" customHeight="1">
      <c r="A241" s="19">
        <v>46063.0</v>
      </c>
      <c r="B241" s="20" t="s">
        <v>20</v>
      </c>
      <c r="C241" s="20">
        <v>10.0</v>
      </c>
      <c r="D241" s="21"/>
      <c r="E241" s="11">
        <f>IF(J241="","", C241 * IFERROR(VLOOKUP(J241, SETUP!$A:$D, 3, FALSE), 0))</f>
        <v>6</v>
      </c>
      <c r="F241" s="11">
        <f>IF(J241="","", C241 * IFERROR(VLOOKUP(J241, SETUP!$A:$D, 4, FALSE), 0))</f>
        <v>4</v>
      </c>
      <c r="G241" s="11">
        <f t="shared" si="1"/>
        <v>4</v>
      </c>
      <c r="H241" s="22"/>
      <c r="I241" s="11"/>
      <c r="J241" s="17" t="str">
        <f>IF(TRIM(B241)="","",IF(ISNUMBER(SEARCH(" - ",B241)),TRIM(RIGHT(B241,LEN(B241)-FIND(" - ",B241)-2)),IFERROR(VLOOKUP(UPPER(TRIM(B241)), SETUP!$B$4:$C$11, 2, FALSE), UPPER(TRIM(B241)))))</f>
        <v>AMY</v>
      </c>
      <c r="K241" s="23">
        <f t="shared" si="2"/>
        <v>46062</v>
      </c>
      <c r="L241" s="17">
        <f t="shared" si="3"/>
        <v>46063</v>
      </c>
      <c r="M241" s="17" t="str">
        <f t="shared" si="4"/>
        <v>2026-02</v>
      </c>
    </row>
    <row r="242" ht="15.75" customHeight="1">
      <c r="A242" s="19">
        <v>46063.0</v>
      </c>
      <c r="B242" s="20" t="s">
        <v>20</v>
      </c>
      <c r="C242" s="20">
        <v>57.0</v>
      </c>
      <c r="D242" s="21"/>
      <c r="E242" s="11">
        <f>IF(J242="","", C242 * IFERROR(VLOOKUP(J242, SETUP!$A:$D, 3, FALSE), 0))</f>
        <v>34.2</v>
      </c>
      <c r="F242" s="11">
        <f>IF(J242="","", C242 * IFERROR(VLOOKUP(J242, SETUP!$A:$D, 4, FALSE), 0))</f>
        <v>22.8</v>
      </c>
      <c r="G242" s="11">
        <f t="shared" si="1"/>
        <v>22.8</v>
      </c>
      <c r="H242" s="22"/>
      <c r="I242" s="11"/>
      <c r="J242" s="17" t="str">
        <f>IF(TRIM(B242)="","",IF(ISNUMBER(SEARCH(" - ",B242)),TRIM(RIGHT(B242,LEN(B242)-FIND(" - ",B242)-2)),IFERROR(VLOOKUP(UPPER(TRIM(B242)), SETUP!$B$4:$C$11, 2, FALSE), UPPER(TRIM(B242)))))</f>
        <v>AMY</v>
      </c>
      <c r="K242" s="23">
        <f t="shared" si="2"/>
        <v>46062</v>
      </c>
      <c r="L242" s="17">
        <f t="shared" si="3"/>
        <v>46063</v>
      </c>
      <c r="M242" s="17" t="str">
        <f t="shared" si="4"/>
        <v>2026-02</v>
      </c>
    </row>
    <row r="243" ht="15.75" customHeight="1">
      <c r="A243" s="19">
        <v>46063.0</v>
      </c>
      <c r="B243" s="20" t="s">
        <v>20</v>
      </c>
      <c r="C243" s="20">
        <v>50.0</v>
      </c>
      <c r="D243" s="21"/>
      <c r="E243" s="11">
        <f>IF(J243="","", C243 * IFERROR(VLOOKUP(J243, SETUP!$A:$D, 3, FALSE), 0))</f>
        <v>30</v>
      </c>
      <c r="F243" s="11">
        <f>IF(J243="","", C243 * IFERROR(VLOOKUP(J243, SETUP!$A:$D, 4, FALSE), 0))</f>
        <v>20</v>
      </c>
      <c r="G243" s="11">
        <f t="shared" si="1"/>
        <v>20</v>
      </c>
      <c r="H243" s="22"/>
      <c r="I243" s="11"/>
      <c r="J243" s="17" t="str">
        <f>IF(TRIM(B243)="","",IF(ISNUMBER(SEARCH(" - ",B243)),TRIM(RIGHT(B243,LEN(B243)-FIND(" - ",B243)-2)),IFERROR(VLOOKUP(UPPER(TRIM(B243)), SETUP!$B$4:$C$11, 2, FALSE), UPPER(TRIM(B243)))))</f>
        <v>AMY</v>
      </c>
      <c r="K243" s="23">
        <f t="shared" si="2"/>
        <v>46062</v>
      </c>
      <c r="L243" s="17">
        <f t="shared" si="3"/>
        <v>46063</v>
      </c>
      <c r="M243" s="17" t="str">
        <f t="shared" si="4"/>
        <v>2026-02</v>
      </c>
    </row>
    <row r="244" ht="15.75" customHeight="1">
      <c r="A244" s="19">
        <v>46063.0</v>
      </c>
      <c r="B244" s="20" t="s">
        <v>20</v>
      </c>
      <c r="C244" s="20">
        <v>40.0</v>
      </c>
      <c r="D244" s="21"/>
      <c r="E244" s="11">
        <f>IF(J244="","", C244 * IFERROR(VLOOKUP(J244, SETUP!$A:$D, 3, FALSE), 0))</f>
        <v>24</v>
      </c>
      <c r="F244" s="11">
        <f>IF(J244="","", C244 * IFERROR(VLOOKUP(J244, SETUP!$A:$D, 4, FALSE), 0))</f>
        <v>16</v>
      </c>
      <c r="G244" s="11">
        <f t="shared" si="1"/>
        <v>16</v>
      </c>
      <c r="H244" s="22"/>
      <c r="I244" s="11"/>
      <c r="J244" s="17" t="str">
        <f>IF(TRIM(B244)="","",IF(ISNUMBER(SEARCH(" - ",B244)),TRIM(RIGHT(B244,LEN(B244)-FIND(" - ",B244)-2)),IFERROR(VLOOKUP(UPPER(TRIM(B244)), SETUP!$B$4:$C$11, 2, FALSE), UPPER(TRIM(B244)))))</f>
        <v>AMY</v>
      </c>
      <c r="K244" s="23">
        <f t="shared" si="2"/>
        <v>46062</v>
      </c>
      <c r="L244" s="17">
        <f t="shared" si="3"/>
        <v>46063</v>
      </c>
      <c r="M244" s="17" t="str">
        <f t="shared" si="4"/>
        <v>2026-02</v>
      </c>
    </row>
    <row r="245" ht="15.75" customHeight="1">
      <c r="A245" s="19">
        <v>46063.0</v>
      </c>
      <c r="B245" s="20" t="s">
        <v>21</v>
      </c>
      <c r="C245" s="20">
        <v>67.0</v>
      </c>
      <c r="D245" s="21"/>
      <c r="E245" s="11">
        <f>IF(J245="","", C245 * IFERROR(VLOOKUP(J245, SETUP!$A:$D, 3, FALSE), 0))</f>
        <v>40.2</v>
      </c>
      <c r="F245" s="11">
        <f>IF(J245="","", C245 * IFERROR(VLOOKUP(J245, SETUP!$A:$D, 4, FALSE), 0))</f>
        <v>26.8</v>
      </c>
      <c r="G245" s="11">
        <f t="shared" si="1"/>
        <v>26.8</v>
      </c>
      <c r="H245" s="22"/>
      <c r="I245" s="11"/>
      <c r="J245" s="17" t="str">
        <f>IF(TRIM(B245)="","",IF(ISNUMBER(SEARCH(" - ",B245)),TRIM(RIGHT(B245,LEN(B245)-FIND(" - ",B245)-2)),IFERROR(VLOOKUP(UPPER(TRIM(B245)), SETUP!$B$4:$C$11, 2, FALSE), UPPER(TRIM(B245)))))</f>
        <v>TONY</v>
      </c>
      <c r="K245" s="23">
        <f t="shared" si="2"/>
        <v>46062</v>
      </c>
      <c r="L245" s="17">
        <f t="shared" si="3"/>
        <v>46063</v>
      </c>
      <c r="M245" s="17" t="str">
        <f t="shared" si="4"/>
        <v>2026-02</v>
      </c>
    </row>
    <row r="246" ht="15.75" customHeight="1">
      <c r="A246" s="19">
        <v>46063.0</v>
      </c>
      <c r="B246" s="20" t="s">
        <v>21</v>
      </c>
      <c r="C246" s="20">
        <v>87.0</v>
      </c>
      <c r="D246" s="21"/>
      <c r="E246" s="11">
        <f>IF(J246="","", C246 * IFERROR(VLOOKUP(J246, SETUP!$A:$D, 3, FALSE), 0))</f>
        <v>52.2</v>
      </c>
      <c r="F246" s="11">
        <f>IF(J246="","", C246 * IFERROR(VLOOKUP(J246, SETUP!$A:$D, 4, FALSE), 0))</f>
        <v>34.8</v>
      </c>
      <c r="G246" s="11">
        <f t="shared" si="1"/>
        <v>34.8</v>
      </c>
      <c r="H246" s="22"/>
      <c r="I246" s="11"/>
      <c r="J246" s="17" t="str">
        <f>IF(TRIM(B246)="","",IF(ISNUMBER(SEARCH(" - ",B246)),TRIM(RIGHT(B246,LEN(B246)-FIND(" - ",B246)-2)),IFERROR(VLOOKUP(UPPER(TRIM(B246)), SETUP!$B$4:$C$11, 2, FALSE), UPPER(TRIM(B246)))))</f>
        <v>TONY</v>
      </c>
      <c r="K246" s="23">
        <f t="shared" si="2"/>
        <v>46062</v>
      </c>
      <c r="L246" s="17">
        <f t="shared" si="3"/>
        <v>46063</v>
      </c>
      <c r="M246" s="17" t="str">
        <f t="shared" si="4"/>
        <v>2026-02</v>
      </c>
    </row>
    <row r="247" ht="15.75" customHeight="1">
      <c r="A247" s="19">
        <v>46063.0</v>
      </c>
      <c r="B247" s="20" t="s">
        <v>21</v>
      </c>
      <c r="C247" s="20">
        <v>47.0</v>
      </c>
      <c r="D247" s="21"/>
      <c r="E247" s="11">
        <f>IF(J247="","", C247 * IFERROR(VLOOKUP(J247, SETUP!$A:$D, 3, FALSE), 0))</f>
        <v>28.2</v>
      </c>
      <c r="F247" s="11">
        <f>IF(J247="","", C247 * IFERROR(VLOOKUP(J247, SETUP!$A:$D, 4, FALSE), 0))</f>
        <v>18.8</v>
      </c>
      <c r="G247" s="11">
        <f t="shared" si="1"/>
        <v>18.8</v>
      </c>
      <c r="H247" s="22"/>
      <c r="I247" s="11"/>
      <c r="J247" s="17" t="str">
        <f>IF(TRIM(B247)="","",IF(ISNUMBER(SEARCH(" - ",B247)),TRIM(RIGHT(B247,LEN(B247)-FIND(" - ",B247)-2)),IFERROR(VLOOKUP(UPPER(TRIM(B247)), SETUP!$B$4:$C$11, 2, FALSE), UPPER(TRIM(B247)))))</f>
        <v>TONY</v>
      </c>
      <c r="K247" s="23">
        <f t="shared" si="2"/>
        <v>46062</v>
      </c>
      <c r="L247" s="17">
        <f t="shared" si="3"/>
        <v>46063</v>
      </c>
      <c r="M247" s="17" t="str">
        <f t="shared" si="4"/>
        <v>2026-02</v>
      </c>
    </row>
    <row r="248" ht="15.75" customHeight="1">
      <c r="A248" s="19">
        <v>46063.0</v>
      </c>
      <c r="B248" s="20" t="s">
        <v>21</v>
      </c>
      <c r="C248" s="20">
        <v>77.0</v>
      </c>
      <c r="D248" s="21"/>
      <c r="E248" s="11">
        <f>IF(J248="","", C248 * IFERROR(VLOOKUP(J248, SETUP!$A:$D, 3, FALSE), 0))</f>
        <v>46.2</v>
      </c>
      <c r="F248" s="11">
        <f>IF(J248="","", C248 * IFERROR(VLOOKUP(J248, SETUP!$A:$D, 4, FALSE), 0))</f>
        <v>30.8</v>
      </c>
      <c r="G248" s="11">
        <f t="shared" si="1"/>
        <v>30.8</v>
      </c>
      <c r="H248" s="22"/>
      <c r="I248" s="11"/>
      <c r="J248" s="17" t="str">
        <f>IF(TRIM(B248)="","",IF(ISNUMBER(SEARCH(" - ",B248)),TRIM(RIGHT(B248,LEN(B248)-FIND(" - ",B248)-2)),IFERROR(VLOOKUP(UPPER(TRIM(B248)), SETUP!$B$4:$C$11, 2, FALSE), UPPER(TRIM(B248)))))</f>
        <v>TONY</v>
      </c>
      <c r="K248" s="23">
        <f t="shared" si="2"/>
        <v>46062</v>
      </c>
      <c r="L248" s="17">
        <f t="shared" si="3"/>
        <v>46063</v>
      </c>
      <c r="M248" s="17" t="str">
        <f t="shared" si="4"/>
        <v>2026-02</v>
      </c>
    </row>
    <row r="249" ht="15.75" customHeight="1">
      <c r="A249" s="19">
        <v>46064.0</v>
      </c>
      <c r="B249" s="20" t="s">
        <v>16</v>
      </c>
      <c r="C249" s="20">
        <v>67.0</v>
      </c>
      <c r="D249" s="21"/>
      <c r="E249" s="11">
        <f>IF(J249="","", C249 * IFERROR(VLOOKUP(J249, SETUP!$A:$D, 3, FALSE), 0))</f>
        <v>0</v>
      </c>
      <c r="F249" s="11">
        <f>IF(J249="","", C249 * IFERROR(VLOOKUP(J249, SETUP!$A:$D, 4, FALSE), 0))</f>
        <v>67</v>
      </c>
      <c r="G249" s="11">
        <f t="shared" si="1"/>
        <v>67</v>
      </c>
      <c r="H249" s="22"/>
      <c r="I249" s="11"/>
      <c r="J249" s="17" t="str">
        <f>IF(TRIM(B249)="","",IF(ISNUMBER(SEARCH(" - ",B249)),TRIM(RIGHT(B249,LEN(B249)-FIND(" - ",B249)-2)),IFERROR(VLOOKUP(UPPER(TRIM(B249)), SETUP!$B$4:$C$11, 2, FALSE), UPPER(TRIM(B249)))))</f>
        <v>KEN</v>
      </c>
      <c r="K249" s="23">
        <f t="shared" si="2"/>
        <v>46062</v>
      </c>
      <c r="L249" s="17">
        <f t="shared" si="3"/>
        <v>46064</v>
      </c>
      <c r="M249" s="17" t="str">
        <f t="shared" si="4"/>
        <v>2026-02</v>
      </c>
    </row>
    <row r="250" ht="15.75" customHeight="1">
      <c r="A250" s="19">
        <v>46064.0</v>
      </c>
      <c r="B250" s="20" t="s">
        <v>16</v>
      </c>
      <c r="C250" s="20">
        <v>50.0</v>
      </c>
      <c r="D250" s="21"/>
      <c r="E250" s="11">
        <f>IF(J250="","", C250 * IFERROR(VLOOKUP(J250, SETUP!$A:$D, 3, FALSE), 0))</f>
        <v>0</v>
      </c>
      <c r="F250" s="11">
        <f>IF(J250="","", C250 * IFERROR(VLOOKUP(J250, SETUP!$A:$D, 4, FALSE), 0))</f>
        <v>50</v>
      </c>
      <c r="G250" s="11">
        <f t="shared" si="1"/>
        <v>50</v>
      </c>
      <c r="H250" s="22"/>
      <c r="I250" s="11"/>
      <c r="J250" s="17" t="str">
        <f>IF(TRIM(B250)="","",IF(ISNUMBER(SEARCH(" - ",B250)),TRIM(RIGHT(B250,LEN(B250)-FIND(" - ",B250)-2)),IFERROR(VLOOKUP(UPPER(TRIM(B250)), SETUP!$B$4:$C$11, 2, FALSE), UPPER(TRIM(B250)))))</f>
        <v>KEN</v>
      </c>
      <c r="K250" s="23">
        <f t="shared" si="2"/>
        <v>46062</v>
      </c>
      <c r="L250" s="17">
        <f t="shared" si="3"/>
        <v>46064</v>
      </c>
      <c r="M250" s="17" t="str">
        <f t="shared" si="4"/>
        <v>2026-02</v>
      </c>
    </row>
    <row r="251" ht="15.75" customHeight="1">
      <c r="A251" s="19">
        <v>46064.0</v>
      </c>
      <c r="B251" s="20" t="s">
        <v>17</v>
      </c>
      <c r="C251" s="20">
        <v>117.0</v>
      </c>
      <c r="D251" s="21"/>
      <c r="E251" s="11">
        <f>IF(J251="","", C251 * IFERROR(VLOOKUP(J251, SETUP!$A:$D, 3, FALSE), 0))</f>
        <v>70.2</v>
      </c>
      <c r="F251" s="11">
        <f>IF(J251="","", C251 * IFERROR(VLOOKUP(J251, SETUP!$A:$D, 4, FALSE), 0))</f>
        <v>46.8</v>
      </c>
      <c r="G251" s="11">
        <f t="shared" si="1"/>
        <v>46.8</v>
      </c>
      <c r="H251" s="22"/>
      <c r="I251" s="11"/>
      <c r="J251" s="17" t="str">
        <f>IF(TRIM(B251)="","",IF(ISNUMBER(SEARCH(" - ",B251)),TRIM(RIGHT(B251,LEN(B251)-FIND(" - ",B251)-2)),IFERROR(VLOOKUP(UPPER(TRIM(B251)), SETUP!$B$4:$C$11, 2, FALSE), UPPER(TRIM(B251)))))</f>
        <v>RYAN</v>
      </c>
      <c r="K251" s="23">
        <f t="shared" si="2"/>
        <v>46062</v>
      </c>
      <c r="L251" s="17">
        <f t="shared" si="3"/>
        <v>46064</v>
      </c>
      <c r="M251" s="17" t="str">
        <f t="shared" si="4"/>
        <v>2026-02</v>
      </c>
    </row>
    <row r="252" ht="15.75" customHeight="1">
      <c r="A252" s="19">
        <v>46064.0</v>
      </c>
      <c r="B252" s="20" t="s">
        <v>17</v>
      </c>
      <c r="C252" s="20">
        <v>115.0</v>
      </c>
      <c r="D252" s="21"/>
      <c r="E252" s="11">
        <f>IF(J252="","", C252 * IFERROR(VLOOKUP(J252, SETUP!$A:$D, 3, FALSE), 0))</f>
        <v>69</v>
      </c>
      <c r="F252" s="11">
        <f>IF(J252="","", C252 * IFERROR(VLOOKUP(J252, SETUP!$A:$D, 4, FALSE), 0))</f>
        <v>46</v>
      </c>
      <c r="G252" s="11">
        <f t="shared" si="1"/>
        <v>46</v>
      </c>
      <c r="H252" s="22"/>
      <c r="I252" s="11"/>
      <c r="J252" s="17" t="str">
        <f>IF(TRIM(B252)="","",IF(ISNUMBER(SEARCH(" - ",B252)),TRIM(RIGHT(B252,LEN(B252)-FIND(" - ",B252)-2)),IFERROR(VLOOKUP(UPPER(TRIM(B252)), SETUP!$B$4:$C$11, 2, FALSE), UPPER(TRIM(B252)))))</f>
        <v>RYAN</v>
      </c>
      <c r="K252" s="23">
        <f t="shared" si="2"/>
        <v>46062</v>
      </c>
      <c r="L252" s="17">
        <f t="shared" si="3"/>
        <v>46064</v>
      </c>
      <c r="M252" s="17" t="str">
        <f t="shared" si="4"/>
        <v>2026-02</v>
      </c>
    </row>
    <row r="253" ht="15.75" customHeight="1">
      <c r="A253" s="19">
        <v>46064.0</v>
      </c>
      <c r="B253" s="20" t="s">
        <v>17</v>
      </c>
      <c r="C253" s="20">
        <v>97.0</v>
      </c>
      <c r="D253" s="21"/>
      <c r="E253" s="11">
        <f>IF(J253="","", C253 * IFERROR(VLOOKUP(J253, SETUP!$A:$D, 3, FALSE), 0))</f>
        <v>58.2</v>
      </c>
      <c r="F253" s="11">
        <f>IF(J253="","", C253 * IFERROR(VLOOKUP(J253, SETUP!$A:$D, 4, FALSE), 0))</f>
        <v>38.8</v>
      </c>
      <c r="G253" s="11">
        <f t="shared" si="1"/>
        <v>38.8</v>
      </c>
      <c r="H253" s="22"/>
      <c r="I253" s="11"/>
      <c r="J253" s="17" t="str">
        <f>IF(TRIM(B253)="","",IF(ISNUMBER(SEARCH(" - ",B253)),TRIM(RIGHT(B253,LEN(B253)-FIND(" - ",B253)-2)),IFERROR(VLOOKUP(UPPER(TRIM(B253)), SETUP!$B$4:$C$11, 2, FALSE), UPPER(TRIM(B253)))))</f>
        <v>RYAN</v>
      </c>
      <c r="K253" s="23">
        <f t="shared" si="2"/>
        <v>46062</v>
      </c>
      <c r="L253" s="17">
        <f t="shared" si="3"/>
        <v>46064</v>
      </c>
      <c r="M253" s="17" t="str">
        <f t="shared" si="4"/>
        <v>2026-02</v>
      </c>
    </row>
    <row r="254" ht="15.75" customHeight="1">
      <c r="A254" s="19">
        <v>46064.0</v>
      </c>
      <c r="B254" s="20" t="s">
        <v>17</v>
      </c>
      <c r="C254" s="20">
        <v>57.0</v>
      </c>
      <c r="D254" s="21"/>
      <c r="E254" s="11">
        <f>IF(J254="","", C254 * IFERROR(VLOOKUP(J254, SETUP!$A:$D, 3, FALSE), 0))</f>
        <v>34.2</v>
      </c>
      <c r="F254" s="11">
        <f>IF(J254="","", C254 * IFERROR(VLOOKUP(J254, SETUP!$A:$D, 4, FALSE), 0))</f>
        <v>22.8</v>
      </c>
      <c r="G254" s="11">
        <f t="shared" si="1"/>
        <v>22.8</v>
      </c>
      <c r="H254" s="22"/>
      <c r="I254" s="11"/>
      <c r="J254" s="17" t="str">
        <f>IF(TRIM(B254)="","",IF(ISNUMBER(SEARCH(" - ",B254)),TRIM(RIGHT(B254,LEN(B254)-FIND(" - ",B254)-2)),IFERROR(VLOOKUP(UPPER(TRIM(B254)), SETUP!$B$4:$C$11, 2, FALSE), UPPER(TRIM(B254)))))</f>
        <v>RYAN</v>
      </c>
      <c r="K254" s="23">
        <f t="shared" si="2"/>
        <v>46062</v>
      </c>
      <c r="L254" s="17">
        <f t="shared" si="3"/>
        <v>46064</v>
      </c>
      <c r="M254" s="17" t="str">
        <f t="shared" si="4"/>
        <v>2026-02</v>
      </c>
    </row>
    <row r="255" ht="15.75" customHeight="1">
      <c r="A255" s="19">
        <v>46064.0</v>
      </c>
      <c r="B255" s="20" t="s">
        <v>17</v>
      </c>
      <c r="C255" s="20">
        <v>67.0</v>
      </c>
      <c r="D255" s="21"/>
      <c r="E255" s="11">
        <f>IF(J255="","", C255 * IFERROR(VLOOKUP(J255, SETUP!$A:$D, 3, FALSE), 0))</f>
        <v>40.2</v>
      </c>
      <c r="F255" s="11">
        <f>IF(J255="","", C255 * IFERROR(VLOOKUP(J255, SETUP!$A:$D, 4, FALSE), 0))</f>
        <v>26.8</v>
      </c>
      <c r="G255" s="11">
        <f t="shared" si="1"/>
        <v>26.8</v>
      </c>
      <c r="H255" s="22"/>
      <c r="I255" s="11"/>
      <c r="J255" s="17" t="str">
        <f>IF(TRIM(B255)="","",IF(ISNUMBER(SEARCH(" - ",B255)),TRIM(RIGHT(B255,LEN(B255)-FIND(" - ",B255)-2)),IFERROR(VLOOKUP(UPPER(TRIM(B255)), SETUP!$B$4:$C$11, 2, FALSE), UPPER(TRIM(B255)))))</f>
        <v>RYAN</v>
      </c>
      <c r="K255" s="23">
        <f t="shared" si="2"/>
        <v>46062</v>
      </c>
      <c r="L255" s="17">
        <f t="shared" si="3"/>
        <v>46064</v>
      </c>
      <c r="M255" s="17" t="str">
        <f t="shared" si="4"/>
        <v>2026-02</v>
      </c>
    </row>
    <row r="256" ht="15.75" customHeight="1">
      <c r="A256" s="19">
        <v>46064.0</v>
      </c>
      <c r="B256" s="20" t="s">
        <v>18</v>
      </c>
      <c r="C256" s="20">
        <v>50.0</v>
      </c>
      <c r="D256" s="21"/>
      <c r="E256" s="11">
        <f>IF(J256="","", C256 * IFERROR(VLOOKUP(J256, SETUP!$A:$D, 3, FALSE), 0))</f>
        <v>25</v>
      </c>
      <c r="F256" s="11">
        <f>IF(J256="","", C256 * IFERROR(VLOOKUP(J256, SETUP!$A:$D, 4, FALSE), 0))</f>
        <v>25</v>
      </c>
      <c r="G256" s="11">
        <f t="shared" si="1"/>
        <v>25</v>
      </c>
      <c r="H256" s="22"/>
      <c r="I256" s="11"/>
      <c r="J256" s="17" t="str">
        <f>IF(TRIM(B256)="","",IF(ISNUMBER(SEARCH(" - ",B256)),TRIM(RIGHT(B256,LEN(B256)-FIND(" - ",B256)-2)),IFERROR(VLOOKUP(UPPER(TRIM(B256)), SETUP!$B$4:$C$11, 2, FALSE), UPPER(TRIM(B256)))))</f>
        <v>CRIS</v>
      </c>
      <c r="K256" s="23">
        <f t="shared" si="2"/>
        <v>46062</v>
      </c>
      <c r="L256" s="17">
        <f t="shared" si="3"/>
        <v>46064</v>
      </c>
      <c r="M256" s="17" t="str">
        <f t="shared" si="4"/>
        <v>2026-02</v>
      </c>
    </row>
    <row r="257" ht="15.75" customHeight="1">
      <c r="A257" s="19">
        <v>46064.0</v>
      </c>
      <c r="B257" s="20" t="s">
        <v>18</v>
      </c>
      <c r="C257" s="20">
        <v>45.0</v>
      </c>
      <c r="D257" s="21"/>
      <c r="E257" s="11">
        <f>IF(J257="","", C257 * IFERROR(VLOOKUP(J257, SETUP!$A:$D, 3, FALSE), 0))</f>
        <v>22.5</v>
      </c>
      <c r="F257" s="11">
        <f>IF(J257="","", C257 * IFERROR(VLOOKUP(J257, SETUP!$A:$D, 4, FALSE), 0))</f>
        <v>22.5</v>
      </c>
      <c r="G257" s="11">
        <f t="shared" si="1"/>
        <v>22.5</v>
      </c>
      <c r="H257" s="22"/>
      <c r="I257" s="11"/>
      <c r="J257" s="17" t="str">
        <f>IF(TRIM(B257)="","",IF(ISNUMBER(SEARCH(" - ",B257)),TRIM(RIGHT(B257,LEN(B257)-FIND(" - ",B257)-2)),IFERROR(VLOOKUP(UPPER(TRIM(B257)), SETUP!$B$4:$C$11, 2, FALSE), UPPER(TRIM(B257)))))</f>
        <v>CRIS</v>
      </c>
      <c r="K257" s="23">
        <f t="shared" si="2"/>
        <v>46062</v>
      </c>
      <c r="L257" s="17">
        <f t="shared" si="3"/>
        <v>46064</v>
      </c>
      <c r="M257" s="17" t="str">
        <f t="shared" si="4"/>
        <v>2026-02</v>
      </c>
    </row>
    <row r="258" ht="15.75" customHeight="1">
      <c r="A258" s="19">
        <v>46064.0</v>
      </c>
      <c r="B258" s="20" t="s">
        <v>18</v>
      </c>
      <c r="C258" s="20">
        <v>60.0</v>
      </c>
      <c r="D258" s="21"/>
      <c r="E258" s="11">
        <f>IF(J258="","", C258 * IFERROR(VLOOKUP(J258, SETUP!$A:$D, 3, FALSE), 0))</f>
        <v>30</v>
      </c>
      <c r="F258" s="11">
        <f>IF(J258="","", C258 * IFERROR(VLOOKUP(J258, SETUP!$A:$D, 4, FALSE), 0))</f>
        <v>30</v>
      </c>
      <c r="G258" s="11">
        <f t="shared" si="1"/>
        <v>30</v>
      </c>
      <c r="H258" s="22"/>
      <c r="I258" s="11"/>
      <c r="J258" s="17" t="str">
        <f>IF(TRIM(B258)="","",IF(ISNUMBER(SEARCH(" - ",B258)),TRIM(RIGHT(B258,LEN(B258)-FIND(" - ",B258)-2)),IFERROR(VLOOKUP(UPPER(TRIM(B258)), SETUP!$B$4:$C$11, 2, FALSE), UPPER(TRIM(B258)))))</f>
        <v>CRIS</v>
      </c>
      <c r="K258" s="23">
        <f t="shared" si="2"/>
        <v>46062</v>
      </c>
      <c r="L258" s="17">
        <f t="shared" si="3"/>
        <v>46064</v>
      </c>
      <c r="M258" s="17" t="str">
        <f t="shared" si="4"/>
        <v>2026-02</v>
      </c>
    </row>
    <row r="259" ht="15.75" customHeight="1">
      <c r="A259" s="19">
        <v>46064.0</v>
      </c>
      <c r="B259" s="20" t="s">
        <v>18</v>
      </c>
      <c r="C259" s="20">
        <v>57.0</v>
      </c>
      <c r="D259" s="21"/>
      <c r="E259" s="11">
        <f>IF(J259="","", C259 * IFERROR(VLOOKUP(J259, SETUP!$A:$D, 3, FALSE), 0))</f>
        <v>28.5</v>
      </c>
      <c r="F259" s="11">
        <f>IF(J259="","", C259 * IFERROR(VLOOKUP(J259, SETUP!$A:$D, 4, FALSE), 0))</f>
        <v>28.5</v>
      </c>
      <c r="G259" s="11">
        <f t="shared" si="1"/>
        <v>28.5</v>
      </c>
      <c r="H259" s="22"/>
      <c r="I259" s="11"/>
      <c r="J259" s="17" t="str">
        <f>IF(TRIM(B259)="","",IF(ISNUMBER(SEARCH(" - ",B259)),TRIM(RIGHT(B259,LEN(B259)-FIND(" - ",B259)-2)),IFERROR(VLOOKUP(UPPER(TRIM(B259)), SETUP!$B$4:$C$11, 2, FALSE), UPPER(TRIM(B259)))))</f>
        <v>CRIS</v>
      </c>
      <c r="K259" s="23">
        <f t="shared" si="2"/>
        <v>46062</v>
      </c>
      <c r="L259" s="17">
        <f t="shared" si="3"/>
        <v>46064</v>
      </c>
      <c r="M259" s="17" t="str">
        <f t="shared" si="4"/>
        <v>2026-02</v>
      </c>
    </row>
    <row r="260" ht="15.75" customHeight="1">
      <c r="A260" s="19">
        <v>46064.0</v>
      </c>
      <c r="B260" s="20" t="s">
        <v>19</v>
      </c>
      <c r="C260" s="20">
        <v>40.0</v>
      </c>
      <c r="D260" s="21"/>
      <c r="E260" s="11">
        <f>IF(J260="","", C260 * IFERROR(VLOOKUP(J260, SETUP!$A:$D, 3, FALSE), 0))</f>
        <v>0</v>
      </c>
      <c r="F260" s="11">
        <f>IF(J260="","", C260 * IFERROR(VLOOKUP(J260, SETUP!$A:$D, 4, FALSE), 0))</f>
        <v>40</v>
      </c>
      <c r="G260" s="11">
        <f t="shared" si="1"/>
        <v>40</v>
      </c>
      <c r="H260" s="22"/>
      <c r="I260" s="11"/>
      <c r="J260" s="17" t="str">
        <f>IF(TRIM(B260)="","",IF(ISNUMBER(SEARCH(" - ",B260)),TRIM(RIGHT(B260,LEN(B260)-FIND(" - ",B260)-2)),IFERROR(VLOOKUP(UPPER(TRIM(B260)), SETUP!$B$4:$C$11, 2, FALSE), UPPER(TRIM(B260)))))</f>
        <v>HANNI</v>
      </c>
      <c r="K260" s="23">
        <f t="shared" si="2"/>
        <v>46062</v>
      </c>
      <c r="L260" s="17">
        <f t="shared" si="3"/>
        <v>46064</v>
      </c>
      <c r="M260" s="17" t="str">
        <f t="shared" si="4"/>
        <v>2026-02</v>
      </c>
    </row>
    <row r="261" ht="15.75" customHeight="1">
      <c r="A261" s="19">
        <v>46064.0</v>
      </c>
      <c r="B261" s="20" t="s">
        <v>19</v>
      </c>
      <c r="C261" s="20">
        <v>52.0</v>
      </c>
      <c r="D261" s="21"/>
      <c r="E261" s="11">
        <f>IF(J261="","", C261 * IFERROR(VLOOKUP(J261, SETUP!$A:$D, 3, FALSE), 0))</f>
        <v>0</v>
      </c>
      <c r="F261" s="11">
        <f>IF(J261="","", C261 * IFERROR(VLOOKUP(J261, SETUP!$A:$D, 4, FALSE), 0))</f>
        <v>52</v>
      </c>
      <c r="G261" s="11">
        <f t="shared" si="1"/>
        <v>52</v>
      </c>
      <c r="H261" s="22"/>
      <c r="I261" s="11"/>
      <c r="J261" s="17" t="str">
        <f>IF(TRIM(B261)="","",IF(ISNUMBER(SEARCH(" - ",B261)),TRIM(RIGHT(B261,LEN(B261)-FIND(" - ",B261)-2)),IFERROR(VLOOKUP(UPPER(TRIM(B261)), SETUP!$B$4:$C$11, 2, FALSE), UPPER(TRIM(B261)))))</f>
        <v>HANNI</v>
      </c>
      <c r="K261" s="23">
        <f t="shared" si="2"/>
        <v>46062</v>
      </c>
      <c r="L261" s="17">
        <f t="shared" si="3"/>
        <v>46064</v>
      </c>
      <c r="M261" s="17" t="str">
        <f t="shared" si="4"/>
        <v>2026-02</v>
      </c>
    </row>
    <row r="262" ht="15.75" customHeight="1">
      <c r="A262" s="19">
        <v>46064.0</v>
      </c>
      <c r="B262" s="20" t="s">
        <v>19</v>
      </c>
      <c r="C262" s="20">
        <v>52.0</v>
      </c>
      <c r="D262" s="21"/>
      <c r="E262" s="11">
        <f>IF(J262="","", C262 * IFERROR(VLOOKUP(J262, SETUP!$A:$D, 3, FALSE), 0))</f>
        <v>0</v>
      </c>
      <c r="F262" s="11">
        <f>IF(J262="","", C262 * IFERROR(VLOOKUP(J262, SETUP!$A:$D, 4, FALSE), 0))</f>
        <v>52</v>
      </c>
      <c r="G262" s="11">
        <f t="shared" si="1"/>
        <v>52</v>
      </c>
      <c r="H262" s="22"/>
      <c r="I262" s="11"/>
      <c r="J262" s="17" t="str">
        <f>IF(TRIM(B262)="","",IF(ISNUMBER(SEARCH(" - ",B262)),TRIM(RIGHT(B262,LEN(B262)-FIND(" - ",B262)-2)),IFERROR(VLOOKUP(UPPER(TRIM(B262)), SETUP!$B$4:$C$11, 2, FALSE), UPPER(TRIM(B262)))))</f>
        <v>HANNI</v>
      </c>
      <c r="K262" s="23">
        <f t="shared" si="2"/>
        <v>46062</v>
      </c>
      <c r="L262" s="17">
        <f t="shared" si="3"/>
        <v>46064</v>
      </c>
      <c r="M262" s="17" t="str">
        <f t="shared" si="4"/>
        <v>2026-02</v>
      </c>
    </row>
    <row r="263" ht="15.75" customHeight="1">
      <c r="A263" s="19">
        <v>46064.0</v>
      </c>
      <c r="B263" s="20" t="s">
        <v>19</v>
      </c>
      <c r="C263" s="20">
        <v>82.0</v>
      </c>
      <c r="D263" s="21"/>
      <c r="E263" s="11">
        <f>IF(J263="","", C263 * IFERROR(VLOOKUP(J263, SETUP!$A:$D, 3, FALSE), 0))</f>
        <v>0</v>
      </c>
      <c r="F263" s="11">
        <f>IF(J263="","", C263 * IFERROR(VLOOKUP(J263, SETUP!$A:$D, 4, FALSE), 0))</f>
        <v>82</v>
      </c>
      <c r="G263" s="11">
        <f t="shared" si="1"/>
        <v>82</v>
      </c>
      <c r="H263" s="22"/>
      <c r="I263" s="11"/>
      <c r="J263" s="17" t="str">
        <f>IF(TRIM(B263)="","",IF(ISNUMBER(SEARCH(" - ",B263)),TRIM(RIGHT(B263,LEN(B263)-FIND(" - ",B263)-2)),IFERROR(VLOOKUP(UPPER(TRIM(B263)), SETUP!$B$4:$C$11, 2, FALSE), UPPER(TRIM(B263)))))</f>
        <v>HANNI</v>
      </c>
      <c r="K263" s="23">
        <f t="shared" si="2"/>
        <v>46062</v>
      </c>
      <c r="L263" s="17">
        <f t="shared" si="3"/>
        <v>46064</v>
      </c>
      <c r="M263" s="17" t="str">
        <f t="shared" si="4"/>
        <v>2026-02</v>
      </c>
    </row>
    <row r="264" ht="15.75" customHeight="1">
      <c r="A264" s="19">
        <v>46064.0</v>
      </c>
      <c r="B264" s="20" t="s">
        <v>19</v>
      </c>
      <c r="C264" s="20">
        <v>52.0</v>
      </c>
      <c r="D264" s="21"/>
      <c r="E264" s="11">
        <f>IF(J264="","", C264 * IFERROR(VLOOKUP(J264, SETUP!$A:$D, 3, FALSE), 0))</f>
        <v>0</v>
      </c>
      <c r="F264" s="11">
        <f>IF(J264="","", C264 * IFERROR(VLOOKUP(J264, SETUP!$A:$D, 4, FALSE), 0))</f>
        <v>52</v>
      </c>
      <c r="G264" s="11">
        <f t="shared" si="1"/>
        <v>52</v>
      </c>
      <c r="H264" s="22"/>
      <c r="I264" s="11"/>
      <c r="J264" s="17" t="str">
        <f>IF(TRIM(B264)="","",IF(ISNUMBER(SEARCH(" - ",B264)),TRIM(RIGHT(B264,LEN(B264)-FIND(" - ",B264)-2)),IFERROR(VLOOKUP(UPPER(TRIM(B264)), SETUP!$B$4:$C$11, 2, FALSE), UPPER(TRIM(B264)))))</f>
        <v>HANNI</v>
      </c>
      <c r="K264" s="23">
        <f t="shared" si="2"/>
        <v>46062</v>
      </c>
      <c r="L264" s="17">
        <f t="shared" si="3"/>
        <v>46064</v>
      </c>
      <c r="M264" s="17" t="str">
        <f t="shared" si="4"/>
        <v>2026-02</v>
      </c>
    </row>
    <row r="265" ht="15.75" customHeight="1">
      <c r="A265" s="19">
        <v>46064.0</v>
      </c>
      <c r="B265" s="20" t="s">
        <v>19</v>
      </c>
      <c r="C265" s="20">
        <v>77.0</v>
      </c>
      <c r="D265" s="21"/>
      <c r="E265" s="11">
        <f>IF(J265="","", C265 * IFERROR(VLOOKUP(J265, SETUP!$A:$D, 3, FALSE), 0))</f>
        <v>0</v>
      </c>
      <c r="F265" s="11">
        <f>IF(J265="","", C265 * IFERROR(VLOOKUP(J265, SETUP!$A:$D, 4, FALSE), 0))</f>
        <v>77</v>
      </c>
      <c r="G265" s="11">
        <f t="shared" si="1"/>
        <v>77</v>
      </c>
      <c r="H265" s="22"/>
      <c r="I265" s="11"/>
      <c r="J265" s="17" t="str">
        <f>IF(TRIM(B265)="","",IF(ISNUMBER(SEARCH(" - ",B265)),TRIM(RIGHT(B265,LEN(B265)-FIND(" - ",B265)-2)),IFERROR(VLOOKUP(UPPER(TRIM(B265)), SETUP!$B$4:$C$11, 2, FALSE), UPPER(TRIM(B265)))))</f>
        <v>HANNI</v>
      </c>
      <c r="K265" s="23">
        <f t="shared" si="2"/>
        <v>46062</v>
      </c>
      <c r="L265" s="17">
        <f t="shared" si="3"/>
        <v>46064</v>
      </c>
      <c r="M265" s="17" t="str">
        <f t="shared" si="4"/>
        <v>2026-02</v>
      </c>
    </row>
    <row r="266" ht="15.75" customHeight="1">
      <c r="A266" s="19">
        <v>46064.0</v>
      </c>
      <c r="B266" s="20" t="s">
        <v>20</v>
      </c>
      <c r="C266" s="20">
        <v>47.0</v>
      </c>
      <c r="D266" s="21"/>
      <c r="E266" s="11">
        <f>IF(J266="","", C266 * IFERROR(VLOOKUP(J266, SETUP!$A:$D, 3, FALSE), 0))</f>
        <v>28.2</v>
      </c>
      <c r="F266" s="11">
        <f>IF(J266="","", C266 * IFERROR(VLOOKUP(J266, SETUP!$A:$D, 4, FALSE), 0))</f>
        <v>18.8</v>
      </c>
      <c r="G266" s="11">
        <f t="shared" si="1"/>
        <v>18.8</v>
      </c>
      <c r="H266" s="22"/>
      <c r="I266" s="11"/>
      <c r="J266" s="17" t="str">
        <f>IF(TRIM(B266)="","",IF(ISNUMBER(SEARCH(" - ",B266)),TRIM(RIGHT(B266,LEN(B266)-FIND(" - ",B266)-2)),IFERROR(VLOOKUP(UPPER(TRIM(B266)), SETUP!$B$4:$C$11, 2, FALSE), UPPER(TRIM(B266)))))</f>
        <v>AMY</v>
      </c>
      <c r="K266" s="23">
        <f t="shared" si="2"/>
        <v>46062</v>
      </c>
      <c r="L266" s="17">
        <f t="shared" si="3"/>
        <v>46064</v>
      </c>
      <c r="M266" s="17" t="str">
        <f t="shared" si="4"/>
        <v>2026-02</v>
      </c>
    </row>
    <row r="267" ht="15.75" customHeight="1">
      <c r="A267" s="19">
        <v>46064.0</v>
      </c>
      <c r="B267" s="20" t="s">
        <v>20</v>
      </c>
      <c r="C267" s="20">
        <v>60.0</v>
      </c>
      <c r="D267" s="21"/>
      <c r="E267" s="11">
        <f>IF(J267="","", C267 * IFERROR(VLOOKUP(J267, SETUP!$A:$D, 3, FALSE), 0))</f>
        <v>36</v>
      </c>
      <c r="F267" s="11">
        <f>IF(J267="","", C267 * IFERROR(VLOOKUP(J267, SETUP!$A:$D, 4, FALSE), 0))</f>
        <v>24</v>
      </c>
      <c r="G267" s="11">
        <f t="shared" si="1"/>
        <v>24</v>
      </c>
      <c r="H267" s="22"/>
      <c r="I267" s="11"/>
      <c r="J267" s="17" t="str">
        <f>IF(TRIM(B267)="","",IF(ISNUMBER(SEARCH(" - ",B267)),TRIM(RIGHT(B267,LEN(B267)-FIND(" - ",B267)-2)),IFERROR(VLOOKUP(UPPER(TRIM(B267)), SETUP!$B$4:$C$11, 2, FALSE), UPPER(TRIM(B267)))))</f>
        <v>AMY</v>
      </c>
      <c r="K267" s="23">
        <f t="shared" si="2"/>
        <v>46062</v>
      </c>
      <c r="L267" s="17">
        <f t="shared" si="3"/>
        <v>46064</v>
      </c>
      <c r="M267" s="17" t="str">
        <f t="shared" si="4"/>
        <v>2026-02</v>
      </c>
    </row>
    <row r="268" ht="15.75" customHeight="1">
      <c r="A268" s="19">
        <v>46064.0</v>
      </c>
      <c r="B268" s="20" t="s">
        <v>20</v>
      </c>
      <c r="C268" s="20">
        <v>65.0</v>
      </c>
      <c r="D268" s="21"/>
      <c r="E268" s="11">
        <f>IF(J268="","", C268 * IFERROR(VLOOKUP(J268, SETUP!$A:$D, 3, FALSE), 0))</f>
        <v>39</v>
      </c>
      <c r="F268" s="11">
        <f>IF(J268="","", C268 * IFERROR(VLOOKUP(J268, SETUP!$A:$D, 4, FALSE), 0))</f>
        <v>26</v>
      </c>
      <c r="G268" s="11">
        <f t="shared" si="1"/>
        <v>26</v>
      </c>
      <c r="H268" s="22"/>
      <c r="I268" s="11"/>
      <c r="J268" s="17" t="str">
        <f>IF(TRIM(B268)="","",IF(ISNUMBER(SEARCH(" - ",B268)),TRIM(RIGHT(B268,LEN(B268)-FIND(" - ",B268)-2)),IFERROR(VLOOKUP(UPPER(TRIM(B268)), SETUP!$B$4:$C$11, 2, FALSE), UPPER(TRIM(B268)))))</f>
        <v>AMY</v>
      </c>
      <c r="K268" s="23">
        <f t="shared" si="2"/>
        <v>46062</v>
      </c>
      <c r="L268" s="17">
        <f t="shared" si="3"/>
        <v>46064</v>
      </c>
      <c r="M268" s="17" t="str">
        <f t="shared" si="4"/>
        <v>2026-02</v>
      </c>
    </row>
    <row r="269" ht="15.75" customHeight="1">
      <c r="A269" s="19">
        <v>46064.0</v>
      </c>
      <c r="B269" s="20" t="s">
        <v>20</v>
      </c>
      <c r="C269" s="20">
        <v>77.0</v>
      </c>
      <c r="D269" s="21"/>
      <c r="E269" s="11">
        <f>IF(J269="","", C269 * IFERROR(VLOOKUP(J269, SETUP!$A:$D, 3, FALSE), 0))</f>
        <v>46.2</v>
      </c>
      <c r="F269" s="11">
        <f>IF(J269="","", C269 * IFERROR(VLOOKUP(J269, SETUP!$A:$D, 4, FALSE), 0))</f>
        <v>30.8</v>
      </c>
      <c r="G269" s="11">
        <f t="shared" si="1"/>
        <v>30.8</v>
      </c>
      <c r="H269" s="22"/>
      <c r="I269" s="11"/>
      <c r="J269" s="17" t="str">
        <f>IF(TRIM(B269)="","",IF(ISNUMBER(SEARCH(" - ",B269)),TRIM(RIGHT(B269,LEN(B269)-FIND(" - ",B269)-2)),IFERROR(VLOOKUP(UPPER(TRIM(B269)), SETUP!$B$4:$C$11, 2, FALSE), UPPER(TRIM(B269)))))</f>
        <v>AMY</v>
      </c>
      <c r="K269" s="23">
        <f t="shared" si="2"/>
        <v>46062</v>
      </c>
      <c r="L269" s="17">
        <f t="shared" si="3"/>
        <v>46064</v>
      </c>
      <c r="M269" s="17" t="str">
        <f t="shared" si="4"/>
        <v>2026-02</v>
      </c>
    </row>
    <row r="270" ht="15.75" customHeight="1">
      <c r="A270" s="19">
        <v>46064.0</v>
      </c>
      <c r="B270" s="20" t="s">
        <v>20</v>
      </c>
      <c r="C270" s="20">
        <v>67.0</v>
      </c>
      <c r="D270" s="21"/>
      <c r="E270" s="11">
        <f>IF(J270="","", C270 * IFERROR(VLOOKUP(J270, SETUP!$A:$D, 3, FALSE), 0))</f>
        <v>40.2</v>
      </c>
      <c r="F270" s="11">
        <f>IF(J270="","", C270 * IFERROR(VLOOKUP(J270, SETUP!$A:$D, 4, FALSE), 0))</f>
        <v>26.8</v>
      </c>
      <c r="G270" s="11">
        <f t="shared" si="1"/>
        <v>26.8</v>
      </c>
      <c r="H270" s="22"/>
      <c r="I270" s="11"/>
      <c r="J270" s="17" t="str">
        <f>IF(TRIM(B270)="","",IF(ISNUMBER(SEARCH(" - ",B270)),TRIM(RIGHT(B270,LEN(B270)-FIND(" - ",B270)-2)),IFERROR(VLOOKUP(UPPER(TRIM(B270)), SETUP!$B$4:$C$11, 2, FALSE), UPPER(TRIM(B270)))))</f>
        <v>AMY</v>
      </c>
      <c r="K270" s="23">
        <f t="shared" si="2"/>
        <v>46062</v>
      </c>
      <c r="L270" s="17">
        <f t="shared" si="3"/>
        <v>46064</v>
      </c>
      <c r="M270" s="17" t="str">
        <f t="shared" si="4"/>
        <v>2026-02</v>
      </c>
    </row>
    <row r="271" ht="15.75" customHeight="1">
      <c r="A271" s="19">
        <v>46064.0</v>
      </c>
      <c r="B271" s="20" t="s">
        <v>20</v>
      </c>
      <c r="C271" s="20">
        <v>67.0</v>
      </c>
      <c r="D271" s="21"/>
      <c r="E271" s="11">
        <f>IF(J271="","", C271 * IFERROR(VLOOKUP(J271, SETUP!$A:$D, 3, FALSE), 0))</f>
        <v>40.2</v>
      </c>
      <c r="F271" s="11">
        <f>IF(J271="","", C271 * IFERROR(VLOOKUP(J271, SETUP!$A:$D, 4, FALSE), 0))</f>
        <v>26.8</v>
      </c>
      <c r="G271" s="11">
        <f t="shared" si="1"/>
        <v>26.8</v>
      </c>
      <c r="H271" s="22"/>
      <c r="I271" s="11"/>
      <c r="J271" s="17" t="str">
        <f>IF(TRIM(B271)="","",IF(ISNUMBER(SEARCH(" - ",B271)),TRIM(RIGHT(B271,LEN(B271)-FIND(" - ",B271)-2)),IFERROR(VLOOKUP(UPPER(TRIM(B271)), SETUP!$B$4:$C$11, 2, FALSE), UPPER(TRIM(B271)))))</f>
        <v>AMY</v>
      </c>
      <c r="K271" s="23">
        <f t="shared" si="2"/>
        <v>46062</v>
      </c>
      <c r="L271" s="17">
        <f t="shared" si="3"/>
        <v>46064</v>
      </c>
      <c r="M271" s="17" t="str">
        <f t="shared" si="4"/>
        <v>2026-02</v>
      </c>
    </row>
    <row r="272" ht="15.75" customHeight="1">
      <c r="A272" s="19">
        <v>46064.0</v>
      </c>
      <c r="B272" s="20" t="s">
        <v>21</v>
      </c>
      <c r="C272" s="20">
        <v>60.0</v>
      </c>
      <c r="D272" s="21"/>
      <c r="E272" s="11">
        <f>IF(J272="","", C272 * IFERROR(VLOOKUP(J272, SETUP!$A:$D, 3, FALSE), 0))</f>
        <v>36</v>
      </c>
      <c r="F272" s="11">
        <f>IF(J272="","", C272 * IFERROR(VLOOKUP(J272, SETUP!$A:$D, 4, FALSE), 0))</f>
        <v>24</v>
      </c>
      <c r="G272" s="11">
        <f t="shared" si="1"/>
        <v>24</v>
      </c>
      <c r="H272" s="22"/>
      <c r="I272" s="11"/>
      <c r="J272" s="17" t="str">
        <f>IF(TRIM(B272)="","",IF(ISNUMBER(SEARCH(" - ",B272)),TRIM(RIGHT(B272,LEN(B272)-FIND(" - ",B272)-2)),IFERROR(VLOOKUP(UPPER(TRIM(B272)), SETUP!$B$4:$C$11, 2, FALSE), UPPER(TRIM(B272)))))</f>
        <v>TONY</v>
      </c>
      <c r="K272" s="23">
        <f t="shared" si="2"/>
        <v>46062</v>
      </c>
      <c r="L272" s="17">
        <f t="shared" si="3"/>
        <v>46064</v>
      </c>
      <c r="M272" s="17" t="str">
        <f t="shared" si="4"/>
        <v>2026-02</v>
      </c>
    </row>
    <row r="273" ht="15.75" customHeight="1">
      <c r="A273" s="19">
        <v>46064.0</v>
      </c>
      <c r="B273" s="20" t="s">
        <v>21</v>
      </c>
      <c r="C273" s="20">
        <v>67.0</v>
      </c>
      <c r="D273" s="21"/>
      <c r="E273" s="11">
        <f>IF(J273="","", C273 * IFERROR(VLOOKUP(J273, SETUP!$A:$D, 3, FALSE), 0))</f>
        <v>40.2</v>
      </c>
      <c r="F273" s="11">
        <f>IF(J273="","", C273 * IFERROR(VLOOKUP(J273, SETUP!$A:$D, 4, FALSE), 0))</f>
        <v>26.8</v>
      </c>
      <c r="G273" s="11">
        <f t="shared" si="1"/>
        <v>26.8</v>
      </c>
      <c r="H273" s="22"/>
      <c r="I273" s="11"/>
      <c r="J273" s="17" t="str">
        <f>IF(TRIM(B273)="","",IF(ISNUMBER(SEARCH(" - ",B273)),TRIM(RIGHT(B273,LEN(B273)-FIND(" - ",B273)-2)),IFERROR(VLOOKUP(UPPER(TRIM(B273)), SETUP!$B$4:$C$11, 2, FALSE), UPPER(TRIM(B273)))))</f>
        <v>TONY</v>
      </c>
      <c r="K273" s="23">
        <f t="shared" si="2"/>
        <v>46062</v>
      </c>
      <c r="L273" s="17">
        <f t="shared" si="3"/>
        <v>46064</v>
      </c>
      <c r="M273" s="17" t="str">
        <f t="shared" si="4"/>
        <v>2026-02</v>
      </c>
    </row>
    <row r="274" ht="15.75" customHeight="1">
      <c r="A274" s="19">
        <v>46064.0</v>
      </c>
      <c r="B274" s="20" t="s">
        <v>21</v>
      </c>
      <c r="C274" s="20">
        <v>47.0</v>
      </c>
      <c r="D274" s="21"/>
      <c r="E274" s="11">
        <f>IF(J274="","", C274 * IFERROR(VLOOKUP(J274, SETUP!$A:$D, 3, FALSE), 0))</f>
        <v>28.2</v>
      </c>
      <c r="F274" s="11">
        <f>IF(J274="","", C274 * IFERROR(VLOOKUP(J274, SETUP!$A:$D, 4, FALSE), 0))</f>
        <v>18.8</v>
      </c>
      <c r="G274" s="11">
        <f t="shared" si="1"/>
        <v>18.8</v>
      </c>
      <c r="H274" s="22"/>
      <c r="I274" s="11"/>
      <c r="J274" s="17" t="str">
        <f>IF(TRIM(B274)="","",IF(ISNUMBER(SEARCH(" - ",B274)),TRIM(RIGHT(B274,LEN(B274)-FIND(" - ",B274)-2)),IFERROR(VLOOKUP(UPPER(TRIM(B274)), SETUP!$B$4:$C$11, 2, FALSE), UPPER(TRIM(B274)))))</f>
        <v>TONY</v>
      </c>
      <c r="K274" s="23">
        <f t="shared" si="2"/>
        <v>46062</v>
      </c>
      <c r="L274" s="17">
        <f t="shared" si="3"/>
        <v>46064</v>
      </c>
      <c r="M274" s="17" t="str">
        <f t="shared" si="4"/>
        <v>2026-02</v>
      </c>
    </row>
    <row r="275" ht="15.75" customHeight="1">
      <c r="A275" s="19">
        <v>46064.0</v>
      </c>
      <c r="B275" s="20" t="s">
        <v>21</v>
      </c>
      <c r="C275" s="20">
        <v>57.0</v>
      </c>
      <c r="D275" s="21"/>
      <c r="E275" s="11">
        <f>IF(J275="","", C275 * IFERROR(VLOOKUP(J275, SETUP!$A:$D, 3, FALSE), 0))</f>
        <v>34.2</v>
      </c>
      <c r="F275" s="11">
        <f>IF(J275="","", C275 * IFERROR(VLOOKUP(J275, SETUP!$A:$D, 4, FALSE), 0))</f>
        <v>22.8</v>
      </c>
      <c r="G275" s="11">
        <f t="shared" si="1"/>
        <v>22.8</v>
      </c>
      <c r="H275" s="22"/>
      <c r="I275" s="11"/>
      <c r="J275" s="17" t="str">
        <f>IF(TRIM(B275)="","",IF(ISNUMBER(SEARCH(" - ",B275)),TRIM(RIGHT(B275,LEN(B275)-FIND(" - ",B275)-2)),IFERROR(VLOOKUP(UPPER(TRIM(B275)), SETUP!$B$4:$C$11, 2, FALSE), UPPER(TRIM(B275)))))</f>
        <v>TONY</v>
      </c>
      <c r="K275" s="23">
        <f t="shared" si="2"/>
        <v>46062</v>
      </c>
      <c r="L275" s="17">
        <f t="shared" si="3"/>
        <v>46064</v>
      </c>
      <c r="M275" s="17" t="str">
        <f t="shared" si="4"/>
        <v>2026-02</v>
      </c>
    </row>
    <row r="276" ht="15.75" customHeight="1">
      <c r="A276" s="19">
        <v>46064.0</v>
      </c>
      <c r="B276" s="20" t="s">
        <v>21</v>
      </c>
      <c r="C276" s="20">
        <v>80.0</v>
      </c>
      <c r="D276" s="21"/>
      <c r="E276" s="11">
        <f>IF(J276="","", C276 * IFERROR(VLOOKUP(J276, SETUP!$A:$D, 3, FALSE), 0))</f>
        <v>48</v>
      </c>
      <c r="F276" s="11">
        <f>IF(J276="","", C276 * IFERROR(VLOOKUP(J276, SETUP!$A:$D, 4, FALSE), 0))</f>
        <v>32</v>
      </c>
      <c r="G276" s="11">
        <f t="shared" si="1"/>
        <v>32</v>
      </c>
      <c r="H276" s="22"/>
      <c r="I276" s="11"/>
      <c r="J276" s="17" t="str">
        <f>IF(TRIM(B276)="","",IF(ISNUMBER(SEARCH(" - ",B276)),TRIM(RIGHT(B276,LEN(B276)-FIND(" - ",B276)-2)),IFERROR(VLOOKUP(UPPER(TRIM(B276)), SETUP!$B$4:$C$11, 2, FALSE), UPPER(TRIM(B276)))))</f>
        <v>TONY</v>
      </c>
      <c r="K276" s="23">
        <f t="shared" si="2"/>
        <v>46062</v>
      </c>
      <c r="L276" s="17">
        <f t="shared" si="3"/>
        <v>46064</v>
      </c>
      <c r="M276" s="17" t="str">
        <f t="shared" si="4"/>
        <v>2026-02</v>
      </c>
    </row>
    <row r="277" ht="15.75" customHeight="1">
      <c r="A277" s="19">
        <v>46064.0</v>
      </c>
      <c r="B277" s="20" t="s">
        <v>21</v>
      </c>
      <c r="C277" s="20">
        <v>77.0</v>
      </c>
      <c r="D277" s="21"/>
      <c r="E277" s="11">
        <f>IF(J277="","", C277 * IFERROR(VLOOKUP(J277, SETUP!$A:$D, 3, FALSE), 0))</f>
        <v>46.2</v>
      </c>
      <c r="F277" s="11">
        <f>IF(J277="","", C277 * IFERROR(VLOOKUP(J277, SETUP!$A:$D, 4, FALSE), 0))</f>
        <v>30.8</v>
      </c>
      <c r="G277" s="11">
        <f t="shared" si="1"/>
        <v>30.8</v>
      </c>
      <c r="H277" s="22"/>
      <c r="I277" s="11"/>
      <c r="J277" s="17" t="str">
        <f>IF(TRIM(B277)="","",IF(ISNUMBER(SEARCH(" - ",B277)),TRIM(RIGHT(B277,LEN(B277)-FIND(" - ",B277)-2)),IFERROR(VLOOKUP(UPPER(TRIM(B277)), SETUP!$B$4:$C$11, 2, FALSE), UPPER(TRIM(B277)))))</f>
        <v>TONY</v>
      </c>
      <c r="K277" s="23">
        <f t="shared" si="2"/>
        <v>46062</v>
      </c>
      <c r="L277" s="17">
        <f t="shared" si="3"/>
        <v>46064</v>
      </c>
      <c r="M277" s="17" t="str">
        <f t="shared" si="4"/>
        <v>2026-02</v>
      </c>
    </row>
    <row r="278" ht="15.75" customHeight="1">
      <c r="A278" s="19">
        <v>46065.0</v>
      </c>
      <c r="B278" s="20" t="s">
        <v>16</v>
      </c>
      <c r="C278" s="20">
        <v>40.0</v>
      </c>
      <c r="D278" s="21"/>
      <c r="E278" s="11">
        <f>IF(J278="","", C278 * IFERROR(VLOOKUP(J278, SETUP!$A:$D, 3, FALSE), 0))</f>
        <v>0</v>
      </c>
      <c r="F278" s="11">
        <f>IF(J278="","", C278 * IFERROR(VLOOKUP(J278, SETUP!$A:$D, 4, FALSE), 0))</f>
        <v>40</v>
      </c>
      <c r="G278" s="11">
        <f t="shared" si="1"/>
        <v>40</v>
      </c>
      <c r="H278" s="22"/>
      <c r="I278" s="11"/>
      <c r="J278" s="17" t="str">
        <f>IF(TRIM(B278)="","",IF(ISNUMBER(SEARCH(" - ",B278)),TRIM(RIGHT(B278,LEN(B278)-FIND(" - ",B278)-2)),IFERROR(VLOOKUP(UPPER(TRIM(B278)), SETUP!$B$4:$C$11, 2, FALSE), UPPER(TRIM(B278)))))</f>
        <v>KEN</v>
      </c>
      <c r="K278" s="23">
        <f t="shared" si="2"/>
        <v>46062</v>
      </c>
      <c r="L278" s="17">
        <f t="shared" si="3"/>
        <v>46065</v>
      </c>
      <c r="M278" s="17" t="str">
        <f t="shared" si="4"/>
        <v>2026-02</v>
      </c>
    </row>
    <row r="279" ht="15.75" customHeight="1">
      <c r="A279" s="19">
        <v>46065.0</v>
      </c>
      <c r="B279" s="20" t="s">
        <v>17</v>
      </c>
      <c r="C279" s="20">
        <v>55.0</v>
      </c>
      <c r="D279" s="21"/>
      <c r="E279" s="11">
        <f>IF(J279="","", C279 * IFERROR(VLOOKUP(J279, SETUP!$A:$D, 3, FALSE), 0))</f>
        <v>33</v>
      </c>
      <c r="F279" s="11">
        <f>IF(J279="","", C279 * IFERROR(VLOOKUP(J279, SETUP!$A:$D, 4, FALSE), 0))</f>
        <v>22</v>
      </c>
      <c r="G279" s="11">
        <f t="shared" si="1"/>
        <v>22</v>
      </c>
      <c r="H279" s="22"/>
      <c r="I279" s="11"/>
      <c r="J279" s="17" t="str">
        <f>IF(TRIM(B279)="","",IF(ISNUMBER(SEARCH(" - ",B279)),TRIM(RIGHT(B279,LEN(B279)-FIND(" - ",B279)-2)),IFERROR(VLOOKUP(UPPER(TRIM(B279)), SETUP!$B$4:$C$11, 2, FALSE), UPPER(TRIM(B279)))))</f>
        <v>RYAN</v>
      </c>
      <c r="K279" s="23">
        <f t="shared" si="2"/>
        <v>46062</v>
      </c>
      <c r="L279" s="17">
        <f t="shared" si="3"/>
        <v>46065</v>
      </c>
      <c r="M279" s="17" t="str">
        <f t="shared" si="4"/>
        <v>2026-02</v>
      </c>
    </row>
    <row r="280" ht="15.75" customHeight="1">
      <c r="A280" s="19">
        <v>46065.0</v>
      </c>
      <c r="B280" s="20" t="s">
        <v>17</v>
      </c>
      <c r="C280" s="20">
        <v>52.0</v>
      </c>
      <c r="D280" s="21"/>
      <c r="E280" s="11">
        <f>IF(J280="","", C280 * IFERROR(VLOOKUP(J280, SETUP!$A:$D, 3, FALSE), 0))</f>
        <v>31.2</v>
      </c>
      <c r="F280" s="11">
        <f>IF(J280="","", C280 * IFERROR(VLOOKUP(J280, SETUP!$A:$D, 4, FALSE), 0))</f>
        <v>20.8</v>
      </c>
      <c r="G280" s="11">
        <f t="shared" si="1"/>
        <v>20.8</v>
      </c>
      <c r="H280" s="22"/>
      <c r="I280" s="11"/>
      <c r="J280" s="17" t="str">
        <f>IF(TRIM(B280)="","",IF(ISNUMBER(SEARCH(" - ",B280)),TRIM(RIGHT(B280,LEN(B280)-FIND(" - ",B280)-2)),IFERROR(VLOOKUP(UPPER(TRIM(B280)), SETUP!$B$4:$C$11, 2, FALSE), UPPER(TRIM(B280)))))</f>
        <v>RYAN</v>
      </c>
      <c r="K280" s="23">
        <f t="shared" si="2"/>
        <v>46062</v>
      </c>
      <c r="L280" s="17">
        <f t="shared" si="3"/>
        <v>46065</v>
      </c>
      <c r="M280" s="17" t="str">
        <f t="shared" si="4"/>
        <v>2026-02</v>
      </c>
    </row>
    <row r="281" ht="15.75" customHeight="1">
      <c r="A281" s="19">
        <v>46065.0</v>
      </c>
      <c r="B281" s="20" t="s">
        <v>17</v>
      </c>
      <c r="C281" s="20">
        <v>107.0</v>
      </c>
      <c r="D281" s="21"/>
      <c r="E281" s="11">
        <f>IF(J281="","", C281 * IFERROR(VLOOKUP(J281, SETUP!$A:$D, 3, FALSE), 0))</f>
        <v>64.2</v>
      </c>
      <c r="F281" s="11">
        <f>IF(J281="","", C281 * IFERROR(VLOOKUP(J281, SETUP!$A:$D, 4, FALSE), 0))</f>
        <v>42.8</v>
      </c>
      <c r="G281" s="11">
        <f t="shared" si="1"/>
        <v>42.8</v>
      </c>
      <c r="H281" s="22"/>
      <c r="I281" s="11"/>
      <c r="J281" s="17" t="str">
        <f>IF(TRIM(B281)="","",IF(ISNUMBER(SEARCH(" - ",B281)),TRIM(RIGHT(B281,LEN(B281)-FIND(" - ",B281)-2)),IFERROR(VLOOKUP(UPPER(TRIM(B281)), SETUP!$B$4:$C$11, 2, FALSE), UPPER(TRIM(B281)))))</f>
        <v>RYAN</v>
      </c>
      <c r="K281" s="23">
        <f t="shared" si="2"/>
        <v>46062</v>
      </c>
      <c r="L281" s="17">
        <f t="shared" si="3"/>
        <v>46065</v>
      </c>
      <c r="M281" s="17" t="str">
        <f t="shared" si="4"/>
        <v>2026-02</v>
      </c>
    </row>
    <row r="282" ht="15.75" customHeight="1">
      <c r="A282" s="19">
        <v>46065.0</v>
      </c>
      <c r="B282" s="20" t="s">
        <v>17</v>
      </c>
      <c r="C282" s="20">
        <v>67.0</v>
      </c>
      <c r="D282" s="21"/>
      <c r="E282" s="11">
        <f>IF(J282="","", C282 * IFERROR(VLOOKUP(J282, SETUP!$A:$D, 3, FALSE), 0))</f>
        <v>40.2</v>
      </c>
      <c r="F282" s="11">
        <f>IF(J282="","", C282 * IFERROR(VLOOKUP(J282, SETUP!$A:$D, 4, FALSE), 0))</f>
        <v>26.8</v>
      </c>
      <c r="G282" s="11">
        <f t="shared" si="1"/>
        <v>26.8</v>
      </c>
      <c r="H282" s="22"/>
      <c r="I282" s="11"/>
      <c r="J282" s="17" t="str">
        <f>IF(TRIM(B282)="","",IF(ISNUMBER(SEARCH(" - ",B282)),TRIM(RIGHT(B282,LEN(B282)-FIND(" - ",B282)-2)),IFERROR(VLOOKUP(UPPER(TRIM(B282)), SETUP!$B$4:$C$11, 2, FALSE), UPPER(TRIM(B282)))))</f>
        <v>RYAN</v>
      </c>
      <c r="K282" s="23">
        <f t="shared" si="2"/>
        <v>46062</v>
      </c>
      <c r="L282" s="17">
        <f t="shared" si="3"/>
        <v>46065</v>
      </c>
      <c r="M282" s="17" t="str">
        <f t="shared" si="4"/>
        <v>2026-02</v>
      </c>
    </row>
    <row r="283" ht="15.75" customHeight="1">
      <c r="A283" s="19">
        <v>46065.0</v>
      </c>
      <c r="B283" s="20" t="s">
        <v>17</v>
      </c>
      <c r="C283" s="20">
        <v>77.0</v>
      </c>
      <c r="D283" s="21"/>
      <c r="E283" s="11">
        <f>IF(J283="","", C283 * IFERROR(VLOOKUP(J283, SETUP!$A:$D, 3, FALSE), 0))</f>
        <v>46.2</v>
      </c>
      <c r="F283" s="11">
        <f>IF(J283="","", C283 * IFERROR(VLOOKUP(J283, SETUP!$A:$D, 4, FALSE), 0))</f>
        <v>30.8</v>
      </c>
      <c r="G283" s="11">
        <f t="shared" si="1"/>
        <v>30.8</v>
      </c>
      <c r="H283" s="22"/>
      <c r="I283" s="11"/>
      <c r="J283" s="17" t="str">
        <f>IF(TRIM(B283)="","",IF(ISNUMBER(SEARCH(" - ",B283)),TRIM(RIGHT(B283,LEN(B283)-FIND(" - ",B283)-2)),IFERROR(VLOOKUP(UPPER(TRIM(B283)), SETUP!$B$4:$C$11, 2, FALSE), UPPER(TRIM(B283)))))</f>
        <v>RYAN</v>
      </c>
      <c r="K283" s="23">
        <f t="shared" si="2"/>
        <v>46062</v>
      </c>
      <c r="L283" s="17">
        <f t="shared" si="3"/>
        <v>46065</v>
      </c>
      <c r="M283" s="17" t="str">
        <f t="shared" si="4"/>
        <v>2026-02</v>
      </c>
    </row>
    <row r="284" ht="15.75" customHeight="1">
      <c r="A284" s="19">
        <v>46065.0</v>
      </c>
      <c r="B284" s="20" t="s">
        <v>17</v>
      </c>
      <c r="C284" s="20">
        <v>47.0</v>
      </c>
      <c r="D284" s="21"/>
      <c r="E284" s="11">
        <f>IF(J284="","", C284 * IFERROR(VLOOKUP(J284, SETUP!$A:$D, 3, FALSE), 0))</f>
        <v>28.2</v>
      </c>
      <c r="F284" s="11">
        <f>IF(J284="","", C284 * IFERROR(VLOOKUP(J284, SETUP!$A:$D, 4, FALSE), 0))</f>
        <v>18.8</v>
      </c>
      <c r="G284" s="11">
        <f t="shared" si="1"/>
        <v>18.8</v>
      </c>
      <c r="H284" s="22"/>
      <c r="I284" s="11"/>
      <c r="J284" s="17" t="str">
        <f>IF(TRIM(B284)="","",IF(ISNUMBER(SEARCH(" - ",B284)),TRIM(RIGHT(B284,LEN(B284)-FIND(" - ",B284)-2)),IFERROR(VLOOKUP(UPPER(TRIM(B284)), SETUP!$B$4:$C$11, 2, FALSE), UPPER(TRIM(B284)))))</f>
        <v>RYAN</v>
      </c>
      <c r="K284" s="23">
        <f t="shared" si="2"/>
        <v>46062</v>
      </c>
      <c r="L284" s="17">
        <f t="shared" si="3"/>
        <v>46065</v>
      </c>
      <c r="M284" s="17" t="str">
        <f t="shared" si="4"/>
        <v>2026-02</v>
      </c>
    </row>
    <row r="285" ht="15.75" customHeight="1">
      <c r="A285" s="19">
        <v>46065.0</v>
      </c>
      <c r="B285" s="20" t="s">
        <v>17</v>
      </c>
      <c r="C285" s="20">
        <v>67.0</v>
      </c>
      <c r="D285" s="21"/>
      <c r="E285" s="11">
        <f>IF(J285="","", C285 * IFERROR(VLOOKUP(J285, SETUP!$A:$D, 3, FALSE), 0))</f>
        <v>40.2</v>
      </c>
      <c r="F285" s="11">
        <f>IF(J285="","", C285 * IFERROR(VLOOKUP(J285, SETUP!$A:$D, 4, FALSE), 0))</f>
        <v>26.8</v>
      </c>
      <c r="G285" s="11">
        <f t="shared" si="1"/>
        <v>26.8</v>
      </c>
      <c r="H285" s="22"/>
      <c r="I285" s="11"/>
      <c r="J285" s="17" t="str">
        <f>IF(TRIM(B285)="","",IF(ISNUMBER(SEARCH(" - ",B285)),TRIM(RIGHT(B285,LEN(B285)-FIND(" - ",B285)-2)),IFERROR(VLOOKUP(UPPER(TRIM(B285)), SETUP!$B$4:$C$11, 2, FALSE), UPPER(TRIM(B285)))))</f>
        <v>RYAN</v>
      </c>
      <c r="K285" s="23">
        <f t="shared" si="2"/>
        <v>46062</v>
      </c>
      <c r="L285" s="17">
        <f t="shared" si="3"/>
        <v>46065</v>
      </c>
      <c r="M285" s="17" t="str">
        <f t="shared" si="4"/>
        <v>2026-02</v>
      </c>
    </row>
    <row r="286" ht="15.75" customHeight="1">
      <c r="A286" s="19">
        <v>46065.0</v>
      </c>
      <c r="B286" s="20" t="s">
        <v>18</v>
      </c>
      <c r="C286" s="20">
        <v>40.0</v>
      </c>
      <c r="D286" s="21"/>
      <c r="E286" s="11">
        <f>IF(J286="","", C286 * IFERROR(VLOOKUP(J286, SETUP!$A:$D, 3, FALSE), 0))</f>
        <v>20</v>
      </c>
      <c r="F286" s="11">
        <f>IF(J286="","", C286 * IFERROR(VLOOKUP(J286, SETUP!$A:$D, 4, FALSE), 0))</f>
        <v>20</v>
      </c>
      <c r="G286" s="11">
        <f t="shared" si="1"/>
        <v>20</v>
      </c>
      <c r="H286" s="22"/>
      <c r="I286" s="11"/>
      <c r="J286" s="17" t="str">
        <f>IF(TRIM(B286)="","",IF(ISNUMBER(SEARCH(" - ",B286)),TRIM(RIGHT(B286,LEN(B286)-FIND(" - ",B286)-2)),IFERROR(VLOOKUP(UPPER(TRIM(B286)), SETUP!$B$4:$C$11, 2, FALSE), UPPER(TRIM(B286)))))</f>
        <v>CRIS</v>
      </c>
      <c r="K286" s="23">
        <f t="shared" si="2"/>
        <v>46062</v>
      </c>
      <c r="L286" s="17">
        <f t="shared" si="3"/>
        <v>46065</v>
      </c>
      <c r="M286" s="17" t="str">
        <f t="shared" si="4"/>
        <v>2026-02</v>
      </c>
    </row>
    <row r="287" ht="15.75" customHeight="1">
      <c r="A287" s="19">
        <v>46065.0</v>
      </c>
      <c r="B287" s="20" t="s">
        <v>18</v>
      </c>
      <c r="C287" s="20">
        <v>85.0</v>
      </c>
      <c r="D287" s="21"/>
      <c r="E287" s="11">
        <f>IF(J287="","", C287 * IFERROR(VLOOKUP(J287, SETUP!$A:$D, 3, FALSE), 0))</f>
        <v>42.5</v>
      </c>
      <c r="F287" s="11">
        <f>IF(J287="","", C287 * IFERROR(VLOOKUP(J287, SETUP!$A:$D, 4, FALSE), 0))</f>
        <v>42.5</v>
      </c>
      <c r="G287" s="11">
        <f t="shared" si="1"/>
        <v>42.5</v>
      </c>
      <c r="H287" s="22"/>
      <c r="I287" s="11"/>
      <c r="J287" s="17" t="str">
        <f>IF(TRIM(B287)="","",IF(ISNUMBER(SEARCH(" - ",B287)),TRIM(RIGHT(B287,LEN(B287)-FIND(" - ",B287)-2)),IFERROR(VLOOKUP(UPPER(TRIM(B287)), SETUP!$B$4:$C$11, 2, FALSE), UPPER(TRIM(B287)))))</f>
        <v>CRIS</v>
      </c>
      <c r="K287" s="23">
        <f t="shared" si="2"/>
        <v>46062</v>
      </c>
      <c r="L287" s="17">
        <f t="shared" si="3"/>
        <v>46065</v>
      </c>
      <c r="M287" s="17" t="str">
        <f t="shared" si="4"/>
        <v>2026-02</v>
      </c>
    </row>
    <row r="288" ht="15.75" customHeight="1">
      <c r="A288" s="19">
        <v>46065.0</v>
      </c>
      <c r="B288" s="20" t="s">
        <v>18</v>
      </c>
      <c r="C288" s="20">
        <v>40.0</v>
      </c>
      <c r="D288" s="21"/>
      <c r="E288" s="11">
        <f>IF(J288="","", C288 * IFERROR(VLOOKUP(J288, SETUP!$A:$D, 3, FALSE), 0))</f>
        <v>20</v>
      </c>
      <c r="F288" s="11">
        <f>IF(J288="","", C288 * IFERROR(VLOOKUP(J288, SETUP!$A:$D, 4, FALSE), 0))</f>
        <v>20</v>
      </c>
      <c r="G288" s="11">
        <f t="shared" si="1"/>
        <v>20</v>
      </c>
      <c r="H288" s="22"/>
      <c r="I288" s="11"/>
      <c r="J288" s="17" t="str">
        <f>IF(TRIM(B288)="","",IF(ISNUMBER(SEARCH(" - ",B288)),TRIM(RIGHT(B288,LEN(B288)-FIND(" - ",B288)-2)),IFERROR(VLOOKUP(UPPER(TRIM(B288)), SETUP!$B$4:$C$11, 2, FALSE), UPPER(TRIM(B288)))))</f>
        <v>CRIS</v>
      </c>
      <c r="K288" s="23">
        <f t="shared" si="2"/>
        <v>46062</v>
      </c>
      <c r="L288" s="17">
        <f t="shared" si="3"/>
        <v>46065</v>
      </c>
      <c r="M288" s="17" t="str">
        <f t="shared" si="4"/>
        <v>2026-02</v>
      </c>
    </row>
    <row r="289" ht="15.75" customHeight="1">
      <c r="A289" s="19">
        <v>46065.0</v>
      </c>
      <c r="B289" s="20" t="s">
        <v>18</v>
      </c>
      <c r="C289" s="20">
        <v>85.0</v>
      </c>
      <c r="D289" s="21"/>
      <c r="E289" s="11">
        <f>IF(J289="","", C289 * IFERROR(VLOOKUP(J289, SETUP!$A:$D, 3, FALSE), 0))</f>
        <v>42.5</v>
      </c>
      <c r="F289" s="11">
        <f>IF(J289="","", C289 * IFERROR(VLOOKUP(J289, SETUP!$A:$D, 4, FALSE), 0))</f>
        <v>42.5</v>
      </c>
      <c r="G289" s="11">
        <f t="shared" si="1"/>
        <v>42.5</v>
      </c>
      <c r="H289" s="22"/>
      <c r="I289" s="11"/>
      <c r="J289" s="17" t="str">
        <f>IF(TRIM(B289)="","",IF(ISNUMBER(SEARCH(" - ",B289)),TRIM(RIGHT(B289,LEN(B289)-FIND(" - ",B289)-2)),IFERROR(VLOOKUP(UPPER(TRIM(B289)), SETUP!$B$4:$C$11, 2, FALSE), UPPER(TRIM(B289)))))</f>
        <v>CRIS</v>
      </c>
      <c r="K289" s="23">
        <f t="shared" si="2"/>
        <v>46062</v>
      </c>
      <c r="L289" s="17">
        <f t="shared" si="3"/>
        <v>46065</v>
      </c>
      <c r="M289" s="17" t="str">
        <f t="shared" si="4"/>
        <v>2026-02</v>
      </c>
    </row>
    <row r="290" ht="15.75" customHeight="1">
      <c r="A290" s="19">
        <v>46065.0</v>
      </c>
      <c r="B290" s="20" t="s">
        <v>19</v>
      </c>
      <c r="C290" s="20">
        <v>50.0</v>
      </c>
      <c r="D290" s="21"/>
      <c r="E290" s="11">
        <f>IF(J290="","", C290 * IFERROR(VLOOKUP(J290, SETUP!$A:$D, 3, FALSE), 0))</f>
        <v>0</v>
      </c>
      <c r="F290" s="11">
        <f>IF(J290="","", C290 * IFERROR(VLOOKUP(J290, SETUP!$A:$D, 4, FALSE), 0))</f>
        <v>50</v>
      </c>
      <c r="G290" s="11">
        <f t="shared" si="1"/>
        <v>50</v>
      </c>
      <c r="H290" s="22"/>
      <c r="I290" s="11"/>
      <c r="J290" s="17" t="str">
        <f>IF(TRIM(B290)="","",IF(ISNUMBER(SEARCH(" - ",B290)),TRIM(RIGHT(B290,LEN(B290)-FIND(" - ",B290)-2)),IFERROR(VLOOKUP(UPPER(TRIM(B290)), SETUP!$B$4:$C$11, 2, FALSE), UPPER(TRIM(B290)))))</f>
        <v>HANNI</v>
      </c>
      <c r="K290" s="23">
        <f t="shared" si="2"/>
        <v>46062</v>
      </c>
      <c r="L290" s="17">
        <f t="shared" si="3"/>
        <v>46065</v>
      </c>
      <c r="M290" s="17" t="str">
        <f t="shared" si="4"/>
        <v>2026-02</v>
      </c>
    </row>
    <row r="291" ht="15.75" customHeight="1">
      <c r="A291" s="19">
        <v>46065.0</v>
      </c>
      <c r="B291" s="20" t="s">
        <v>19</v>
      </c>
      <c r="C291" s="20">
        <v>57.0</v>
      </c>
      <c r="D291" s="21"/>
      <c r="E291" s="11">
        <f>IF(J291="","", C291 * IFERROR(VLOOKUP(J291, SETUP!$A:$D, 3, FALSE), 0))</f>
        <v>0</v>
      </c>
      <c r="F291" s="11">
        <f>IF(J291="","", C291 * IFERROR(VLOOKUP(J291, SETUP!$A:$D, 4, FALSE), 0))</f>
        <v>57</v>
      </c>
      <c r="G291" s="11">
        <f t="shared" si="1"/>
        <v>57</v>
      </c>
      <c r="H291" s="22"/>
      <c r="I291" s="11"/>
      <c r="J291" s="17" t="str">
        <f>IF(TRIM(B291)="","",IF(ISNUMBER(SEARCH(" - ",B291)),TRIM(RIGHT(B291,LEN(B291)-FIND(" - ",B291)-2)),IFERROR(VLOOKUP(UPPER(TRIM(B291)), SETUP!$B$4:$C$11, 2, FALSE), UPPER(TRIM(B291)))))</f>
        <v>HANNI</v>
      </c>
      <c r="K291" s="23">
        <f t="shared" si="2"/>
        <v>46062</v>
      </c>
      <c r="L291" s="17">
        <f t="shared" si="3"/>
        <v>46065</v>
      </c>
      <c r="M291" s="17" t="str">
        <f t="shared" si="4"/>
        <v>2026-02</v>
      </c>
    </row>
    <row r="292" ht="15.75" customHeight="1">
      <c r="A292" s="19">
        <v>46065.0</v>
      </c>
      <c r="B292" s="20" t="s">
        <v>19</v>
      </c>
      <c r="C292" s="20">
        <v>70.0</v>
      </c>
      <c r="D292" s="21"/>
      <c r="E292" s="11">
        <f>IF(J292="","", C292 * IFERROR(VLOOKUP(J292, SETUP!$A:$D, 3, FALSE), 0))</f>
        <v>0</v>
      </c>
      <c r="F292" s="11">
        <f>IF(J292="","", C292 * IFERROR(VLOOKUP(J292, SETUP!$A:$D, 4, FALSE), 0))</f>
        <v>70</v>
      </c>
      <c r="G292" s="11">
        <f t="shared" si="1"/>
        <v>70</v>
      </c>
      <c r="H292" s="22"/>
      <c r="I292" s="11"/>
      <c r="J292" s="17" t="str">
        <f>IF(TRIM(B292)="","",IF(ISNUMBER(SEARCH(" - ",B292)),TRIM(RIGHT(B292,LEN(B292)-FIND(" - ",B292)-2)),IFERROR(VLOOKUP(UPPER(TRIM(B292)), SETUP!$B$4:$C$11, 2, FALSE), UPPER(TRIM(B292)))))</f>
        <v>HANNI</v>
      </c>
      <c r="K292" s="23">
        <f t="shared" si="2"/>
        <v>46062</v>
      </c>
      <c r="L292" s="17">
        <f t="shared" si="3"/>
        <v>46065</v>
      </c>
      <c r="M292" s="17" t="str">
        <f t="shared" si="4"/>
        <v>2026-02</v>
      </c>
    </row>
    <row r="293" ht="15.75" customHeight="1">
      <c r="A293" s="19">
        <v>46065.0</v>
      </c>
      <c r="B293" s="20" t="s">
        <v>19</v>
      </c>
      <c r="C293" s="20">
        <v>75.0</v>
      </c>
      <c r="D293" s="21"/>
      <c r="E293" s="11">
        <f>IF(J293="","", C293 * IFERROR(VLOOKUP(J293, SETUP!$A:$D, 3, FALSE), 0))</f>
        <v>0</v>
      </c>
      <c r="F293" s="11">
        <f>IF(J293="","", C293 * IFERROR(VLOOKUP(J293, SETUP!$A:$D, 4, FALSE), 0))</f>
        <v>75</v>
      </c>
      <c r="G293" s="11">
        <f t="shared" si="1"/>
        <v>75</v>
      </c>
      <c r="H293" s="22"/>
      <c r="I293" s="11"/>
      <c r="J293" s="17" t="str">
        <f>IF(TRIM(B293)="","",IF(ISNUMBER(SEARCH(" - ",B293)),TRIM(RIGHT(B293,LEN(B293)-FIND(" - ",B293)-2)),IFERROR(VLOOKUP(UPPER(TRIM(B293)), SETUP!$B$4:$C$11, 2, FALSE), UPPER(TRIM(B293)))))</f>
        <v>HANNI</v>
      </c>
      <c r="K293" s="23">
        <f t="shared" si="2"/>
        <v>46062</v>
      </c>
      <c r="L293" s="17">
        <f t="shared" si="3"/>
        <v>46065</v>
      </c>
      <c r="M293" s="17" t="str">
        <f t="shared" si="4"/>
        <v>2026-02</v>
      </c>
    </row>
    <row r="294" ht="15.75" customHeight="1">
      <c r="A294" s="19">
        <v>46065.0</v>
      </c>
      <c r="B294" s="20" t="s">
        <v>20</v>
      </c>
      <c r="C294" s="20">
        <v>65.0</v>
      </c>
      <c r="D294" s="21"/>
      <c r="E294" s="11">
        <f>IF(J294="","", C294 * IFERROR(VLOOKUP(J294, SETUP!$A:$D, 3, FALSE), 0))</f>
        <v>39</v>
      </c>
      <c r="F294" s="11">
        <f>IF(J294="","", C294 * IFERROR(VLOOKUP(J294, SETUP!$A:$D, 4, FALSE), 0))</f>
        <v>26</v>
      </c>
      <c r="G294" s="11">
        <f t="shared" si="1"/>
        <v>26</v>
      </c>
      <c r="H294" s="22"/>
      <c r="I294" s="11"/>
      <c r="J294" s="17" t="str">
        <f>IF(TRIM(B294)="","",IF(ISNUMBER(SEARCH(" - ",B294)),TRIM(RIGHT(B294,LEN(B294)-FIND(" - ",B294)-2)),IFERROR(VLOOKUP(UPPER(TRIM(B294)), SETUP!$B$4:$C$11, 2, FALSE), UPPER(TRIM(B294)))))</f>
        <v>AMY</v>
      </c>
      <c r="K294" s="23">
        <f t="shared" si="2"/>
        <v>46062</v>
      </c>
      <c r="L294" s="17">
        <f t="shared" si="3"/>
        <v>46065</v>
      </c>
      <c r="M294" s="17" t="str">
        <f t="shared" si="4"/>
        <v>2026-02</v>
      </c>
    </row>
    <row r="295" ht="15.75" customHeight="1">
      <c r="A295" s="19">
        <v>46065.0</v>
      </c>
      <c r="B295" s="20" t="s">
        <v>20</v>
      </c>
      <c r="C295" s="20">
        <v>77.0</v>
      </c>
      <c r="D295" s="21"/>
      <c r="E295" s="11">
        <f>IF(J295="","", C295 * IFERROR(VLOOKUP(J295, SETUP!$A:$D, 3, FALSE), 0))</f>
        <v>46.2</v>
      </c>
      <c r="F295" s="11">
        <f>IF(J295="","", C295 * IFERROR(VLOOKUP(J295, SETUP!$A:$D, 4, FALSE), 0))</f>
        <v>30.8</v>
      </c>
      <c r="G295" s="11">
        <f t="shared" si="1"/>
        <v>30.8</v>
      </c>
      <c r="H295" s="22"/>
      <c r="I295" s="11"/>
      <c r="J295" s="17" t="str">
        <f>IF(TRIM(B295)="","",IF(ISNUMBER(SEARCH(" - ",B295)),TRIM(RIGHT(B295,LEN(B295)-FIND(" - ",B295)-2)),IFERROR(VLOOKUP(UPPER(TRIM(B295)), SETUP!$B$4:$C$11, 2, FALSE), UPPER(TRIM(B295)))))</f>
        <v>AMY</v>
      </c>
      <c r="K295" s="23">
        <f t="shared" si="2"/>
        <v>46062</v>
      </c>
      <c r="L295" s="17">
        <f t="shared" si="3"/>
        <v>46065</v>
      </c>
      <c r="M295" s="17" t="str">
        <f t="shared" si="4"/>
        <v>2026-02</v>
      </c>
    </row>
    <row r="296" ht="15.75" customHeight="1">
      <c r="A296" s="19">
        <v>46065.0</v>
      </c>
      <c r="B296" s="20" t="s">
        <v>20</v>
      </c>
      <c r="C296" s="20">
        <v>40.0</v>
      </c>
      <c r="D296" s="21"/>
      <c r="E296" s="11">
        <f>IF(J296="","", C296 * IFERROR(VLOOKUP(J296, SETUP!$A:$D, 3, FALSE), 0))</f>
        <v>24</v>
      </c>
      <c r="F296" s="11">
        <f>IF(J296="","", C296 * IFERROR(VLOOKUP(J296, SETUP!$A:$D, 4, FALSE), 0))</f>
        <v>16</v>
      </c>
      <c r="G296" s="11">
        <f t="shared" si="1"/>
        <v>16</v>
      </c>
      <c r="H296" s="22"/>
      <c r="I296" s="11"/>
      <c r="J296" s="17" t="str">
        <f>IF(TRIM(B296)="","",IF(ISNUMBER(SEARCH(" - ",B296)),TRIM(RIGHT(B296,LEN(B296)-FIND(" - ",B296)-2)),IFERROR(VLOOKUP(UPPER(TRIM(B296)), SETUP!$B$4:$C$11, 2, FALSE), UPPER(TRIM(B296)))))</f>
        <v>AMY</v>
      </c>
      <c r="K296" s="23">
        <f t="shared" si="2"/>
        <v>46062</v>
      </c>
      <c r="L296" s="17">
        <f t="shared" si="3"/>
        <v>46065</v>
      </c>
      <c r="M296" s="17" t="str">
        <f t="shared" si="4"/>
        <v>2026-02</v>
      </c>
    </row>
    <row r="297" ht="15.75" customHeight="1">
      <c r="A297" s="19">
        <v>46065.0</v>
      </c>
      <c r="B297" s="20" t="s">
        <v>20</v>
      </c>
      <c r="C297" s="20">
        <v>62.0</v>
      </c>
      <c r="D297" s="21"/>
      <c r="E297" s="11">
        <f>IF(J297="","", C297 * IFERROR(VLOOKUP(J297, SETUP!$A:$D, 3, FALSE), 0))</f>
        <v>37.2</v>
      </c>
      <c r="F297" s="11">
        <f>IF(J297="","", C297 * IFERROR(VLOOKUP(J297, SETUP!$A:$D, 4, FALSE), 0))</f>
        <v>24.8</v>
      </c>
      <c r="G297" s="11">
        <f t="shared" si="1"/>
        <v>24.8</v>
      </c>
      <c r="H297" s="22"/>
      <c r="I297" s="11"/>
      <c r="J297" s="17" t="str">
        <f>IF(TRIM(B297)="","",IF(ISNUMBER(SEARCH(" - ",B297)),TRIM(RIGHT(B297,LEN(B297)-FIND(" - ",B297)-2)),IFERROR(VLOOKUP(UPPER(TRIM(B297)), SETUP!$B$4:$C$11, 2, FALSE), UPPER(TRIM(B297)))))</f>
        <v>AMY</v>
      </c>
      <c r="K297" s="23">
        <f t="shared" si="2"/>
        <v>46062</v>
      </c>
      <c r="L297" s="17">
        <f t="shared" si="3"/>
        <v>46065</v>
      </c>
      <c r="M297" s="17" t="str">
        <f t="shared" si="4"/>
        <v>2026-02</v>
      </c>
    </row>
    <row r="298" ht="15.75" customHeight="1">
      <c r="A298" s="19">
        <v>46065.0</v>
      </c>
      <c r="B298" s="20" t="s">
        <v>20</v>
      </c>
      <c r="C298" s="20">
        <v>62.0</v>
      </c>
      <c r="D298" s="21"/>
      <c r="E298" s="11">
        <f>IF(J298="","", C298 * IFERROR(VLOOKUP(J298, SETUP!$A:$D, 3, FALSE), 0))</f>
        <v>37.2</v>
      </c>
      <c r="F298" s="11">
        <f>IF(J298="","", C298 * IFERROR(VLOOKUP(J298, SETUP!$A:$D, 4, FALSE), 0))</f>
        <v>24.8</v>
      </c>
      <c r="G298" s="11">
        <f t="shared" si="1"/>
        <v>24.8</v>
      </c>
      <c r="H298" s="22"/>
      <c r="I298" s="11"/>
      <c r="J298" s="17" t="str">
        <f>IF(TRIM(B298)="","",IF(ISNUMBER(SEARCH(" - ",B298)),TRIM(RIGHT(B298,LEN(B298)-FIND(" - ",B298)-2)),IFERROR(VLOOKUP(UPPER(TRIM(B298)), SETUP!$B$4:$C$11, 2, FALSE), UPPER(TRIM(B298)))))</f>
        <v>AMY</v>
      </c>
      <c r="K298" s="23">
        <f t="shared" si="2"/>
        <v>46062</v>
      </c>
      <c r="L298" s="17">
        <f t="shared" si="3"/>
        <v>46065</v>
      </c>
      <c r="M298" s="17" t="str">
        <f t="shared" si="4"/>
        <v>2026-02</v>
      </c>
    </row>
    <row r="299" ht="15.75" customHeight="1">
      <c r="A299" s="19">
        <v>46065.0</v>
      </c>
      <c r="B299" s="20" t="s">
        <v>20</v>
      </c>
      <c r="C299" s="20">
        <v>47.0</v>
      </c>
      <c r="D299" s="21"/>
      <c r="E299" s="11">
        <f>IF(J299="","", C299 * IFERROR(VLOOKUP(J299, SETUP!$A:$D, 3, FALSE), 0))</f>
        <v>28.2</v>
      </c>
      <c r="F299" s="11">
        <f>IF(J299="","", C299 * IFERROR(VLOOKUP(J299, SETUP!$A:$D, 4, FALSE), 0))</f>
        <v>18.8</v>
      </c>
      <c r="G299" s="11">
        <f t="shared" si="1"/>
        <v>18.8</v>
      </c>
      <c r="H299" s="22"/>
      <c r="I299" s="11"/>
      <c r="J299" s="17" t="str">
        <f>IF(TRIM(B299)="","",IF(ISNUMBER(SEARCH(" - ",B299)),TRIM(RIGHT(B299,LEN(B299)-FIND(" - ",B299)-2)),IFERROR(VLOOKUP(UPPER(TRIM(B299)), SETUP!$B$4:$C$11, 2, FALSE), UPPER(TRIM(B299)))))</f>
        <v>AMY</v>
      </c>
      <c r="K299" s="23">
        <f t="shared" si="2"/>
        <v>46062</v>
      </c>
      <c r="L299" s="17">
        <f t="shared" si="3"/>
        <v>46065</v>
      </c>
      <c r="M299" s="17" t="str">
        <f t="shared" si="4"/>
        <v>2026-02</v>
      </c>
    </row>
    <row r="300" ht="15.75" customHeight="1">
      <c r="A300" s="19">
        <v>46065.0</v>
      </c>
      <c r="B300" s="20" t="s">
        <v>20</v>
      </c>
      <c r="C300" s="20">
        <v>72.0</v>
      </c>
      <c r="D300" s="21"/>
      <c r="E300" s="11">
        <f>IF(J300="","", C300 * IFERROR(VLOOKUP(J300, SETUP!$A:$D, 3, FALSE), 0))</f>
        <v>43.2</v>
      </c>
      <c r="F300" s="11">
        <f>IF(J300="","", C300 * IFERROR(VLOOKUP(J300, SETUP!$A:$D, 4, FALSE), 0))</f>
        <v>28.8</v>
      </c>
      <c r="G300" s="11">
        <f t="shared" si="1"/>
        <v>28.8</v>
      </c>
      <c r="H300" s="22"/>
      <c r="I300" s="11"/>
      <c r="J300" s="17" t="str">
        <f>IF(TRIM(B300)="","",IF(ISNUMBER(SEARCH(" - ",B300)),TRIM(RIGHT(B300,LEN(B300)-FIND(" - ",B300)-2)),IFERROR(VLOOKUP(UPPER(TRIM(B300)), SETUP!$B$4:$C$11, 2, FALSE), UPPER(TRIM(B300)))))</f>
        <v>AMY</v>
      </c>
      <c r="K300" s="23">
        <f t="shared" si="2"/>
        <v>46062</v>
      </c>
      <c r="L300" s="17">
        <f t="shared" si="3"/>
        <v>46065</v>
      </c>
      <c r="M300" s="17" t="str">
        <f t="shared" si="4"/>
        <v>2026-02</v>
      </c>
    </row>
    <row r="301" ht="15.75" customHeight="1">
      <c r="A301" s="19">
        <v>46065.0</v>
      </c>
      <c r="B301" s="20" t="s">
        <v>20</v>
      </c>
      <c r="C301" s="20">
        <v>67.0</v>
      </c>
      <c r="D301" s="21"/>
      <c r="E301" s="11">
        <f>IF(J301="","", C301 * IFERROR(VLOOKUP(J301, SETUP!$A:$D, 3, FALSE), 0))</f>
        <v>40.2</v>
      </c>
      <c r="F301" s="11">
        <f>IF(J301="","", C301 * IFERROR(VLOOKUP(J301, SETUP!$A:$D, 4, FALSE), 0))</f>
        <v>26.8</v>
      </c>
      <c r="G301" s="11">
        <f t="shared" si="1"/>
        <v>26.8</v>
      </c>
      <c r="H301" s="22"/>
      <c r="I301" s="11"/>
      <c r="J301" s="17" t="str">
        <f>IF(TRIM(B301)="","",IF(ISNUMBER(SEARCH(" - ",B301)),TRIM(RIGHT(B301,LEN(B301)-FIND(" - ",B301)-2)),IFERROR(VLOOKUP(UPPER(TRIM(B301)), SETUP!$B$4:$C$11, 2, FALSE), UPPER(TRIM(B301)))))</f>
        <v>AMY</v>
      </c>
      <c r="K301" s="23">
        <f t="shared" si="2"/>
        <v>46062</v>
      </c>
      <c r="L301" s="17">
        <f t="shared" si="3"/>
        <v>46065</v>
      </c>
      <c r="M301" s="17" t="str">
        <f t="shared" si="4"/>
        <v>2026-02</v>
      </c>
    </row>
    <row r="302" ht="15.75" customHeight="1">
      <c r="A302" s="19">
        <v>46065.0</v>
      </c>
      <c r="B302" s="20" t="s">
        <v>21</v>
      </c>
      <c r="C302" s="20">
        <v>47.0</v>
      </c>
      <c r="D302" s="21"/>
      <c r="E302" s="11">
        <f>IF(J302="","", C302 * IFERROR(VLOOKUP(J302, SETUP!$A:$D, 3, FALSE), 0))</f>
        <v>28.2</v>
      </c>
      <c r="F302" s="11">
        <f>IF(J302="","", C302 * IFERROR(VLOOKUP(J302, SETUP!$A:$D, 4, FALSE), 0))</f>
        <v>18.8</v>
      </c>
      <c r="G302" s="11">
        <f t="shared" si="1"/>
        <v>18.8</v>
      </c>
      <c r="H302" s="22"/>
      <c r="I302" s="11"/>
      <c r="J302" s="17" t="str">
        <f>IF(TRIM(B302)="","",IF(ISNUMBER(SEARCH(" - ",B302)),TRIM(RIGHT(B302,LEN(B302)-FIND(" - ",B302)-2)),IFERROR(VLOOKUP(UPPER(TRIM(B302)), SETUP!$B$4:$C$11, 2, FALSE), UPPER(TRIM(B302)))))</f>
        <v>TONY</v>
      </c>
      <c r="K302" s="23">
        <f t="shared" si="2"/>
        <v>46062</v>
      </c>
      <c r="L302" s="17">
        <f t="shared" si="3"/>
        <v>46065</v>
      </c>
      <c r="M302" s="17" t="str">
        <f t="shared" si="4"/>
        <v>2026-02</v>
      </c>
    </row>
    <row r="303" ht="15.75" customHeight="1">
      <c r="A303" s="19">
        <v>46065.0</v>
      </c>
      <c r="B303" s="20" t="s">
        <v>21</v>
      </c>
      <c r="C303" s="20">
        <v>60.0</v>
      </c>
      <c r="D303" s="21"/>
      <c r="E303" s="11">
        <f>IF(J303="","", C303 * IFERROR(VLOOKUP(J303, SETUP!$A:$D, 3, FALSE), 0))</f>
        <v>36</v>
      </c>
      <c r="F303" s="11">
        <f>IF(J303="","", C303 * IFERROR(VLOOKUP(J303, SETUP!$A:$D, 4, FALSE), 0))</f>
        <v>24</v>
      </c>
      <c r="G303" s="11">
        <f t="shared" si="1"/>
        <v>24</v>
      </c>
      <c r="H303" s="22"/>
      <c r="I303" s="11"/>
      <c r="J303" s="17" t="str">
        <f>IF(TRIM(B303)="","",IF(ISNUMBER(SEARCH(" - ",B303)),TRIM(RIGHT(B303,LEN(B303)-FIND(" - ",B303)-2)),IFERROR(VLOOKUP(UPPER(TRIM(B303)), SETUP!$B$4:$C$11, 2, FALSE), UPPER(TRIM(B303)))))</f>
        <v>TONY</v>
      </c>
      <c r="K303" s="23">
        <f t="shared" si="2"/>
        <v>46062</v>
      </c>
      <c r="L303" s="17">
        <f t="shared" si="3"/>
        <v>46065</v>
      </c>
      <c r="M303" s="17" t="str">
        <f t="shared" si="4"/>
        <v>2026-02</v>
      </c>
    </row>
    <row r="304" ht="15.75" customHeight="1">
      <c r="A304" s="19">
        <v>46065.0</v>
      </c>
      <c r="B304" s="20" t="s">
        <v>21</v>
      </c>
      <c r="C304" s="20">
        <v>57.0</v>
      </c>
      <c r="D304" s="21"/>
      <c r="E304" s="11">
        <f>IF(J304="","", C304 * IFERROR(VLOOKUP(J304, SETUP!$A:$D, 3, FALSE), 0))</f>
        <v>34.2</v>
      </c>
      <c r="F304" s="11">
        <f>IF(J304="","", C304 * IFERROR(VLOOKUP(J304, SETUP!$A:$D, 4, FALSE), 0))</f>
        <v>22.8</v>
      </c>
      <c r="G304" s="11">
        <f t="shared" si="1"/>
        <v>22.8</v>
      </c>
      <c r="H304" s="22"/>
      <c r="I304" s="11"/>
      <c r="J304" s="17" t="str">
        <f>IF(TRIM(B304)="","",IF(ISNUMBER(SEARCH(" - ",B304)),TRIM(RIGHT(B304,LEN(B304)-FIND(" - ",B304)-2)),IFERROR(VLOOKUP(UPPER(TRIM(B304)), SETUP!$B$4:$C$11, 2, FALSE), UPPER(TRIM(B304)))))</f>
        <v>TONY</v>
      </c>
      <c r="K304" s="23">
        <f t="shared" si="2"/>
        <v>46062</v>
      </c>
      <c r="L304" s="17">
        <f t="shared" si="3"/>
        <v>46065</v>
      </c>
      <c r="M304" s="17" t="str">
        <f t="shared" si="4"/>
        <v>2026-02</v>
      </c>
    </row>
    <row r="305" ht="15.75" customHeight="1">
      <c r="A305" s="19">
        <v>46065.0</v>
      </c>
      <c r="B305" s="20" t="s">
        <v>21</v>
      </c>
      <c r="C305" s="20">
        <v>47.0</v>
      </c>
      <c r="D305" s="21"/>
      <c r="E305" s="11">
        <f>IF(J305="","", C305 * IFERROR(VLOOKUP(J305, SETUP!$A:$D, 3, FALSE), 0))</f>
        <v>28.2</v>
      </c>
      <c r="F305" s="11">
        <f>IF(J305="","", C305 * IFERROR(VLOOKUP(J305, SETUP!$A:$D, 4, FALSE), 0))</f>
        <v>18.8</v>
      </c>
      <c r="G305" s="11">
        <f t="shared" si="1"/>
        <v>18.8</v>
      </c>
      <c r="H305" s="22"/>
      <c r="I305" s="11"/>
      <c r="J305" s="17" t="str">
        <f>IF(TRIM(B305)="","",IF(ISNUMBER(SEARCH(" - ",B305)),TRIM(RIGHT(B305,LEN(B305)-FIND(" - ",B305)-2)),IFERROR(VLOOKUP(UPPER(TRIM(B305)), SETUP!$B$4:$C$11, 2, FALSE), UPPER(TRIM(B305)))))</f>
        <v>TONY</v>
      </c>
      <c r="K305" s="23">
        <f t="shared" si="2"/>
        <v>46062</v>
      </c>
      <c r="L305" s="17">
        <f t="shared" si="3"/>
        <v>46065</v>
      </c>
      <c r="M305" s="17" t="str">
        <f t="shared" si="4"/>
        <v>2026-02</v>
      </c>
    </row>
    <row r="306" ht="15.75" customHeight="1">
      <c r="A306" s="19">
        <v>46065.0</v>
      </c>
      <c r="B306" s="20" t="s">
        <v>21</v>
      </c>
      <c r="C306" s="20">
        <v>62.0</v>
      </c>
      <c r="D306" s="21"/>
      <c r="E306" s="11">
        <f>IF(J306="","", C306 * IFERROR(VLOOKUP(J306, SETUP!$A:$D, 3, FALSE), 0))</f>
        <v>37.2</v>
      </c>
      <c r="F306" s="11">
        <f>IF(J306="","", C306 * IFERROR(VLOOKUP(J306, SETUP!$A:$D, 4, FALSE), 0))</f>
        <v>24.8</v>
      </c>
      <c r="G306" s="11">
        <f t="shared" si="1"/>
        <v>24.8</v>
      </c>
      <c r="H306" s="22"/>
      <c r="I306" s="11"/>
      <c r="J306" s="17" t="str">
        <f>IF(TRIM(B306)="","",IF(ISNUMBER(SEARCH(" - ",B306)),TRIM(RIGHT(B306,LEN(B306)-FIND(" - ",B306)-2)),IFERROR(VLOOKUP(UPPER(TRIM(B306)), SETUP!$B$4:$C$11, 2, FALSE), UPPER(TRIM(B306)))))</f>
        <v>TONY</v>
      </c>
      <c r="K306" s="23">
        <f t="shared" si="2"/>
        <v>46062</v>
      </c>
      <c r="L306" s="17">
        <f t="shared" si="3"/>
        <v>46065</v>
      </c>
      <c r="M306" s="17" t="str">
        <f t="shared" si="4"/>
        <v>2026-02</v>
      </c>
    </row>
    <row r="307" ht="15.75" customHeight="1">
      <c r="A307" s="19">
        <v>46065.0</v>
      </c>
      <c r="B307" s="20" t="s">
        <v>21</v>
      </c>
      <c r="C307" s="20">
        <v>62.0</v>
      </c>
      <c r="D307" s="21"/>
      <c r="E307" s="11">
        <f>IF(J307="","", C307 * IFERROR(VLOOKUP(J307, SETUP!$A:$D, 3, FALSE), 0))</f>
        <v>37.2</v>
      </c>
      <c r="F307" s="11">
        <f>IF(J307="","", C307 * IFERROR(VLOOKUP(J307, SETUP!$A:$D, 4, FALSE), 0))</f>
        <v>24.8</v>
      </c>
      <c r="G307" s="11">
        <f t="shared" si="1"/>
        <v>24.8</v>
      </c>
      <c r="H307" s="22"/>
      <c r="I307" s="11"/>
      <c r="J307" s="17" t="str">
        <f>IF(TRIM(B307)="","",IF(ISNUMBER(SEARCH(" - ",B307)),TRIM(RIGHT(B307,LEN(B307)-FIND(" - ",B307)-2)),IFERROR(VLOOKUP(UPPER(TRIM(B307)), SETUP!$B$4:$C$11, 2, FALSE), UPPER(TRIM(B307)))))</f>
        <v>TONY</v>
      </c>
      <c r="K307" s="23">
        <f t="shared" si="2"/>
        <v>46062</v>
      </c>
      <c r="L307" s="17">
        <f t="shared" si="3"/>
        <v>46065</v>
      </c>
      <c r="M307" s="17" t="str">
        <f t="shared" si="4"/>
        <v>2026-02</v>
      </c>
    </row>
    <row r="308" ht="15.75" customHeight="1">
      <c r="A308" s="19">
        <v>46065.0</v>
      </c>
      <c r="B308" s="20" t="s">
        <v>21</v>
      </c>
      <c r="C308" s="20">
        <v>82.0</v>
      </c>
      <c r="D308" s="21"/>
      <c r="E308" s="11">
        <f>IF(J308="","", C308 * IFERROR(VLOOKUP(J308, SETUP!$A:$D, 3, FALSE), 0))</f>
        <v>49.2</v>
      </c>
      <c r="F308" s="11">
        <f>IF(J308="","", C308 * IFERROR(VLOOKUP(J308, SETUP!$A:$D, 4, FALSE), 0))</f>
        <v>32.8</v>
      </c>
      <c r="G308" s="11">
        <f t="shared" si="1"/>
        <v>32.8</v>
      </c>
      <c r="H308" s="22"/>
      <c r="I308" s="11"/>
      <c r="J308" s="17" t="str">
        <f>IF(TRIM(B308)="","",IF(ISNUMBER(SEARCH(" - ",B308)),TRIM(RIGHT(B308,LEN(B308)-FIND(" - ",B308)-2)),IFERROR(VLOOKUP(UPPER(TRIM(B308)), SETUP!$B$4:$C$11, 2, FALSE), UPPER(TRIM(B308)))))</f>
        <v>TONY</v>
      </c>
      <c r="K308" s="23">
        <f t="shared" si="2"/>
        <v>46062</v>
      </c>
      <c r="L308" s="17">
        <f t="shared" si="3"/>
        <v>46065</v>
      </c>
      <c r="M308" s="17" t="str">
        <f t="shared" si="4"/>
        <v>2026-02</v>
      </c>
    </row>
    <row r="309" ht="15.75" customHeight="1">
      <c r="A309" s="19">
        <v>46066.0</v>
      </c>
      <c r="B309" s="20" t="s">
        <v>16</v>
      </c>
      <c r="C309" s="20">
        <v>70.0</v>
      </c>
      <c r="D309" s="21"/>
      <c r="E309" s="11">
        <f>IF(J309="","", C309 * IFERROR(VLOOKUP(J309, SETUP!$A:$D, 3, FALSE), 0))</f>
        <v>0</v>
      </c>
      <c r="F309" s="11">
        <f>IF(J309="","", C309 * IFERROR(VLOOKUP(J309, SETUP!$A:$D, 4, FALSE), 0))</f>
        <v>70</v>
      </c>
      <c r="G309" s="11">
        <f t="shared" si="1"/>
        <v>70</v>
      </c>
      <c r="H309" s="22"/>
      <c r="I309" s="11"/>
      <c r="J309" s="17" t="str">
        <f>IF(TRIM(B309)="","",IF(ISNUMBER(SEARCH(" - ",B309)),TRIM(RIGHT(B309,LEN(B309)-FIND(" - ",B309)-2)),IFERROR(VLOOKUP(UPPER(TRIM(B309)), SETUP!$B$4:$C$11, 2, FALSE), UPPER(TRIM(B309)))))</f>
        <v>KEN</v>
      </c>
      <c r="K309" s="23">
        <f t="shared" si="2"/>
        <v>46062</v>
      </c>
      <c r="L309" s="17">
        <f t="shared" si="3"/>
        <v>46066</v>
      </c>
      <c r="M309" s="17" t="str">
        <f t="shared" si="4"/>
        <v>2026-02</v>
      </c>
    </row>
    <row r="310" ht="15.75" customHeight="1">
      <c r="A310" s="19">
        <v>46066.0</v>
      </c>
      <c r="B310" s="20" t="s">
        <v>17</v>
      </c>
      <c r="C310" s="20">
        <v>77.0</v>
      </c>
      <c r="D310" s="21"/>
      <c r="E310" s="11">
        <f>IF(J310="","", C310 * IFERROR(VLOOKUP(J310, SETUP!$A:$D, 3, FALSE), 0))</f>
        <v>46.2</v>
      </c>
      <c r="F310" s="11">
        <f>IF(J310="","", C310 * IFERROR(VLOOKUP(J310, SETUP!$A:$D, 4, FALSE), 0))</f>
        <v>30.8</v>
      </c>
      <c r="G310" s="11">
        <f t="shared" si="1"/>
        <v>30.8</v>
      </c>
      <c r="H310" s="22"/>
      <c r="I310" s="11"/>
      <c r="J310" s="17" t="str">
        <f>IF(TRIM(B310)="","",IF(ISNUMBER(SEARCH(" - ",B310)),TRIM(RIGHT(B310,LEN(B310)-FIND(" - ",B310)-2)),IFERROR(VLOOKUP(UPPER(TRIM(B310)), SETUP!$B$4:$C$11, 2, FALSE), UPPER(TRIM(B310)))))</f>
        <v>RYAN</v>
      </c>
      <c r="K310" s="23">
        <f t="shared" si="2"/>
        <v>46062</v>
      </c>
      <c r="L310" s="17">
        <f t="shared" si="3"/>
        <v>46066</v>
      </c>
      <c r="M310" s="17" t="str">
        <f t="shared" si="4"/>
        <v>2026-02</v>
      </c>
    </row>
    <row r="311" ht="15.75" customHeight="1">
      <c r="A311" s="19">
        <v>46066.0</v>
      </c>
      <c r="B311" s="20" t="s">
        <v>17</v>
      </c>
      <c r="C311" s="20">
        <v>67.0</v>
      </c>
      <c r="D311" s="21"/>
      <c r="E311" s="11">
        <f>IF(J311="","", C311 * IFERROR(VLOOKUP(J311, SETUP!$A:$D, 3, FALSE), 0))</f>
        <v>40.2</v>
      </c>
      <c r="F311" s="11">
        <f>IF(J311="","", C311 * IFERROR(VLOOKUP(J311, SETUP!$A:$D, 4, FALSE), 0))</f>
        <v>26.8</v>
      </c>
      <c r="G311" s="11">
        <f t="shared" si="1"/>
        <v>26.8</v>
      </c>
      <c r="H311" s="22"/>
      <c r="I311" s="11"/>
      <c r="J311" s="17" t="str">
        <f>IF(TRIM(B311)="","",IF(ISNUMBER(SEARCH(" - ",B311)),TRIM(RIGHT(B311,LEN(B311)-FIND(" - ",B311)-2)),IFERROR(VLOOKUP(UPPER(TRIM(B311)), SETUP!$B$4:$C$11, 2, FALSE), UPPER(TRIM(B311)))))</f>
        <v>RYAN</v>
      </c>
      <c r="K311" s="23">
        <f t="shared" si="2"/>
        <v>46062</v>
      </c>
      <c r="L311" s="17">
        <f t="shared" si="3"/>
        <v>46066</v>
      </c>
      <c r="M311" s="17" t="str">
        <f t="shared" si="4"/>
        <v>2026-02</v>
      </c>
    </row>
    <row r="312" ht="15.75" customHeight="1">
      <c r="A312" s="19">
        <v>46066.0</v>
      </c>
      <c r="B312" s="20" t="s">
        <v>17</v>
      </c>
      <c r="C312" s="20">
        <v>65.0</v>
      </c>
      <c r="D312" s="21"/>
      <c r="E312" s="11">
        <f>IF(J312="","", C312 * IFERROR(VLOOKUP(J312, SETUP!$A:$D, 3, FALSE), 0))</f>
        <v>39</v>
      </c>
      <c r="F312" s="11">
        <f>IF(J312="","", C312 * IFERROR(VLOOKUP(J312, SETUP!$A:$D, 4, FALSE), 0))</f>
        <v>26</v>
      </c>
      <c r="G312" s="11">
        <f t="shared" si="1"/>
        <v>26</v>
      </c>
      <c r="H312" s="22"/>
      <c r="I312" s="11"/>
      <c r="J312" s="17" t="str">
        <f>IF(TRIM(B312)="","",IF(ISNUMBER(SEARCH(" - ",B312)),TRIM(RIGHT(B312,LEN(B312)-FIND(" - ",B312)-2)),IFERROR(VLOOKUP(UPPER(TRIM(B312)), SETUP!$B$4:$C$11, 2, FALSE), UPPER(TRIM(B312)))))</f>
        <v>RYAN</v>
      </c>
      <c r="K312" s="23">
        <f t="shared" si="2"/>
        <v>46062</v>
      </c>
      <c r="L312" s="17">
        <f t="shared" si="3"/>
        <v>46066</v>
      </c>
      <c r="M312" s="17" t="str">
        <f t="shared" si="4"/>
        <v>2026-02</v>
      </c>
    </row>
    <row r="313" ht="15.75" customHeight="1">
      <c r="A313" s="19">
        <v>46066.0</v>
      </c>
      <c r="B313" s="20" t="s">
        <v>17</v>
      </c>
      <c r="C313" s="20">
        <v>107.0</v>
      </c>
      <c r="D313" s="21"/>
      <c r="E313" s="11">
        <f>IF(J313="","", C313 * IFERROR(VLOOKUP(J313, SETUP!$A:$D, 3, FALSE), 0))</f>
        <v>64.2</v>
      </c>
      <c r="F313" s="11">
        <f>IF(J313="","", C313 * IFERROR(VLOOKUP(J313, SETUP!$A:$D, 4, FALSE), 0))</f>
        <v>42.8</v>
      </c>
      <c r="G313" s="11">
        <f t="shared" si="1"/>
        <v>42.8</v>
      </c>
      <c r="H313" s="22"/>
      <c r="I313" s="11"/>
      <c r="J313" s="17" t="str">
        <f>IF(TRIM(B313)="","",IF(ISNUMBER(SEARCH(" - ",B313)),TRIM(RIGHT(B313,LEN(B313)-FIND(" - ",B313)-2)),IFERROR(VLOOKUP(UPPER(TRIM(B313)), SETUP!$B$4:$C$11, 2, FALSE), UPPER(TRIM(B313)))))</f>
        <v>RYAN</v>
      </c>
      <c r="K313" s="23">
        <f t="shared" si="2"/>
        <v>46062</v>
      </c>
      <c r="L313" s="17">
        <f t="shared" si="3"/>
        <v>46066</v>
      </c>
      <c r="M313" s="17" t="str">
        <f t="shared" si="4"/>
        <v>2026-02</v>
      </c>
    </row>
    <row r="314" ht="15.75" customHeight="1">
      <c r="A314" s="19">
        <v>46066.0</v>
      </c>
      <c r="B314" s="20" t="s">
        <v>17</v>
      </c>
      <c r="C314" s="20">
        <v>57.0</v>
      </c>
      <c r="D314" s="21"/>
      <c r="E314" s="11">
        <f>IF(J314="","", C314 * IFERROR(VLOOKUP(J314, SETUP!$A:$D, 3, FALSE), 0))</f>
        <v>34.2</v>
      </c>
      <c r="F314" s="11">
        <f>IF(J314="","", C314 * IFERROR(VLOOKUP(J314, SETUP!$A:$D, 4, FALSE), 0))</f>
        <v>22.8</v>
      </c>
      <c r="G314" s="11">
        <f t="shared" si="1"/>
        <v>22.8</v>
      </c>
      <c r="H314" s="22"/>
      <c r="I314" s="11"/>
      <c r="J314" s="17" t="str">
        <f>IF(TRIM(B314)="","",IF(ISNUMBER(SEARCH(" - ",B314)),TRIM(RIGHT(B314,LEN(B314)-FIND(" - ",B314)-2)),IFERROR(VLOOKUP(UPPER(TRIM(B314)), SETUP!$B$4:$C$11, 2, FALSE), UPPER(TRIM(B314)))))</f>
        <v>RYAN</v>
      </c>
      <c r="K314" s="23">
        <f t="shared" si="2"/>
        <v>46062</v>
      </c>
      <c r="L314" s="17">
        <f t="shared" si="3"/>
        <v>46066</v>
      </c>
      <c r="M314" s="17" t="str">
        <f t="shared" si="4"/>
        <v>2026-02</v>
      </c>
    </row>
    <row r="315" ht="15.75" customHeight="1">
      <c r="A315" s="19">
        <v>46066.0</v>
      </c>
      <c r="B315" s="20" t="s">
        <v>17</v>
      </c>
      <c r="C315" s="20">
        <v>52.0</v>
      </c>
      <c r="D315" s="21"/>
      <c r="E315" s="11">
        <f>IF(J315="","", C315 * IFERROR(VLOOKUP(J315, SETUP!$A:$D, 3, FALSE), 0))</f>
        <v>31.2</v>
      </c>
      <c r="F315" s="11">
        <f>IF(J315="","", C315 * IFERROR(VLOOKUP(J315, SETUP!$A:$D, 4, FALSE), 0))</f>
        <v>20.8</v>
      </c>
      <c r="G315" s="11">
        <f t="shared" si="1"/>
        <v>20.8</v>
      </c>
      <c r="H315" s="22"/>
      <c r="I315" s="11"/>
      <c r="J315" s="17" t="str">
        <f>IF(TRIM(B315)="","",IF(ISNUMBER(SEARCH(" - ",B315)),TRIM(RIGHT(B315,LEN(B315)-FIND(" - ",B315)-2)),IFERROR(VLOOKUP(UPPER(TRIM(B315)), SETUP!$B$4:$C$11, 2, FALSE), UPPER(TRIM(B315)))))</f>
        <v>RYAN</v>
      </c>
      <c r="K315" s="23">
        <f t="shared" si="2"/>
        <v>46062</v>
      </c>
      <c r="L315" s="17">
        <f t="shared" si="3"/>
        <v>46066</v>
      </c>
      <c r="M315" s="17" t="str">
        <f t="shared" si="4"/>
        <v>2026-02</v>
      </c>
    </row>
    <row r="316" ht="15.75" customHeight="1">
      <c r="A316" s="19">
        <v>46066.0</v>
      </c>
      <c r="B316" s="20" t="s">
        <v>17</v>
      </c>
      <c r="C316" s="20">
        <v>100.0</v>
      </c>
      <c r="D316" s="21"/>
      <c r="E316" s="11">
        <f>IF(J316="","", C316 * IFERROR(VLOOKUP(J316, SETUP!$A:$D, 3, FALSE), 0))</f>
        <v>60</v>
      </c>
      <c r="F316" s="11">
        <f>IF(J316="","", C316 * IFERROR(VLOOKUP(J316, SETUP!$A:$D, 4, FALSE), 0))</f>
        <v>40</v>
      </c>
      <c r="G316" s="11">
        <f t="shared" si="1"/>
        <v>40</v>
      </c>
      <c r="H316" s="22"/>
      <c r="I316" s="11"/>
      <c r="J316" s="17" t="str">
        <f>IF(TRIM(B316)="","",IF(ISNUMBER(SEARCH(" - ",B316)),TRIM(RIGHT(B316,LEN(B316)-FIND(" - ",B316)-2)),IFERROR(VLOOKUP(UPPER(TRIM(B316)), SETUP!$B$4:$C$11, 2, FALSE), UPPER(TRIM(B316)))))</f>
        <v>RYAN</v>
      </c>
      <c r="K316" s="23">
        <f t="shared" si="2"/>
        <v>46062</v>
      </c>
      <c r="L316" s="17">
        <f t="shared" si="3"/>
        <v>46066</v>
      </c>
      <c r="M316" s="17" t="str">
        <f t="shared" si="4"/>
        <v>2026-02</v>
      </c>
    </row>
    <row r="317" ht="15.75" customHeight="1">
      <c r="A317" s="19">
        <v>46066.0</v>
      </c>
      <c r="B317" s="20" t="s">
        <v>17</v>
      </c>
      <c r="C317" s="20">
        <v>35.0</v>
      </c>
      <c r="D317" s="21"/>
      <c r="E317" s="11">
        <f>IF(J317="","", C317 * IFERROR(VLOOKUP(J317, SETUP!$A:$D, 3, FALSE), 0))</f>
        <v>21</v>
      </c>
      <c r="F317" s="11">
        <f>IF(J317="","", C317 * IFERROR(VLOOKUP(J317, SETUP!$A:$D, 4, FALSE), 0))</f>
        <v>14</v>
      </c>
      <c r="G317" s="11">
        <f t="shared" si="1"/>
        <v>14</v>
      </c>
      <c r="H317" s="22"/>
      <c r="I317" s="11"/>
      <c r="J317" s="17" t="str">
        <f>IF(TRIM(B317)="","",IF(ISNUMBER(SEARCH(" - ",B317)),TRIM(RIGHT(B317,LEN(B317)-FIND(" - ",B317)-2)),IFERROR(VLOOKUP(UPPER(TRIM(B317)), SETUP!$B$4:$C$11, 2, FALSE), UPPER(TRIM(B317)))))</f>
        <v>RYAN</v>
      </c>
      <c r="K317" s="23">
        <f t="shared" si="2"/>
        <v>46062</v>
      </c>
      <c r="L317" s="17">
        <f t="shared" si="3"/>
        <v>46066</v>
      </c>
      <c r="M317" s="17" t="str">
        <f t="shared" si="4"/>
        <v>2026-02</v>
      </c>
    </row>
    <row r="318" ht="15.75" customHeight="1">
      <c r="A318" s="19">
        <v>46066.0</v>
      </c>
      <c r="B318" s="20" t="s">
        <v>17</v>
      </c>
      <c r="C318" s="20">
        <v>57.0</v>
      </c>
      <c r="D318" s="21"/>
      <c r="E318" s="11">
        <f>IF(J318="","", C318 * IFERROR(VLOOKUP(J318, SETUP!$A:$D, 3, FALSE), 0))</f>
        <v>34.2</v>
      </c>
      <c r="F318" s="11">
        <f>IF(J318="","", C318 * IFERROR(VLOOKUP(J318, SETUP!$A:$D, 4, FALSE), 0))</f>
        <v>22.8</v>
      </c>
      <c r="G318" s="11">
        <f t="shared" si="1"/>
        <v>22.8</v>
      </c>
      <c r="H318" s="22"/>
      <c r="I318" s="11"/>
      <c r="J318" s="17" t="str">
        <f>IF(TRIM(B318)="","",IF(ISNUMBER(SEARCH(" - ",B318)),TRIM(RIGHT(B318,LEN(B318)-FIND(" - ",B318)-2)),IFERROR(VLOOKUP(UPPER(TRIM(B318)), SETUP!$B$4:$C$11, 2, FALSE), UPPER(TRIM(B318)))))</f>
        <v>RYAN</v>
      </c>
      <c r="K318" s="23">
        <f t="shared" si="2"/>
        <v>46062</v>
      </c>
      <c r="L318" s="17">
        <f t="shared" si="3"/>
        <v>46066</v>
      </c>
      <c r="M318" s="17" t="str">
        <f t="shared" si="4"/>
        <v>2026-02</v>
      </c>
    </row>
    <row r="319" ht="15.75" customHeight="1">
      <c r="A319" s="19">
        <v>46066.0</v>
      </c>
      <c r="B319" s="20" t="s">
        <v>18</v>
      </c>
      <c r="C319" s="20">
        <v>65.0</v>
      </c>
      <c r="D319" s="21"/>
      <c r="E319" s="11">
        <f>IF(J319="","", C319 * IFERROR(VLOOKUP(J319, SETUP!$A:$D, 3, FALSE), 0))</f>
        <v>32.5</v>
      </c>
      <c r="F319" s="11">
        <f>IF(J319="","", C319 * IFERROR(VLOOKUP(J319, SETUP!$A:$D, 4, FALSE), 0))</f>
        <v>32.5</v>
      </c>
      <c r="G319" s="11">
        <f t="shared" si="1"/>
        <v>32.5</v>
      </c>
      <c r="H319" s="22"/>
      <c r="I319" s="11"/>
      <c r="J319" s="17" t="str">
        <f>IF(TRIM(B319)="","",IF(ISNUMBER(SEARCH(" - ",B319)),TRIM(RIGHT(B319,LEN(B319)-FIND(" - ",B319)-2)),IFERROR(VLOOKUP(UPPER(TRIM(B319)), SETUP!$B$4:$C$11, 2, FALSE), UPPER(TRIM(B319)))))</f>
        <v>CRIS</v>
      </c>
      <c r="K319" s="23">
        <f t="shared" si="2"/>
        <v>46062</v>
      </c>
      <c r="L319" s="17">
        <f t="shared" si="3"/>
        <v>46066</v>
      </c>
      <c r="M319" s="17" t="str">
        <f t="shared" si="4"/>
        <v>2026-02</v>
      </c>
    </row>
    <row r="320" ht="15.75" customHeight="1">
      <c r="A320" s="19">
        <v>46066.0</v>
      </c>
      <c r="B320" s="20" t="s">
        <v>18</v>
      </c>
      <c r="C320" s="20">
        <v>60.0</v>
      </c>
      <c r="D320" s="21"/>
      <c r="E320" s="11">
        <f>IF(J320="","", C320 * IFERROR(VLOOKUP(J320, SETUP!$A:$D, 3, FALSE), 0))</f>
        <v>30</v>
      </c>
      <c r="F320" s="11">
        <f>IF(J320="","", C320 * IFERROR(VLOOKUP(J320, SETUP!$A:$D, 4, FALSE), 0))</f>
        <v>30</v>
      </c>
      <c r="G320" s="11">
        <f t="shared" si="1"/>
        <v>30</v>
      </c>
      <c r="H320" s="22"/>
      <c r="I320" s="11"/>
      <c r="J320" s="17" t="str">
        <f>IF(TRIM(B320)="","",IF(ISNUMBER(SEARCH(" - ",B320)),TRIM(RIGHT(B320,LEN(B320)-FIND(" - ",B320)-2)),IFERROR(VLOOKUP(UPPER(TRIM(B320)), SETUP!$B$4:$C$11, 2, FALSE), UPPER(TRIM(B320)))))</f>
        <v>CRIS</v>
      </c>
      <c r="K320" s="23">
        <f t="shared" si="2"/>
        <v>46062</v>
      </c>
      <c r="L320" s="17">
        <f t="shared" si="3"/>
        <v>46066</v>
      </c>
      <c r="M320" s="17" t="str">
        <f t="shared" si="4"/>
        <v>2026-02</v>
      </c>
    </row>
    <row r="321" ht="15.75" customHeight="1">
      <c r="A321" s="19">
        <v>46066.0</v>
      </c>
      <c r="B321" s="20" t="s">
        <v>18</v>
      </c>
      <c r="C321" s="20">
        <v>57.0</v>
      </c>
      <c r="D321" s="21"/>
      <c r="E321" s="11">
        <f>IF(J321="","", C321 * IFERROR(VLOOKUP(J321, SETUP!$A:$D, 3, FALSE), 0))</f>
        <v>28.5</v>
      </c>
      <c r="F321" s="11">
        <f>IF(J321="","", C321 * IFERROR(VLOOKUP(J321, SETUP!$A:$D, 4, FALSE), 0))</f>
        <v>28.5</v>
      </c>
      <c r="G321" s="11">
        <f t="shared" si="1"/>
        <v>28.5</v>
      </c>
      <c r="H321" s="22"/>
      <c r="I321" s="11"/>
      <c r="J321" s="17" t="str">
        <f>IF(TRIM(B321)="","",IF(ISNUMBER(SEARCH(" - ",B321)),TRIM(RIGHT(B321,LEN(B321)-FIND(" - ",B321)-2)),IFERROR(VLOOKUP(UPPER(TRIM(B321)), SETUP!$B$4:$C$11, 2, FALSE), UPPER(TRIM(B321)))))</f>
        <v>CRIS</v>
      </c>
      <c r="K321" s="23">
        <f t="shared" si="2"/>
        <v>46062</v>
      </c>
      <c r="L321" s="17">
        <f t="shared" si="3"/>
        <v>46066</v>
      </c>
      <c r="M321" s="17" t="str">
        <f t="shared" si="4"/>
        <v>2026-02</v>
      </c>
    </row>
    <row r="322" ht="15.75" customHeight="1">
      <c r="A322" s="19">
        <v>46066.0</v>
      </c>
      <c r="B322" s="20" t="s">
        <v>18</v>
      </c>
      <c r="C322" s="20">
        <v>47.0</v>
      </c>
      <c r="D322" s="21"/>
      <c r="E322" s="11">
        <f>IF(J322="","", C322 * IFERROR(VLOOKUP(J322, SETUP!$A:$D, 3, FALSE), 0))</f>
        <v>23.5</v>
      </c>
      <c r="F322" s="11">
        <f>IF(J322="","", C322 * IFERROR(VLOOKUP(J322, SETUP!$A:$D, 4, FALSE), 0))</f>
        <v>23.5</v>
      </c>
      <c r="G322" s="11">
        <f t="shared" si="1"/>
        <v>23.5</v>
      </c>
      <c r="H322" s="22"/>
      <c r="I322" s="11"/>
      <c r="J322" s="17" t="str">
        <f>IF(TRIM(B322)="","",IF(ISNUMBER(SEARCH(" - ",B322)),TRIM(RIGHT(B322,LEN(B322)-FIND(" - ",B322)-2)),IFERROR(VLOOKUP(UPPER(TRIM(B322)), SETUP!$B$4:$C$11, 2, FALSE), UPPER(TRIM(B322)))))</f>
        <v>CRIS</v>
      </c>
      <c r="K322" s="23">
        <f t="shared" si="2"/>
        <v>46062</v>
      </c>
      <c r="L322" s="17">
        <f t="shared" si="3"/>
        <v>46066</v>
      </c>
      <c r="M322" s="17" t="str">
        <f t="shared" si="4"/>
        <v>2026-02</v>
      </c>
    </row>
    <row r="323" ht="15.75" customHeight="1">
      <c r="A323" s="19">
        <v>46066.0</v>
      </c>
      <c r="B323" s="20" t="s">
        <v>18</v>
      </c>
      <c r="C323" s="20">
        <v>20.0</v>
      </c>
      <c r="D323" s="21"/>
      <c r="E323" s="11">
        <f>IF(J323="","", C323 * IFERROR(VLOOKUP(J323, SETUP!$A:$D, 3, FALSE), 0))</f>
        <v>10</v>
      </c>
      <c r="F323" s="11">
        <f>IF(J323="","", C323 * IFERROR(VLOOKUP(J323, SETUP!$A:$D, 4, FALSE), 0))</f>
        <v>10</v>
      </c>
      <c r="G323" s="11">
        <f t="shared" si="1"/>
        <v>10</v>
      </c>
      <c r="H323" s="22"/>
      <c r="I323" s="11"/>
      <c r="J323" s="17" t="str">
        <f>IF(TRIM(B323)="","",IF(ISNUMBER(SEARCH(" - ",B323)),TRIM(RIGHT(B323,LEN(B323)-FIND(" - ",B323)-2)),IFERROR(VLOOKUP(UPPER(TRIM(B323)), SETUP!$B$4:$C$11, 2, FALSE), UPPER(TRIM(B323)))))</f>
        <v>CRIS</v>
      </c>
      <c r="K323" s="23">
        <f t="shared" si="2"/>
        <v>46062</v>
      </c>
      <c r="L323" s="17">
        <f t="shared" si="3"/>
        <v>46066</v>
      </c>
      <c r="M323" s="17" t="str">
        <f t="shared" si="4"/>
        <v>2026-02</v>
      </c>
    </row>
    <row r="324" ht="15.75" customHeight="1">
      <c r="A324" s="19">
        <v>46066.0</v>
      </c>
      <c r="B324" s="20" t="s">
        <v>18</v>
      </c>
      <c r="C324" s="20">
        <v>40.0</v>
      </c>
      <c r="D324" s="21"/>
      <c r="E324" s="11">
        <f>IF(J324="","", C324 * IFERROR(VLOOKUP(J324, SETUP!$A:$D, 3, FALSE), 0))</f>
        <v>20</v>
      </c>
      <c r="F324" s="11">
        <f>IF(J324="","", C324 * IFERROR(VLOOKUP(J324, SETUP!$A:$D, 4, FALSE), 0))</f>
        <v>20</v>
      </c>
      <c r="G324" s="11">
        <f t="shared" si="1"/>
        <v>20</v>
      </c>
      <c r="H324" s="22"/>
      <c r="I324" s="11"/>
      <c r="J324" s="17" t="str">
        <f>IF(TRIM(B324)="","",IF(ISNUMBER(SEARCH(" - ",B324)),TRIM(RIGHT(B324,LEN(B324)-FIND(" - ",B324)-2)),IFERROR(VLOOKUP(UPPER(TRIM(B324)), SETUP!$B$4:$C$11, 2, FALSE), UPPER(TRIM(B324)))))</f>
        <v>CRIS</v>
      </c>
      <c r="K324" s="23">
        <f t="shared" si="2"/>
        <v>46062</v>
      </c>
      <c r="L324" s="17">
        <f t="shared" si="3"/>
        <v>46066</v>
      </c>
      <c r="M324" s="17" t="str">
        <f t="shared" si="4"/>
        <v>2026-02</v>
      </c>
    </row>
    <row r="325" ht="15.75" customHeight="1">
      <c r="A325" s="19">
        <v>46066.0</v>
      </c>
      <c r="B325" s="20" t="s">
        <v>18</v>
      </c>
      <c r="C325" s="20">
        <v>65.0</v>
      </c>
      <c r="D325" s="21"/>
      <c r="E325" s="11">
        <f>IF(J325="","", C325 * IFERROR(VLOOKUP(J325, SETUP!$A:$D, 3, FALSE), 0))</f>
        <v>32.5</v>
      </c>
      <c r="F325" s="11">
        <f>IF(J325="","", C325 * IFERROR(VLOOKUP(J325, SETUP!$A:$D, 4, FALSE), 0))</f>
        <v>32.5</v>
      </c>
      <c r="G325" s="11">
        <f t="shared" si="1"/>
        <v>32.5</v>
      </c>
      <c r="H325" s="22"/>
      <c r="I325" s="11"/>
      <c r="J325" s="17" t="str">
        <f>IF(TRIM(B325)="","",IF(ISNUMBER(SEARCH(" - ",B325)),TRIM(RIGHT(B325,LEN(B325)-FIND(" - ",B325)-2)),IFERROR(VLOOKUP(UPPER(TRIM(B325)), SETUP!$B$4:$C$11, 2, FALSE), UPPER(TRIM(B325)))))</f>
        <v>CRIS</v>
      </c>
      <c r="K325" s="23">
        <f t="shared" si="2"/>
        <v>46062</v>
      </c>
      <c r="L325" s="17">
        <f t="shared" si="3"/>
        <v>46066</v>
      </c>
      <c r="M325" s="17" t="str">
        <f t="shared" si="4"/>
        <v>2026-02</v>
      </c>
    </row>
    <row r="326" ht="15.75" customHeight="1">
      <c r="A326" s="19">
        <v>46066.0</v>
      </c>
      <c r="B326" s="20" t="s">
        <v>18</v>
      </c>
      <c r="C326" s="20">
        <v>55.0</v>
      </c>
      <c r="D326" s="21"/>
      <c r="E326" s="11">
        <f>IF(J326="","", C326 * IFERROR(VLOOKUP(J326, SETUP!$A:$D, 3, FALSE), 0))</f>
        <v>27.5</v>
      </c>
      <c r="F326" s="11">
        <f>IF(J326="","", C326 * IFERROR(VLOOKUP(J326, SETUP!$A:$D, 4, FALSE), 0))</f>
        <v>27.5</v>
      </c>
      <c r="G326" s="11">
        <f t="shared" si="1"/>
        <v>27.5</v>
      </c>
      <c r="H326" s="22"/>
      <c r="I326" s="11"/>
      <c r="J326" s="17" t="str">
        <f>IF(TRIM(B326)="","",IF(ISNUMBER(SEARCH(" - ",B326)),TRIM(RIGHT(B326,LEN(B326)-FIND(" - ",B326)-2)),IFERROR(VLOOKUP(UPPER(TRIM(B326)), SETUP!$B$4:$C$11, 2, FALSE), UPPER(TRIM(B326)))))</f>
        <v>CRIS</v>
      </c>
      <c r="K326" s="23">
        <f t="shared" si="2"/>
        <v>46062</v>
      </c>
      <c r="L326" s="17">
        <f t="shared" si="3"/>
        <v>46066</v>
      </c>
      <c r="M326" s="17" t="str">
        <f t="shared" si="4"/>
        <v>2026-02</v>
      </c>
    </row>
    <row r="327" ht="15.75" customHeight="1">
      <c r="A327" s="19">
        <v>46066.0</v>
      </c>
      <c r="B327" s="20" t="s">
        <v>18</v>
      </c>
      <c r="C327" s="20">
        <v>55.0</v>
      </c>
      <c r="D327" s="21"/>
      <c r="E327" s="11">
        <f>IF(J327="","", C327 * IFERROR(VLOOKUP(J327, SETUP!$A:$D, 3, FALSE), 0))</f>
        <v>27.5</v>
      </c>
      <c r="F327" s="11">
        <f>IF(J327="","", C327 * IFERROR(VLOOKUP(J327, SETUP!$A:$D, 4, FALSE), 0))</f>
        <v>27.5</v>
      </c>
      <c r="G327" s="11">
        <f t="shared" si="1"/>
        <v>27.5</v>
      </c>
      <c r="H327" s="22"/>
      <c r="I327" s="11"/>
      <c r="J327" s="17" t="str">
        <f>IF(TRIM(B327)="","",IF(ISNUMBER(SEARCH(" - ",B327)),TRIM(RIGHT(B327,LEN(B327)-FIND(" - ",B327)-2)),IFERROR(VLOOKUP(UPPER(TRIM(B327)), SETUP!$B$4:$C$11, 2, FALSE), UPPER(TRIM(B327)))))</f>
        <v>CRIS</v>
      </c>
      <c r="K327" s="23">
        <f t="shared" si="2"/>
        <v>46062</v>
      </c>
      <c r="L327" s="17">
        <f t="shared" si="3"/>
        <v>46066</v>
      </c>
      <c r="M327" s="17" t="str">
        <f t="shared" si="4"/>
        <v>2026-02</v>
      </c>
    </row>
    <row r="328" ht="15.75" customHeight="1">
      <c r="A328" s="19">
        <v>46066.0</v>
      </c>
      <c r="B328" s="20" t="s">
        <v>19</v>
      </c>
      <c r="C328" s="20">
        <v>47.0</v>
      </c>
      <c r="D328" s="21"/>
      <c r="E328" s="11">
        <f>IF(J328="","", C328 * IFERROR(VLOOKUP(J328, SETUP!$A:$D, 3, FALSE), 0))</f>
        <v>0</v>
      </c>
      <c r="F328" s="11">
        <f>IF(J328="","", C328 * IFERROR(VLOOKUP(J328, SETUP!$A:$D, 4, FALSE), 0))</f>
        <v>47</v>
      </c>
      <c r="G328" s="11">
        <f t="shared" si="1"/>
        <v>47</v>
      </c>
      <c r="H328" s="22"/>
      <c r="I328" s="11"/>
      <c r="J328" s="17" t="str">
        <f>IF(TRIM(B328)="","",IF(ISNUMBER(SEARCH(" - ",B328)),TRIM(RIGHT(B328,LEN(B328)-FIND(" - ",B328)-2)),IFERROR(VLOOKUP(UPPER(TRIM(B328)), SETUP!$B$4:$C$11, 2, FALSE), UPPER(TRIM(B328)))))</f>
        <v>HANNI</v>
      </c>
      <c r="K328" s="23">
        <f t="shared" si="2"/>
        <v>46062</v>
      </c>
      <c r="L328" s="17">
        <f t="shared" si="3"/>
        <v>46066</v>
      </c>
      <c r="M328" s="17" t="str">
        <f t="shared" si="4"/>
        <v>2026-02</v>
      </c>
    </row>
    <row r="329" ht="15.75" customHeight="1">
      <c r="A329" s="19">
        <v>46066.0</v>
      </c>
      <c r="B329" s="20" t="s">
        <v>19</v>
      </c>
      <c r="C329" s="20">
        <v>80.0</v>
      </c>
      <c r="D329" s="21"/>
      <c r="E329" s="11">
        <f>IF(J329="","", C329 * IFERROR(VLOOKUP(J329, SETUP!$A:$D, 3, FALSE), 0))</f>
        <v>0</v>
      </c>
      <c r="F329" s="11">
        <f>IF(J329="","", C329 * IFERROR(VLOOKUP(J329, SETUP!$A:$D, 4, FALSE), 0))</f>
        <v>80</v>
      </c>
      <c r="G329" s="11">
        <f t="shared" si="1"/>
        <v>80</v>
      </c>
      <c r="H329" s="22"/>
      <c r="I329" s="11"/>
      <c r="J329" s="17" t="str">
        <f>IF(TRIM(B329)="","",IF(ISNUMBER(SEARCH(" - ",B329)),TRIM(RIGHT(B329,LEN(B329)-FIND(" - ",B329)-2)),IFERROR(VLOOKUP(UPPER(TRIM(B329)), SETUP!$B$4:$C$11, 2, FALSE), UPPER(TRIM(B329)))))</f>
        <v>HANNI</v>
      </c>
      <c r="K329" s="23">
        <f t="shared" si="2"/>
        <v>46062</v>
      </c>
      <c r="L329" s="17">
        <f t="shared" si="3"/>
        <v>46066</v>
      </c>
      <c r="M329" s="17" t="str">
        <f t="shared" si="4"/>
        <v>2026-02</v>
      </c>
    </row>
    <row r="330" ht="15.75" customHeight="1">
      <c r="A330" s="19">
        <v>46066.0</v>
      </c>
      <c r="B330" s="20" t="s">
        <v>19</v>
      </c>
      <c r="C330" s="20">
        <v>57.0</v>
      </c>
      <c r="D330" s="21"/>
      <c r="E330" s="11">
        <f>IF(J330="","", C330 * IFERROR(VLOOKUP(J330, SETUP!$A:$D, 3, FALSE), 0))</f>
        <v>0</v>
      </c>
      <c r="F330" s="11">
        <f>IF(J330="","", C330 * IFERROR(VLOOKUP(J330, SETUP!$A:$D, 4, FALSE), 0))</f>
        <v>57</v>
      </c>
      <c r="G330" s="11">
        <f t="shared" si="1"/>
        <v>57</v>
      </c>
      <c r="H330" s="22"/>
      <c r="I330" s="11"/>
      <c r="J330" s="17" t="str">
        <f>IF(TRIM(B330)="","",IF(ISNUMBER(SEARCH(" - ",B330)),TRIM(RIGHT(B330,LEN(B330)-FIND(" - ",B330)-2)),IFERROR(VLOOKUP(UPPER(TRIM(B330)), SETUP!$B$4:$C$11, 2, FALSE), UPPER(TRIM(B330)))))</f>
        <v>HANNI</v>
      </c>
      <c r="K330" s="23">
        <f t="shared" si="2"/>
        <v>46062</v>
      </c>
      <c r="L330" s="17">
        <f t="shared" si="3"/>
        <v>46066</v>
      </c>
      <c r="M330" s="17" t="str">
        <f t="shared" si="4"/>
        <v>2026-02</v>
      </c>
    </row>
    <row r="331" ht="15.75" customHeight="1">
      <c r="A331" s="19">
        <v>46066.0</v>
      </c>
      <c r="B331" s="20" t="s">
        <v>19</v>
      </c>
      <c r="C331" s="20">
        <v>31.0</v>
      </c>
      <c r="D331" s="21"/>
      <c r="E331" s="11">
        <f>IF(J331="","", C331 * IFERROR(VLOOKUP(J331, SETUP!$A:$D, 3, FALSE), 0))</f>
        <v>0</v>
      </c>
      <c r="F331" s="11">
        <f>IF(J331="","", C331 * IFERROR(VLOOKUP(J331, SETUP!$A:$D, 4, FALSE), 0))</f>
        <v>31</v>
      </c>
      <c r="G331" s="11">
        <f t="shared" si="1"/>
        <v>31</v>
      </c>
      <c r="H331" s="22"/>
      <c r="I331" s="11"/>
      <c r="J331" s="17" t="str">
        <f>IF(TRIM(B331)="","",IF(ISNUMBER(SEARCH(" - ",B331)),TRIM(RIGHT(B331,LEN(B331)-FIND(" - ",B331)-2)),IFERROR(VLOOKUP(UPPER(TRIM(B331)), SETUP!$B$4:$C$11, 2, FALSE), UPPER(TRIM(B331)))))</f>
        <v>HANNI</v>
      </c>
      <c r="K331" s="23">
        <f t="shared" si="2"/>
        <v>46062</v>
      </c>
      <c r="L331" s="17">
        <f t="shared" si="3"/>
        <v>46066</v>
      </c>
      <c r="M331" s="17" t="str">
        <f t="shared" si="4"/>
        <v>2026-02</v>
      </c>
    </row>
    <row r="332" ht="15.75" customHeight="1">
      <c r="A332" s="19">
        <v>46066.0</v>
      </c>
      <c r="B332" s="20" t="s">
        <v>19</v>
      </c>
      <c r="C332" s="20">
        <v>87.0</v>
      </c>
      <c r="D332" s="21"/>
      <c r="E332" s="11">
        <f>IF(J332="","", C332 * IFERROR(VLOOKUP(J332, SETUP!$A:$D, 3, FALSE), 0))</f>
        <v>0</v>
      </c>
      <c r="F332" s="11">
        <f>IF(J332="","", C332 * IFERROR(VLOOKUP(J332, SETUP!$A:$D, 4, FALSE), 0))</f>
        <v>87</v>
      </c>
      <c r="G332" s="11">
        <f t="shared" si="1"/>
        <v>87</v>
      </c>
      <c r="H332" s="22"/>
      <c r="I332" s="11"/>
      <c r="J332" s="17" t="str">
        <f>IF(TRIM(B332)="","",IF(ISNUMBER(SEARCH(" - ",B332)),TRIM(RIGHT(B332,LEN(B332)-FIND(" - ",B332)-2)),IFERROR(VLOOKUP(UPPER(TRIM(B332)), SETUP!$B$4:$C$11, 2, FALSE), UPPER(TRIM(B332)))))</f>
        <v>HANNI</v>
      </c>
      <c r="K332" s="23">
        <f t="shared" si="2"/>
        <v>46062</v>
      </c>
      <c r="L332" s="17">
        <f t="shared" si="3"/>
        <v>46066</v>
      </c>
      <c r="M332" s="17" t="str">
        <f t="shared" si="4"/>
        <v>2026-02</v>
      </c>
    </row>
    <row r="333" ht="15.75" customHeight="1">
      <c r="A333" s="19">
        <v>46066.0</v>
      </c>
      <c r="B333" s="20" t="s">
        <v>20</v>
      </c>
      <c r="C333" s="20">
        <v>75.0</v>
      </c>
      <c r="D333" s="21"/>
      <c r="E333" s="11">
        <f>IF(J333="","", C333 * IFERROR(VLOOKUP(J333, SETUP!$A:$D, 3, FALSE), 0))</f>
        <v>45</v>
      </c>
      <c r="F333" s="11">
        <f>IF(J333="","", C333 * IFERROR(VLOOKUP(J333, SETUP!$A:$D, 4, FALSE), 0))</f>
        <v>30</v>
      </c>
      <c r="G333" s="11">
        <f t="shared" si="1"/>
        <v>30</v>
      </c>
      <c r="H333" s="22"/>
      <c r="I333" s="11"/>
      <c r="J333" s="17" t="str">
        <f>IF(TRIM(B333)="","",IF(ISNUMBER(SEARCH(" - ",B333)),TRIM(RIGHT(B333,LEN(B333)-FIND(" - ",B333)-2)),IFERROR(VLOOKUP(UPPER(TRIM(B333)), SETUP!$B$4:$C$11, 2, FALSE), UPPER(TRIM(B333)))))</f>
        <v>AMY</v>
      </c>
      <c r="K333" s="23">
        <f t="shared" si="2"/>
        <v>46062</v>
      </c>
      <c r="L333" s="17">
        <f t="shared" si="3"/>
        <v>46066</v>
      </c>
      <c r="M333" s="17" t="str">
        <f t="shared" si="4"/>
        <v>2026-02</v>
      </c>
    </row>
    <row r="334" ht="15.75" customHeight="1">
      <c r="A334" s="19">
        <v>46066.0</v>
      </c>
      <c r="B334" s="20" t="s">
        <v>20</v>
      </c>
      <c r="C334" s="20">
        <v>112.0</v>
      </c>
      <c r="D334" s="21"/>
      <c r="E334" s="11">
        <f>IF(J334="","", C334 * IFERROR(VLOOKUP(J334, SETUP!$A:$D, 3, FALSE), 0))</f>
        <v>67.2</v>
      </c>
      <c r="F334" s="11">
        <f>IF(J334="","", C334 * IFERROR(VLOOKUP(J334, SETUP!$A:$D, 4, FALSE), 0))</f>
        <v>44.8</v>
      </c>
      <c r="G334" s="11">
        <f t="shared" si="1"/>
        <v>44.8</v>
      </c>
      <c r="H334" s="22"/>
      <c r="I334" s="11"/>
      <c r="J334" s="17" t="str">
        <f>IF(TRIM(B334)="","",IF(ISNUMBER(SEARCH(" - ",B334)),TRIM(RIGHT(B334,LEN(B334)-FIND(" - ",B334)-2)),IFERROR(VLOOKUP(UPPER(TRIM(B334)), SETUP!$B$4:$C$11, 2, FALSE), UPPER(TRIM(B334)))))</f>
        <v>AMY</v>
      </c>
      <c r="K334" s="23">
        <f t="shared" si="2"/>
        <v>46062</v>
      </c>
      <c r="L334" s="17">
        <f t="shared" si="3"/>
        <v>46066</v>
      </c>
      <c r="M334" s="17" t="str">
        <f t="shared" si="4"/>
        <v>2026-02</v>
      </c>
    </row>
    <row r="335" ht="15.75" customHeight="1">
      <c r="A335" s="19">
        <v>46066.0</v>
      </c>
      <c r="B335" s="20" t="s">
        <v>20</v>
      </c>
      <c r="C335" s="20">
        <v>50.0</v>
      </c>
      <c r="D335" s="21"/>
      <c r="E335" s="11">
        <f>IF(J335="","", C335 * IFERROR(VLOOKUP(J335, SETUP!$A:$D, 3, FALSE), 0))</f>
        <v>30</v>
      </c>
      <c r="F335" s="11">
        <f>IF(J335="","", C335 * IFERROR(VLOOKUP(J335, SETUP!$A:$D, 4, FALSE), 0))</f>
        <v>20</v>
      </c>
      <c r="G335" s="11">
        <f t="shared" si="1"/>
        <v>20</v>
      </c>
      <c r="H335" s="22"/>
      <c r="I335" s="11"/>
      <c r="J335" s="17" t="str">
        <f>IF(TRIM(B335)="","",IF(ISNUMBER(SEARCH(" - ",B335)),TRIM(RIGHT(B335,LEN(B335)-FIND(" - ",B335)-2)),IFERROR(VLOOKUP(UPPER(TRIM(B335)), SETUP!$B$4:$C$11, 2, FALSE), UPPER(TRIM(B335)))))</f>
        <v>AMY</v>
      </c>
      <c r="K335" s="23">
        <f t="shared" si="2"/>
        <v>46062</v>
      </c>
      <c r="L335" s="17">
        <f t="shared" si="3"/>
        <v>46066</v>
      </c>
      <c r="M335" s="17" t="str">
        <f t="shared" si="4"/>
        <v>2026-02</v>
      </c>
    </row>
    <row r="336" ht="15.75" customHeight="1">
      <c r="A336" s="19">
        <v>46066.0</v>
      </c>
      <c r="B336" s="20" t="s">
        <v>20</v>
      </c>
      <c r="C336" s="20">
        <v>67.0</v>
      </c>
      <c r="D336" s="21"/>
      <c r="E336" s="11">
        <f>IF(J336="","", C336 * IFERROR(VLOOKUP(J336, SETUP!$A:$D, 3, FALSE), 0))</f>
        <v>40.2</v>
      </c>
      <c r="F336" s="11">
        <f>IF(J336="","", C336 * IFERROR(VLOOKUP(J336, SETUP!$A:$D, 4, FALSE), 0))</f>
        <v>26.8</v>
      </c>
      <c r="G336" s="11">
        <f t="shared" si="1"/>
        <v>26.8</v>
      </c>
      <c r="H336" s="22"/>
      <c r="I336" s="11"/>
      <c r="J336" s="17" t="str">
        <f>IF(TRIM(B336)="","",IF(ISNUMBER(SEARCH(" - ",B336)),TRIM(RIGHT(B336,LEN(B336)-FIND(" - ",B336)-2)),IFERROR(VLOOKUP(UPPER(TRIM(B336)), SETUP!$B$4:$C$11, 2, FALSE), UPPER(TRIM(B336)))))</f>
        <v>AMY</v>
      </c>
      <c r="K336" s="23">
        <f t="shared" si="2"/>
        <v>46062</v>
      </c>
      <c r="L336" s="17">
        <f t="shared" si="3"/>
        <v>46066</v>
      </c>
      <c r="M336" s="17" t="str">
        <f t="shared" si="4"/>
        <v>2026-02</v>
      </c>
    </row>
    <row r="337" ht="15.75" customHeight="1">
      <c r="A337" s="19">
        <v>46066.0</v>
      </c>
      <c r="B337" s="20" t="s">
        <v>20</v>
      </c>
      <c r="C337" s="20">
        <v>67.0</v>
      </c>
      <c r="D337" s="21"/>
      <c r="E337" s="11">
        <f>IF(J337="","", C337 * IFERROR(VLOOKUP(J337, SETUP!$A:$D, 3, FALSE), 0))</f>
        <v>40.2</v>
      </c>
      <c r="F337" s="11">
        <f>IF(J337="","", C337 * IFERROR(VLOOKUP(J337, SETUP!$A:$D, 4, FALSE), 0))</f>
        <v>26.8</v>
      </c>
      <c r="G337" s="11">
        <f t="shared" si="1"/>
        <v>26.8</v>
      </c>
      <c r="H337" s="22"/>
      <c r="I337" s="11"/>
      <c r="J337" s="17" t="str">
        <f>IF(TRIM(B337)="","",IF(ISNUMBER(SEARCH(" - ",B337)),TRIM(RIGHT(B337,LEN(B337)-FIND(" - ",B337)-2)),IFERROR(VLOOKUP(UPPER(TRIM(B337)), SETUP!$B$4:$C$11, 2, FALSE), UPPER(TRIM(B337)))))</f>
        <v>AMY</v>
      </c>
      <c r="K337" s="23">
        <f t="shared" si="2"/>
        <v>46062</v>
      </c>
      <c r="L337" s="17">
        <f t="shared" si="3"/>
        <v>46066</v>
      </c>
      <c r="M337" s="17" t="str">
        <f t="shared" si="4"/>
        <v>2026-02</v>
      </c>
    </row>
    <row r="338" ht="15.75" customHeight="1">
      <c r="A338" s="19">
        <v>46066.0</v>
      </c>
      <c r="B338" s="20" t="s">
        <v>20</v>
      </c>
      <c r="C338" s="20">
        <v>57.0</v>
      </c>
      <c r="D338" s="21"/>
      <c r="E338" s="11">
        <f>IF(J338="","", C338 * IFERROR(VLOOKUP(J338, SETUP!$A:$D, 3, FALSE), 0))</f>
        <v>34.2</v>
      </c>
      <c r="F338" s="11">
        <f>IF(J338="","", C338 * IFERROR(VLOOKUP(J338, SETUP!$A:$D, 4, FALSE), 0))</f>
        <v>22.8</v>
      </c>
      <c r="G338" s="11">
        <f t="shared" si="1"/>
        <v>22.8</v>
      </c>
      <c r="H338" s="22"/>
      <c r="I338" s="11"/>
      <c r="J338" s="17" t="str">
        <f>IF(TRIM(B338)="","",IF(ISNUMBER(SEARCH(" - ",B338)),TRIM(RIGHT(B338,LEN(B338)-FIND(" - ",B338)-2)),IFERROR(VLOOKUP(UPPER(TRIM(B338)), SETUP!$B$4:$C$11, 2, FALSE), UPPER(TRIM(B338)))))</f>
        <v>AMY</v>
      </c>
      <c r="K338" s="23">
        <f t="shared" si="2"/>
        <v>46062</v>
      </c>
      <c r="L338" s="17">
        <f t="shared" si="3"/>
        <v>46066</v>
      </c>
      <c r="M338" s="17" t="str">
        <f t="shared" si="4"/>
        <v>2026-02</v>
      </c>
    </row>
    <row r="339" ht="15.75" customHeight="1">
      <c r="A339" s="19">
        <v>46066.0</v>
      </c>
      <c r="B339" s="20" t="s">
        <v>20</v>
      </c>
      <c r="C339" s="20">
        <v>40.0</v>
      </c>
      <c r="D339" s="21"/>
      <c r="E339" s="11">
        <f>IF(J339="","", C339 * IFERROR(VLOOKUP(J339, SETUP!$A:$D, 3, FALSE), 0))</f>
        <v>24</v>
      </c>
      <c r="F339" s="11">
        <f>IF(J339="","", C339 * IFERROR(VLOOKUP(J339, SETUP!$A:$D, 4, FALSE), 0))</f>
        <v>16</v>
      </c>
      <c r="G339" s="11">
        <f t="shared" si="1"/>
        <v>16</v>
      </c>
      <c r="H339" s="22"/>
      <c r="I339" s="11"/>
      <c r="J339" s="17" t="str">
        <f>IF(TRIM(B339)="","",IF(ISNUMBER(SEARCH(" - ",B339)),TRIM(RIGHT(B339,LEN(B339)-FIND(" - ",B339)-2)),IFERROR(VLOOKUP(UPPER(TRIM(B339)), SETUP!$B$4:$C$11, 2, FALSE), UPPER(TRIM(B339)))))</f>
        <v>AMY</v>
      </c>
      <c r="K339" s="23">
        <f t="shared" si="2"/>
        <v>46062</v>
      </c>
      <c r="L339" s="17">
        <f t="shared" si="3"/>
        <v>46066</v>
      </c>
      <c r="M339" s="17" t="str">
        <f t="shared" si="4"/>
        <v>2026-02</v>
      </c>
    </row>
    <row r="340" ht="15.75" customHeight="1">
      <c r="A340" s="19">
        <v>46066.0</v>
      </c>
      <c r="B340" s="20" t="s">
        <v>20</v>
      </c>
      <c r="C340" s="20">
        <v>67.0</v>
      </c>
      <c r="D340" s="21"/>
      <c r="E340" s="11">
        <f>IF(J340="","", C340 * IFERROR(VLOOKUP(J340, SETUP!$A:$D, 3, FALSE), 0))</f>
        <v>40.2</v>
      </c>
      <c r="F340" s="11">
        <f>IF(J340="","", C340 * IFERROR(VLOOKUP(J340, SETUP!$A:$D, 4, FALSE), 0))</f>
        <v>26.8</v>
      </c>
      <c r="G340" s="11">
        <f t="shared" si="1"/>
        <v>26.8</v>
      </c>
      <c r="H340" s="22"/>
      <c r="I340" s="11"/>
      <c r="J340" s="17" t="str">
        <f>IF(TRIM(B340)="","",IF(ISNUMBER(SEARCH(" - ",B340)),TRIM(RIGHT(B340,LEN(B340)-FIND(" - ",B340)-2)),IFERROR(VLOOKUP(UPPER(TRIM(B340)), SETUP!$B$4:$C$11, 2, FALSE), UPPER(TRIM(B340)))))</f>
        <v>AMY</v>
      </c>
      <c r="K340" s="23">
        <f t="shared" si="2"/>
        <v>46062</v>
      </c>
      <c r="L340" s="17">
        <f t="shared" si="3"/>
        <v>46066</v>
      </c>
      <c r="M340" s="17" t="str">
        <f t="shared" si="4"/>
        <v>2026-02</v>
      </c>
    </row>
    <row r="341" ht="15.75" customHeight="1">
      <c r="A341" s="19">
        <v>46066.0</v>
      </c>
      <c r="B341" s="20" t="s">
        <v>20</v>
      </c>
      <c r="C341" s="20">
        <v>35.0</v>
      </c>
      <c r="D341" s="21"/>
      <c r="E341" s="11">
        <f>IF(J341="","", C341 * IFERROR(VLOOKUP(J341, SETUP!$A:$D, 3, FALSE), 0))</f>
        <v>21</v>
      </c>
      <c r="F341" s="11">
        <f>IF(J341="","", C341 * IFERROR(VLOOKUP(J341, SETUP!$A:$D, 4, FALSE), 0))</f>
        <v>14</v>
      </c>
      <c r="G341" s="11">
        <f t="shared" si="1"/>
        <v>14</v>
      </c>
      <c r="H341" s="22"/>
      <c r="I341" s="11"/>
      <c r="J341" s="17" t="str">
        <f>IF(TRIM(B341)="","",IF(ISNUMBER(SEARCH(" - ",B341)),TRIM(RIGHT(B341,LEN(B341)-FIND(" - ",B341)-2)),IFERROR(VLOOKUP(UPPER(TRIM(B341)), SETUP!$B$4:$C$11, 2, FALSE), UPPER(TRIM(B341)))))</f>
        <v>AMY</v>
      </c>
      <c r="K341" s="23">
        <f t="shared" si="2"/>
        <v>46062</v>
      </c>
      <c r="L341" s="17">
        <f t="shared" si="3"/>
        <v>46066</v>
      </c>
      <c r="M341" s="17" t="str">
        <f t="shared" si="4"/>
        <v>2026-02</v>
      </c>
    </row>
    <row r="342" ht="15.75" customHeight="1">
      <c r="A342" s="19">
        <v>46066.0</v>
      </c>
      <c r="B342" s="20" t="s">
        <v>20</v>
      </c>
      <c r="C342" s="20">
        <v>40.0</v>
      </c>
      <c r="D342" s="21"/>
      <c r="E342" s="11">
        <f>IF(J342="","", C342 * IFERROR(VLOOKUP(J342, SETUP!$A:$D, 3, FALSE), 0))</f>
        <v>24</v>
      </c>
      <c r="F342" s="11">
        <f>IF(J342="","", C342 * IFERROR(VLOOKUP(J342, SETUP!$A:$D, 4, FALSE), 0))</f>
        <v>16</v>
      </c>
      <c r="G342" s="11">
        <f t="shared" si="1"/>
        <v>16</v>
      </c>
      <c r="H342" s="22"/>
      <c r="I342" s="11"/>
      <c r="J342" s="17" t="str">
        <f>IF(TRIM(B342)="","",IF(ISNUMBER(SEARCH(" - ",B342)),TRIM(RIGHT(B342,LEN(B342)-FIND(" - ",B342)-2)),IFERROR(VLOOKUP(UPPER(TRIM(B342)), SETUP!$B$4:$C$11, 2, FALSE), UPPER(TRIM(B342)))))</f>
        <v>AMY</v>
      </c>
      <c r="K342" s="23">
        <f t="shared" si="2"/>
        <v>46062</v>
      </c>
      <c r="L342" s="17">
        <f t="shared" si="3"/>
        <v>46066</v>
      </c>
      <c r="M342" s="17" t="str">
        <f t="shared" si="4"/>
        <v>2026-02</v>
      </c>
    </row>
    <row r="343" ht="15.75" customHeight="1">
      <c r="A343" s="19">
        <v>46066.0</v>
      </c>
      <c r="B343" s="20" t="s">
        <v>21</v>
      </c>
      <c r="C343" s="20">
        <v>127.0</v>
      </c>
      <c r="D343" s="21"/>
      <c r="E343" s="11">
        <f>IF(J343="","", C343 * IFERROR(VLOOKUP(J343, SETUP!$A:$D, 3, FALSE), 0))</f>
        <v>76.2</v>
      </c>
      <c r="F343" s="11">
        <f>IF(J343="","", C343 * IFERROR(VLOOKUP(J343, SETUP!$A:$D, 4, FALSE), 0))</f>
        <v>50.8</v>
      </c>
      <c r="G343" s="11">
        <f t="shared" si="1"/>
        <v>50.8</v>
      </c>
      <c r="H343" s="22"/>
      <c r="I343" s="11"/>
      <c r="J343" s="17" t="str">
        <f>IF(TRIM(B343)="","",IF(ISNUMBER(SEARCH(" - ",B343)),TRIM(RIGHT(B343,LEN(B343)-FIND(" - ",B343)-2)),IFERROR(VLOOKUP(UPPER(TRIM(B343)), SETUP!$B$4:$C$11, 2, FALSE), UPPER(TRIM(B343)))))</f>
        <v>TONY</v>
      </c>
      <c r="K343" s="23">
        <f t="shared" si="2"/>
        <v>46062</v>
      </c>
      <c r="L343" s="17">
        <f t="shared" si="3"/>
        <v>46066</v>
      </c>
      <c r="M343" s="17" t="str">
        <f t="shared" si="4"/>
        <v>2026-02</v>
      </c>
    </row>
    <row r="344" ht="15.75" customHeight="1">
      <c r="A344" s="19">
        <v>46066.0</v>
      </c>
      <c r="B344" s="20" t="s">
        <v>21</v>
      </c>
      <c r="C344" s="20">
        <v>50.0</v>
      </c>
      <c r="D344" s="21"/>
      <c r="E344" s="11">
        <f>IF(J344="","", C344 * IFERROR(VLOOKUP(J344, SETUP!$A:$D, 3, FALSE), 0))</f>
        <v>30</v>
      </c>
      <c r="F344" s="11">
        <f>IF(J344="","", C344 * IFERROR(VLOOKUP(J344, SETUP!$A:$D, 4, FALSE), 0))</f>
        <v>20</v>
      </c>
      <c r="G344" s="11">
        <f t="shared" si="1"/>
        <v>20</v>
      </c>
      <c r="H344" s="22"/>
      <c r="I344" s="11"/>
      <c r="J344" s="17" t="str">
        <f>IF(TRIM(B344)="","",IF(ISNUMBER(SEARCH(" - ",B344)),TRIM(RIGHT(B344,LEN(B344)-FIND(" - ",B344)-2)),IFERROR(VLOOKUP(UPPER(TRIM(B344)), SETUP!$B$4:$C$11, 2, FALSE), UPPER(TRIM(B344)))))</f>
        <v>TONY</v>
      </c>
      <c r="K344" s="23">
        <f t="shared" si="2"/>
        <v>46062</v>
      </c>
      <c r="L344" s="17">
        <f t="shared" si="3"/>
        <v>46066</v>
      </c>
      <c r="M344" s="17" t="str">
        <f t="shared" si="4"/>
        <v>2026-02</v>
      </c>
    </row>
    <row r="345" ht="15.75" customHeight="1">
      <c r="A345" s="19">
        <v>46066.0</v>
      </c>
      <c r="B345" s="20" t="s">
        <v>21</v>
      </c>
      <c r="C345" s="20">
        <v>77.0</v>
      </c>
      <c r="D345" s="21"/>
      <c r="E345" s="11">
        <f>IF(J345="","", C345 * IFERROR(VLOOKUP(J345, SETUP!$A:$D, 3, FALSE), 0))</f>
        <v>46.2</v>
      </c>
      <c r="F345" s="11">
        <f>IF(J345="","", C345 * IFERROR(VLOOKUP(J345, SETUP!$A:$D, 4, FALSE), 0))</f>
        <v>30.8</v>
      </c>
      <c r="G345" s="11">
        <f t="shared" si="1"/>
        <v>30.8</v>
      </c>
      <c r="H345" s="22"/>
      <c r="I345" s="11"/>
      <c r="J345" s="17" t="str">
        <f>IF(TRIM(B345)="","",IF(ISNUMBER(SEARCH(" - ",B345)),TRIM(RIGHT(B345,LEN(B345)-FIND(" - ",B345)-2)),IFERROR(VLOOKUP(UPPER(TRIM(B345)), SETUP!$B$4:$C$11, 2, FALSE), UPPER(TRIM(B345)))))</f>
        <v>TONY</v>
      </c>
      <c r="K345" s="23">
        <f t="shared" si="2"/>
        <v>46062</v>
      </c>
      <c r="L345" s="17">
        <f t="shared" si="3"/>
        <v>46066</v>
      </c>
      <c r="M345" s="17" t="str">
        <f t="shared" si="4"/>
        <v>2026-02</v>
      </c>
    </row>
    <row r="346" ht="15.75" customHeight="1">
      <c r="A346" s="19">
        <v>46066.0</v>
      </c>
      <c r="B346" s="20" t="s">
        <v>21</v>
      </c>
      <c r="C346" s="20">
        <v>97.0</v>
      </c>
      <c r="D346" s="21"/>
      <c r="E346" s="11">
        <f>IF(J346="","", C346 * IFERROR(VLOOKUP(J346, SETUP!$A:$D, 3, FALSE), 0))</f>
        <v>58.2</v>
      </c>
      <c r="F346" s="11">
        <f>IF(J346="","", C346 * IFERROR(VLOOKUP(J346, SETUP!$A:$D, 4, FALSE), 0))</f>
        <v>38.8</v>
      </c>
      <c r="G346" s="11">
        <f t="shared" si="1"/>
        <v>38.8</v>
      </c>
      <c r="H346" s="22"/>
      <c r="I346" s="11"/>
      <c r="J346" s="17" t="str">
        <f>IF(TRIM(B346)="","",IF(ISNUMBER(SEARCH(" - ",B346)),TRIM(RIGHT(B346,LEN(B346)-FIND(" - ",B346)-2)),IFERROR(VLOOKUP(UPPER(TRIM(B346)), SETUP!$B$4:$C$11, 2, FALSE), UPPER(TRIM(B346)))))</f>
        <v>TONY</v>
      </c>
      <c r="K346" s="23">
        <f t="shared" si="2"/>
        <v>46062</v>
      </c>
      <c r="L346" s="17">
        <f t="shared" si="3"/>
        <v>46066</v>
      </c>
      <c r="M346" s="17" t="str">
        <f t="shared" si="4"/>
        <v>2026-02</v>
      </c>
    </row>
    <row r="347" ht="15.75" customHeight="1">
      <c r="A347" s="19">
        <v>46066.0</v>
      </c>
      <c r="B347" s="20" t="s">
        <v>21</v>
      </c>
      <c r="C347" s="20">
        <v>47.0</v>
      </c>
      <c r="D347" s="21"/>
      <c r="E347" s="11">
        <f>IF(J347="","", C347 * IFERROR(VLOOKUP(J347, SETUP!$A:$D, 3, FALSE), 0))</f>
        <v>28.2</v>
      </c>
      <c r="F347" s="11">
        <f>IF(J347="","", C347 * IFERROR(VLOOKUP(J347, SETUP!$A:$D, 4, FALSE), 0))</f>
        <v>18.8</v>
      </c>
      <c r="G347" s="11">
        <f t="shared" si="1"/>
        <v>18.8</v>
      </c>
      <c r="H347" s="22"/>
      <c r="I347" s="11"/>
      <c r="J347" s="17" t="str">
        <f>IF(TRIM(B347)="","",IF(ISNUMBER(SEARCH(" - ",B347)),TRIM(RIGHT(B347,LEN(B347)-FIND(" - ",B347)-2)),IFERROR(VLOOKUP(UPPER(TRIM(B347)), SETUP!$B$4:$C$11, 2, FALSE), UPPER(TRIM(B347)))))</f>
        <v>TONY</v>
      </c>
      <c r="K347" s="23">
        <f t="shared" si="2"/>
        <v>46062</v>
      </c>
      <c r="L347" s="17">
        <f t="shared" si="3"/>
        <v>46066</v>
      </c>
      <c r="M347" s="17" t="str">
        <f t="shared" si="4"/>
        <v>2026-02</v>
      </c>
    </row>
    <row r="348" ht="15.75" customHeight="1">
      <c r="A348" s="19">
        <v>46066.0</v>
      </c>
      <c r="B348" s="20" t="s">
        <v>21</v>
      </c>
      <c r="C348" s="20">
        <v>20.0</v>
      </c>
      <c r="D348" s="21"/>
      <c r="E348" s="11">
        <f>IF(J348="","", C348 * IFERROR(VLOOKUP(J348, SETUP!$A:$D, 3, FALSE), 0))</f>
        <v>12</v>
      </c>
      <c r="F348" s="11">
        <f>IF(J348="","", C348 * IFERROR(VLOOKUP(J348, SETUP!$A:$D, 4, FALSE), 0))</f>
        <v>8</v>
      </c>
      <c r="G348" s="11">
        <f t="shared" si="1"/>
        <v>8</v>
      </c>
      <c r="H348" s="22"/>
      <c r="I348" s="11"/>
      <c r="J348" s="17" t="str">
        <f>IF(TRIM(B348)="","",IF(ISNUMBER(SEARCH(" - ",B348)),TRIM(RIGHT(B348,LEN(B348)-FIND(" - ",B348)-2)),IFERROR(VLOOKUP(UPPER(TRIM(B348)), SETUP!$B$4:$C$11, 2, FALSE), UPPER(TRIM(B348)))))</f>
        <v>TONY</v>
      </c>
      <c r="K348" s="23">
        <f t="shared" si="2"/>
        <v>46062</v>
      </c>
      <c r="L348" s="17">
        <f t="shared" si="3"/>
        <v>46066</v>
      </c>
      <c r="M348" s="17" t="str">
        <f t="shared" si="4"/>
        <v>2026-02</v>
      </c>
    </row>
    <row r="349" ht="15.75" customHeight="1">
      <c r="A349" s="19">
        <v>46066.0</v>
      </c>
      <c r="B349" s="20" t="s">
        <v>21</v>
      </c>
      <c r="C349" s="20">
        <v>107.0</v>
      </c>
      <c r="D349" s="21"/>
      <c r="E349" s="11">
        <f>IF(J349="","", C349 * IFERROR(VLOOKUP(J349, SETUP!$A:$D, 3, FALSE), 0))</f>
        <v>64.2</v>
      </c>
      <c r="F349" s="11">
        <f>IF(J349="","", C349 * IFERROR(VLOOKUP(J349, SETUP!$A:$D, 4, FALSE), 0))</f>
        <v>42.8</v>
      </c>
      <c r="G349" s="11">
        <f t="shared" si="1"/>
        <v>42.8</v>
      </c>
      <c r="H349" s="22"/>
      <c r="I349" s="11"/>
      <c r="J349" s="17" t="str">
        <f>IF(TRIM(B349)="","",IF(ISNUMBER(SEARCH(" - ",B349)),TRIM(RIGHT(B349,LEN(B349)-FIND(" - ",B349)-2)),IFERROR(VLOOKUP(UPPER(TRIM(B349)), SETUP!$B$4:$C$11, 2, FALSE), UPPER(TRIM(B349)))))</f>
        <v>TONY</v>
      </c>
      <c r="K349" s="23">
        <f t="shared" si="2"/>
        <v>46062</v>
      </c>
      <c r="L349" s="17">
        <f t="shared" si="3"/>
        <v>46066</v>
      </c>
      <c r="M349" s="17" t="str">
        <f t="shared" si="4"/>
        <v>2026-02</v>
      </c>
    </row>
    <row r="350" ht="15.75" customHeight="1">
      <c r="A350" s="19">
        <v>46066.0</v>
      </c>
      <c r="B350" s="20" t="s">
        <v>21</v>
      </c>
      <c r="C350" s="20">
        <v>77.0</v>
      </c>
      <c r="D350" s="21"/>
      <c r="E350" s="11">
        <f>IF(J350="","", C350 * IFERROR(VLOOKUP(J350, SETUP!$A:$D, 3, FALSE), 0))</f>
        <v>46.2</v>
      </c>
      <c r="F350" s="11">
        <f>IF(J350="","", C350 * IFERROR(VLOOKUP(J350, SETUP!$A:$D, 4, FALSE), 0))</f>
        <v>30.8</v>
      </c>
      <c r="G350" s="11">
        <f t="shared" si="1"/>
        <v>30.8</v>
      </c>
      <c r="H350" s="22"/>
      <c r="I350" s="11"/>
      <c r="J350" s="17" t="str">
        <f>IF(TRIM(B350)="","",IF(ISNUMBER(SEARCH(" - ",B350)),TRIM(RIGHT(B350,LEN(B350)-FIND(" - ",B350)-2)),IFERROR(VLOOKUP(UPPER(TRIM(B350)), SETUP!$B$4:$C$11, 2, FALSE), UPPER(TRIM(B350)))))</f>
        <v>TONY</v>
      </c>
      <c r="K350" s="23">
        <f t="shared" si="2"/>
        <v>46062</v>
      </c>
      <c r="L350" s="17">
        <f t="shared" si="3"/>
        <v>46066</v>
      </c>
      <c r="M350" s="17" t="str">
        <f t="shared" si="4"/>
        <v>2026-02</v>
      </c>
    </row>
    <row r="351" ht="15.75" customHeight="1">
      <c r="A351" s="19">
        <v>46066.0</v>
      </c>
      <c r="B351" s="20" t="s">
        <v>21</v>
      </c>
      <c r="C351" s="20">
        <v>72.0</v>
      </c>
      <c r="D351" s="21"/>
      <c r="E351" s="11">
        <f>IF(J351="","", C351 * IFERROR(VLOOKUP(J351, SETUP!$A:$D, 3, FALSE), 0))</f>
        <v>43.2</v>
      </c>
      <c r="F351" s="11">
        <f>IF(J351="","", C351 * IFERROR(VLOOKUP(J351, SETUP!$A:$D, 4, FALSE), 0))</f>
        <v>28.8</v>
      </c>
      <c r="G351" s="11">
        <f t="shared" si="1"/>
        <v>28.8</v>
      </c>
      <c r="H351" s="22"/>
      <c r="I351" s="11"/>
      <c r="J351" s="17" t="str">
        <f>IF(TRIM(B351)="","",IF(ISNUMBER(SEARCH(" - ",B351)),TRIM(RIGHT(B351,LEN(B351)-FIND(" - ",B351)-2)),IFERROR(VLOOKUP(UPPER(TRIM(B351)), SETUP!$B$4:$C$11, 2, FALSE), UPPER(TRIM(B351)))))</f>
        <v>TONY</v>
      </c>
      <c r="K351" s="23">
        <f t="shared" si="2"/>
        <v>46062</v>
      </c>
      <c r="L351" s="17">
        <f t="shared" si="3"/>
        <v>46066</v>
      </c>
      <c r="M351" s="17" t="str">
        <f t="shared" si="4"/>
        <v>2026-02</v>
      </c>
    </row>
    <row r="352" ht="15.75" customHeight="1">
      <c r="A352" s="25">
        <v>46067.0</v>
      </c>
      <c r="B352" s="26" t="s">
        <v>16</v>
      </c>
      <c r="C352" s="26">
        <v>64.0</v>
      </c>
      <c r="D352" s="21"/>
      <c r="E352" s="11">
        <f>IF(J352="","", C352 * IFERROR(VLOOKUP(J352, SETUP!$A:$D, 3, FALSE), 0))</f>
        <v>0</v>
      </c>
      <c r="F352" s="11">
        <f>IF(J352="","", C352 * IFERROR(VLOOKUP(J352, SETUP!$A:$D, 4, FALSE), 0))</f>
        <v>64</v>
      </c>
      <c r="G352" s="11">
        <f t="shared" si="1"/>
        <v>64</v>
      </c>
      <c r="H352" s="22"/>
      <c r="I352" s="11"/>
      <c r="J352" s="17" t="str">
        <f>IF(TRIM(B352)="","",IF(ISNUMBER(SEARCH(" - ",B352)),TRIM(RIGHT(B352,LEN(B352)-FIND(" - ",B352)-2)),IFERROR(VLOOKUP(UPPER(TRIM(B352)), SETUP!$B$4:$C$11, 2, FALSE), UPPER(TRIM(B352)))))</f>
        <v>KEN</v>
      </c>
      <c r="K352" s="23">
        <f t="shared" si="2"/>
        <v>46062</v>
      </c>
      <c r="L352" s="17">
        <f t="shared" si="3"/>
        <v>46067</v>
      </c>
      <c r="M352" s="17" t="str">
        <f t="shared" si="4"/>
        <v>2026-02</v>
      </c>
    </row>
    <row r="353" ht="15.75" customHeight="1">
      <c r="A353" s="25">
        <v>46067.0</v>
      </c>
      <c r="B353" s="26" t="s">
        <v>16</v>
      </c>
      <c r="C353" s="26">
        <v>170.0</v>
      </c>
      <c r="D353" s="21"/>
      <c r="E353" s="11">
        <f>IF(J353="","", C353 * IFERROR(VLOOKUP(J353, SETUP!$A:$D, 3, FALSE), 0))</f>
        <v>0</v>
      </c>
      <c r="F353" s="11">
        <f>IF(J353="","", C353 * IFERROR(VLOOKUP(J353, SETUP!$A:$D, 4, FALSE), 0))</f>
        <v>170</v>
      </c>
      <c r="G353" s="11">
        <f t="shared" si="1"/>
        <v>170</v>
      </c>
      <c r="H353" s="22"/>
      <c r="I353" s="11"/>
      <c r="J353" s="17" t="str">
        <f>IF(TRIM(B353)="","",IF(ISNUMBER(SEARCH(" - ",B353)),TRIM(RIGHT(B353,LEN(B353)-FIND(" - ",B353)-2)),IFERROR(VLOOKUP(UPPER(TRIM(B353)), SETUP!$B$4:$C$11, 2, FALSE), UPPER(TRIM(B353)))))</f>
        <v>KEN</v>
      </c>
      <c r="K353" s="23">
        <f t="shared" si="2"/>
        <v>46062</v>
      </c>
      <c r="L353" s="17">
        <f t="shared" si="3"/>
        <v>46067</v>
      </c>
      <c r="M353" s="17" t="str">
        <f t="shared" si="4"/>
        <v>2026-02</v>
      </c>
    </row>
    <row r="354" ht="15.75" customHeight="1">
      <c r="A354" s="25">
        <v>46067.0</v>
      </c>
      <c r="B354" s="26" t="s">
        <v>17</v>
      </c>
      <c r="C354" s="26">
        <v>72.0</v>
      </c>
      <c r="D354" s="21"/>
      <c r="E354" s="11">
        <f>IF(J354="","", C354 * IFERROR(VLOOKUP(J354, SETUP!$A:$D, 3, FALSE), 0))</f>
        <v>43.2</v>
      </c>
      <c r="F354" s="11">
        <f>IF(J354="","", C354 * IFERROR(VLOOKUP(J354, SETUP!$A:$D, 4, FALSE), 0))</f>
        <v>28.8</v>
      </c>
      <c r="G354" s="11">
        <f t="shared" si="1"/>
        <v>28.8</v>
      </c>
      <c r="H354" s="22"/>
      <c r="I354" s="11"/>
      <c r="J354" s="17" t="str">
        <f>IF(TRIM(B354)="","",IF(ISNUMBER(SEARCH(" - ",B354)),TRIM(RIGHT(B354,LEN(B354)-FIND(" - ",B354)-2)),IFERROR(VLOOKUP(UPPER(TRIM(B354)), SETUP!$B$4:$C$11, 2, FALSE), UPPER(TRIM(B354)))))</f>
        <v>RYAN</v>
      </c>
      <c r="K354" s="23">
        <f t="shared" si="2"/>
        <v>46062</v>
      </c>
      <c r="L354" s="17">
        <f t="shared" si="3"/>
        <v>46067</v>
      </c>
      <c r="M354" s="17" t="str">
        <f t="shared" si="4"/>
        <v>2026-02</v>
      </c>
    </row>
    <row r="355" ht="15.75" customHeight="1">
      <c r="A355" s="25">
        <v>46067.0</v>
      </c>
      <c r="B355" s="26" t="s">
        <v>17</v>
      </c>
      <c r="C355" s="26">
        <v>70.0</v>
      </c>
      <c r="D355" s="21"/>
      <c r="E355" s="11">
        <f>IF(J355="","", C355 * IFERROR(VLOOKUP(J355, SETUP!$A:$D, 3, FALSE), 0))</f>
        <v>42</v>
      </c>
      <c r="F355" s="11">
        <f>IF(J355="","", C355 * IFERROR(VLOOKUP(J355, SETUP!$A:$D, 4, FALSE), 0))</f>
        <v>28</v>
      </c>
      <c r="G355" s="11">
        <f t="shared" si="1"/>
        <v>28</v>
      </c>
      <c r="H355" s="22"/>
      <c r="I355" s="11"/>
      <c r="J355" s="17" t="str">
        <f>IF(TRIM(B355)="","",IF(ISNUMBER(SEARCH(" - ",B355)),TRIM(RIGHT(B355,LEN(B355)-FIND(" - ",B355)-2)),IFERROR(VLOOKUP(UPPER(TRIM(B355)), SETUP!$B$4:$C$11, 2, FALSE), UPPER(TRIM(B355)))))</f>
        <v>RYAN</v>
      </c>
      <c r="K355" s="23">
        <f t="shared" si="2"/>
        <v>46062</v>
      </c>
      <c r="L355" s="17">
        <f t="shared" si="3"/>
        <v>46067</v>
      </c>
      <c r="M355" s="17" t="str">
        <f t="shared" si="4"/>
        <v>2026-02</v>
      </c>
    </row>
    <row r="356" ht="15.75" customHeight="1">
      <c r="A356" s="25">
        <v>46067.0</v>
      </c>
      <c r="B356" s="26" t="s">
        <v>17</v>
      </c>
      <c r="C356" s="26">
        <v>72.0</v>
      </c>
      <c r="D356" s="21"/>
      <c r="E356" s="11">
        <f>IF(J356="","", C356 * IFERROR(VLOOKUP(J356, SETUP!$A:$D, 3, FALSE), 0))</f>
        <v>43.2</v>
      </c>
      <c r="F356" s="11">
        <f>IF(J356="","", C356 * IFERROR(VLOOKUP(J356, SETUP!$A:$D, 4, FALSE), 0))</f>
        <v>28.8</v>
      </c>
      <c r="G356" s="11">
        <f t="shared" si="1"/>
        <v>28.8</v>
      </c>
      <c r="H356" s="22"/>
      <c r="I356" s="11"/>
      <c r="J356" s="17" t="str">
        <f>IF(TRIM(B356)="","",IF(ISNUMBER(SEARCH(" - ",B356)),TRIM(RIGHT(B356,LEN(B356)-FIND(" - ",B356)-2)),IFERROR(VLOOKUP(UPPER(TRIM(B356)), SETUP!$B$4:$C$11, 2, FALSE), UPPER(TRIM(B356)))))</f>
        <v>RYAN</v>
      </c>
      <c r="K356" s="23">
        <f t="shared" si="2"/>
        <v>46062</v>
      </c>
      <c r="L356" s="17">
        <f t="shared" si="3"/>
        <v>46067</v>
      </c>
      <c r="M356" s="17" t="str">
        <f t="shared" si="4"/>
        <v>2026-02</v>
      </c>
    </row>
    <row r="357" ht="15.75" customHeight="1">
      <c r="A357" s="25">
        <v>46067.0</v>
      </c>
      <c r="B357" s="26" t="s">
        <v>17</v>
      </c>
      <c r="C357" s="26">
        <v>72.0</v>
      </c>
      <c r="D357" s="21"/>
      <c r="E357" s="11">
        <f>IF(J357="","", C357 * IFERROR(VLOOKUP(J357, SETUP!$A:$D, 3, FALSE), 0))</f>
        <v>43.2</v>
      </c>
      <c r="F357" s="11">
        <f>IF(J357="","", C357 * IFERROR(VLOOKUP(J357, SETUP!$A:$D, 4, FALSE), 0))</f>
        <v>28.8</v>
      </c>
      <c r="G357" s="11">
        <f t="shared" si="1"/>
        <v>28.8</v>
      </c>
      <c r="H357" s="22"/>
      <c r="I357" s="11"/>
      <c r="J357" s="17" t="str">
        <f>IF(TRIM(B357)="","",IF(ISNUMBER(SEARCH(" - ",B357)),TRIM(RIGHT(B357,LEN(B357)-FIND(" - ",B357)-2)),IFERROR(VLOOKUP(UPPER(TRIM(B357)), SETUP!$B$4:$C$11, 2, FALSE), UPPER(TRIM(B357)))))</f>
        <v>RYAN</v>
      </c>
      <c r="K357" s="23">
        <f t="shared" si="2"/>
        <v>46062</v>
      </c>
      <c r="L357" s="17">
        <f t="shared" si="3"/>
        <v>46067</v>
      </c>
      <c r="M357" s="17" t="str">
        <f t="shared" si="4"/>
        <v>2026-02</v>
      </c>
    </row>
    <row r="358" ht="15.75" customHeight="1">
      <c r="A358" s="25">
        <v>46067.0</v>
      </c>
      <c r="B358" s="26" t="s">
        <v>17</v>
      </c>
      <c r="C358" s="26">
        <v>47.0</v>
      </c>
      <c r="D358" s="21"/>
      <c r="E358" s="11">
        <f>IF(J358="","", C358 * IFERROR(VLOOKUP(J358, SETUP!$A:$D, 3, FALSE), 0))</f>
        <v>28.2</v>
      </c>
      <c r="F358" s="11">
        <f>IF(J358="","", C358 * IFERROR(VLOOKUP(J358, SETUP!$A:$D, 4, FALSE), 0))</f>
        <v>18.8</v>
      </c>
      <c r="G358" s="11">
        <f t="shared" si="1"/>
        <v>18.8</v>
      </c>
      <c r="H358" s="22"/>
      <c r="I358" s="11"/>
      <c r="J358" s="17" t="str">
        <f>IF(TRIM(B358)="","",IF(ISNUMBER(SEARCH(" - ",B358)),TRIM(RIGHT(B358,LEN(B358)-FIND(" - ",B358)-2)),IFERROR(VLOOKUP(UPPER(TRIM(B358)), SETUP!$B$4:$C$11, 2, FALSE), UPPER(TRIM(B358)))))</f>
        <v>RYAN</v>
      </c>
      <c r="K358" s="23">
        <f t="shared" si="2"/>
        <v>46062</v>
      </c>
      <c r="L358" s="17">
        <f t="shared" si="3"/>
        <v>46067</v>
      </c>
      <c r="M358" s="17" t="str">
        <f t="shared" si="4"/>
        <v>2026-02</v>
      </c>
    </row>
    <row r="359" ht="15.75" customHeight="1">
      <c r="A359" s="25">
        <v>46067.0</v>
      </c>
      <c r="B359" s="26" t="s">
        <v>17</v>
      </c>
      <c r="C359" s="26">
        <v>47.0</v>
      </c>
      <c r="D359" s="21"/>
      <c r="E359" s="11">
        <f>IF(J359="","", C359 * IFERROR(VLOOKUP(J359, SETUP!$A:$D, 3, FALSE), 0))</f>
        <v>28.2</v>
      </c>
      <c r="F359" s="11">
        <f>IF(J359="","", C359 * IFERROR(VLOOKUP(J359, SETUP!$A:$D, 4, FALSE), 0))</f>
        <v>18.8</v>
      </c>
      <c r="G359" s="11">
        <f t="shared" si="1"/>
        <v>18.8</v>
      </c>
      <c r="H359" s="22"/>
      <c r="I359" s="11"/>
      <c r="J359" s="17" t="str">
        <f>IF(TRIM(B359)="","",IF(ISNUMBER(SEARCH(" - ",B359)),TRIM(RIGHT(B359,LEN(B359)-FIND(" - ",B359)-2)),IFERROR(VLOOKUP(UPPER(TRIM(B359)), SETUP!$B$4:$C$11, 2, FALSE), UPPER(TRIM(B359)))))</f>
        <v>RYAN</v>
      </c>
      <c r="K359" s="23">
        <f t="shared" si="2"/>
        <v>46062</v>
      </c>
      <c r="L359" s="17">
        <f t="shared" si="3"/>
        <v>46067</v>
      </c>
      <c r="M359" s="17" t="str">
        <f t="shared" si="4"/>
        <v>2026-02</v>
      </c>
    </row>
    <row r="360" ht="15.75" customHeight="1">
      <c r="A360" s="25">
        <v>46067.0</v>
      </c>
      <c r="B360" s="26" t="s">
        <v>18</v>
      </c>
      <c r="C360" s="26">
        <v>50.0</v>
      </c>
      <c r="D360" s="21"/>
      <c r="E360" s="11">
        <f>IF(J360="","", C360 * IFERROR(VLOOKUP(J360, SETUP!$A:$D, 3, FALSE), 0))</f>
        <v>25</v>
      </c>
      <c r="F360" s="11">
        <f>IF(J360="","", C360 * IFERROR(VLOOKUP(J360, SETUP!$A:$D, 4, FALSE), 0))</f>
        <v>25</v>
      </c>
      <c r="G360" s="11">
        <f t="shared" si="1"/>
        <v>25</v>
      </c>
      <c r="H360" s="22"/>
      <c r="I360" s="11"/>
      <c r="J360" s="17" t="str">
        <f>IF(TRIM(B360)="","",IF(ISNUMBER(SEARCH(" - ",B360)),TRIM(RIGHT(B360,LEN(B360)-FIND(" - ",B360)-2)),IFERROR(VLOOKUP(UPPER(TRIM(B360)), SETUP!$B$4:$C$11, 2, FALSE), UPPER(TRIM(B360)))))</f>
        <v>CRIS</v>
      </c>
      <c r="K360" s="23">
        <f t="shared" si="2"/>
        <v>46062</v>
      </c>
      <c r="L360" s="17">
        <f t="shared" si="3"/>
        <v>46067</v>
      </c>
      <c r="M360" s="17" t="str">
        <f t="shared" si="4"/>
        <v>2026-02</v>
      </c>
    </row>
    <row r="361" ht="15.75" customHeight="1">
      <c r="A361" s="25">
        <v>46067.0</v>
      </c>
      <c r="B361" s="26" t="s">
        <v>18</v>
      </c>
      <c r="C361" s="26">
        <v>65.0</v>
      </c>
      <c r="D361" s="21"/>
      <c r="E361" s="11">
        <f>IF(J361="","", C361 * IFERROR(VLOOKUP(J361, SETUP!$A:$D, 3, FALSE), 0))</f>
        <v>32.5</v>
      </c>
      <c r="F361" s="11">
        <f>IF(J361="","", C361 * IFERROR(VLOOKUP(J361, SETUP!$A:$D, 4, FALSE), 0))</f>
        <v>32.5</v>
      </c>
      <c r="G361" s="11">
        <f t="shared" si="1"/>
        <v>32.5</v>
      </c>
      <c r="H361" s="22"/>
      <c r="I361" s="11"/>
      <c r="J361" s="17" t="str">
        <f>IF(TRIM(B361)="","",IF(ISNUMBER(SEARCH(" - ",B361)),TRIM(RIGHT(B361,LEN(B361)-FIND(" - ",B361)-2)),IFERROR(VLOOKUP(UPPER(TRIM(B361)), SETUP!$B$4:$C$11, 2, FALSE), UPPER(TRIM(B361)))))</f>
        <v>CRIS</v>
      </c>
      <c r="K361" s="23">
        <f t="shared" si="2"/>
        <v>46062</v>
      </c>
      <c r="L361" s="17">
        <f t="shared" si="3"/>
        <v>46067</v>
      </c>
      <c r="M361" s="17" t="str">
        <f t="shared" si="4"/>
        <v>2026-02</v>
      </c>
    </row>
    <row r="362" ht="15.75" customHeight="1">
      <c r="A362" s="25">
        <v>46067.0</v>
      </c>
      <c r="B362" s="26" t="s">
        <v>18</v>
      </c>
      <c r="C362" s="26">
        <v>50.0</v>
      </c>
      <c r="D362" s="21"/>
      <c r="E362" s="11">
        <f>IF(J362="","", C362 * IFERROR(VLOOKUP(J362, SETUP!$A:$D, 3, FALSE), 0))</f>
        <v>25</v>
      </c>
      <c r="F362" s="11">
        <f>IF(J362="","", C362 * IFERROR(VLOOKUP(J362, SETUP!$A:$D, 4, FALSE), 0))</f>
        <v>25</v>
      </c>
      <c r="G362" s="11">
        <f t="shared" si="1"/>
        <v>25</v>
      </c>
      <c r="H362" s="22"/>
      <c r="I362" s="11"/>
      <c r="J362" s="17" t="str">
        <f>IF(TRIM(B362)="","",IF(ISNUMBER(SEARCH(" - ",B362)),TRIM(RIGHT(B362,LEN(B362)-FIND(" - ",B362)-2)),IFERROR(VLOOKUP(UPPER(TRIM(B362)), SETUP!$B$4:$C$11, 2, FALSE), UPPER(TRIM(B362)))))</f>
        <v>CRIS</v>
      </c>
      <c r="K362" s="23">
        <f t="shared" si="2"/>
        <v>46062</v>
      </c>
      <c r="L362" s="17">
        <f t="shared" si="3"/>
        <v>46067</v>
      </c>
      <c r="M362" s="17" t="str">
        <f t="shared" si="4"/>
        <v>2026-02</v>
      </c>
    </row>
    <row r="363" ht="15.75" customHeight="1">
      <c r="A363" s="25">
        <v>46067.0</v>
      </c>
      <c r="B363" s="26" t="s">
        <v>18</v>
      </c>
      <c r="C363" s="26">
        <v>35.0</v>
      </c>
      <c r="D363" s="21"/>
      <c r="E363" s="11">
        <f>IF(J363="","", C363 * IFERROR(VLOOKUP(J363, SETUP!$A:$D, 3, FALSE), 0))</f>
        <v>17.5</v>
      </c>
      <c r="F363" s="11">
        <f>IF(J363="","", C363 * IFERROR(VLOOKUP(J363, SETUP!$A:$D, 4, FALSE), 0))</f>
        <v>17.5</v>
      </c>
      <c r="G363" s="11">
        <f t="shared" si="1"/>
        <v>17.5</v>
      </c>
      <c r="H363" s="22"/>
      <c r="I363" s="11"/>
      <c r="J363" s="17" t="str">
        <f>IF(TRIM(B363)="","",IF(ISNUMBER(SEARCH(" - ",B363)),TRIM(RIGHT(B363,LEN(B363)-FIND(" - ",B363)-2)),IFERROR(VLOOKUP(UPPER(TRIM(B363)), SETUP!$B$4:$C$11, 2, FALSE), UPPER(TRIM(B363)))))</f>
        <v>CRIS</v>
      </c>
      <c r="K363" s="23">
        <f t="shared" si="2"/>
        <v>46062</v>
      </c>
      <c r="L363" s="17">
        <f t="shared" si="3"/>
        <v>46067</v>
      </c>
      <c r="M363" s="17" t="str">
        <f t="shared" si="4"/>
        <v>2026-02</v>
      </c>
    </row>
    <row r="364" ht="15.75" customHeight="1">
      <c r="A364" s="25">
        <v>46067.0</v>
      </c>
      <c r="B364" s="26" t="s">
        <v>18</v>
      </c>
      <c r="C364" s="26">
        <v>80.0</v>
      </c>
      <c r="D364" s="21"/>
      <c r="E364" s="11">
        <f>IF(J364="","", C364 * IFERROR(VLOOKUP(J364, SETUP!$A:$D, 3, FALSE), 0))</f>
        <v>40</v>
      </c>
      <c r="F364" s="11">
        <f>IF(J364="","", C364 * IFERROR(VLOOKUP(J364, SETUP!$A:$D, 4, FALSE), 0))</f>
        <v>40</v>
      </c>
      <c r="G364" s="11">
        <f t="shared" si="1"/>
        <v>40</v>
      </c>
      <c r="H364" s="22"/>
      <c r="I364" s="11"/>
      <c r="J364" s="17" t="str">
        <f>IF(TRIM(B364)="","",IF(ISNUMBER(SEARCH(" - ",B364)),TRIM(RIGHT(B364,LEN(B364)-FIND(" - ",B364)-2)),IFERROR(VLOOKUP(UPPER(TRIM(B364)), SETUP!$B$4:$C$11, 2, FALSE), UPPER(TRIM(B364)))))</f>
        <v>CRIS</v>
      </c>
      <c r="K364" s="23">
        <f t="shared" si="2"/>
        <v>46062</v>
      </c>
      <c r="L364" s="17">
        <f t="shared" si="3"/>
        <v>46067</v>
      </c>
      <c r="M364" s="17" t="str">
        <f t="shared" si="4"/>
        <v>2026-02</v>
      </c>
    </row>
    <row r="365" ht="15.75" customHeight="1">
      <c r="A365" s="25">
        <v>46067.0</v>
      </c>
      <c r="B365" s="26" t="s">
        <v>18</v>
      </c>
      <c r="C365" s="26">
        <v>50.0</v>
      </c>
      <c r="D365" s="21"/>
      <c r="E365" s="11">
        <f>IF(J365="","", C365 * IFERROR(VLOOKUP(J365, SETUP!$A:$D, 3, FALSE), 0))</f>
        <v>25</v>
      </c>
      <c r="F365" s="11">
        <f>IF(J365="","", C365 * IFERROR(VLOOKUP(J365, SETUP!$A:$D, 4, FALSE), 0))</f>
        <v>25</v>
      </c>
      <c r="G365" s="11">
        <f t="shared" si="1"/>
        <v>25</v>
      </c>
      <c r="H365" s="22"/>
      <c r="I365" s="11"/>
      <c r="J365" s="17" t="str">
        <f>IF(TRIM(B365)="","",IF(ISNUMBER(SEARCH(" - ",B365)),TRIM(RIGHT(B365,LEN(B365)-FIND(" - ",B365)-2)),IFERROR(VLOOKUP(UPPER(TRIM(B365)), SETUP!$B$4:$C$11, 2, FALSE), UPPER(TRIM(B365)))))</f>
        <v>CRIS</v>
      </c>
      <c r="K365" s="23">
        <f t="shared" si="2"/>
        <v>46062</v>
      </c>
      <c r="L365" s="17">
        <f t="shared" si="3"/>
        <v>46067</v>
      </c>
      <c r="M365" s="17" t="str">
        <f t="shared" si="4"/>
        <v>2026-02</v>
      </c>
    </row>
    <row r="366" ht="15.75" customHeight="1">
      <c r="A366" s="25">
        <v>46067.0</v>
      </c>
      <c r="B366" s="26" t="s">
        <v>19</v>
      </c>
      <c r="C366" s="26">
        <v>142.0</v>
      </c>
      <c r="D366" s="21"/>
      <c r="E366" s="11">
        <f>IF(J366="","", C366 * IFERROR(VLOOKUP(J366, SETUP!$A:$D, 3, FALSE), 0))</f>
        <v>0</v>
      </c>
      <c r="F366" s="11">
        <f>IF(J366="","", C366 * IFERROR(VLOOKUP(J366, SETUP!$A:$D, 4, FALSE), 0))</f>
        <v>142</v>
      </c>
      <c r="G366" s="11">
        <f t="shared" si="1"/>
        <v>142</v>
      </c>
      <c r="H366" s="22"/>
      <c r="I366" s="11"/>
      <c r="J366" s="17" t="str">
        <f>IF(TRIM(B366)="","",IF(ISNUMBER(SEARCH(" - ",B366)),TRIM(RIGHT(B366,LEN(B366)-FIND(" - ",B366)-2)),IFERROR(VLOOKUP(UPPER(TRIM(B366)), SETUP!$B$4:$C$11, 2, FALSE), UPPER(TRIM(B366)))))</f>
        <v>HANNI</v>
      </c>
      <c r="K366" s="23">
        <f t="shared" si="2"/>
        <v>46062</v>
      </c>
      <c r="L366" s="17">
        <f t="shared" si="3"/>
        <v>46067</v>
      </c>
      <c r="M366" s="17" t="str">
        <f t="shared" si="4"/>
        <v>2026-02</v>
      </c>
    </row>
    <row r="367" ht="15.75" customHeight="1">
      <c r="A367" s="25">
        <v>46067.0</v>
      </c>
      <c r="B367" s="26" t="s">
        <v>19</v>
      </c>
      <c r="C367" s="26">
        <v>62.0</v>
      </c>
      <c r="D367" s="21"/>
      <c r="E367" s="11">
        <f>IF(J367="","", C367 * IFERROR(VLOOKUP(J367, SETUP!$A:$D, 3, FALSE), 0))</f>
        <v>0</v>
      </c>
      <c r="F367" s="11">
        <f>IF(J367="","", C367 * IFERROR(VLOOKUP(J367, SETUP!$A:$D, 4, FALSE), 0))</f>
        <v>62</v>
      </c>
      <c r="G367" s="11">
        <f t="shared" si="1"/>
        <v>62</v>
      </c>
      <c r="H367" s="22"/>
      <c r="I367" s="11"/>
      <c r="J367" s="17" t="str">
        <f>IF(TRIM(B367)="","",IF(ISNUMBER(SEARCH(" - ",B367)),TRIM(RIGHT(B367,LEN(B367)-FIND(" - ",B367)-2)),IFERROR(VLOOKUP(UPPER(TRIM(B367)), SETUP!$B$4:$C$11, 2, FALSE), UPPER(TRIM(B367)))))</f>
        <v>HANNI</v>
      </c>
      <c r="K367" s="23">
        <f t="shared" si="2"/>
        <v>46062</v>
      </c>
      <c r="L367" s="17">
        <f t="shared" si="3"/>
        <v>46067</v>
      </c>
      <c r="M367" s="17" t="str">
        <f t="shared" si="4"/>
        <v>2026-02</v>
      </c>
    </row>
    <row r="368" ht="15.75" customHeight="1">
      <c r="A368" s="25">
        <v>46067.0</v>
      </c>
      <c r="B368" s="26" t="s">
        <v>19</v>
      </c>
      <c r="C368" s="26">
        <v>52.0</v>
      </c>
      <c r="D368" s="21"/>
      <c r="E368" s="11">
        <f>IF(J368="","", C368 * IFERROR(VLOOKUP(J368, SETUP!$A:$D, 3, FALSE), 0))</f>
        <v>0</v>
      </c>
      <c r="F368" s="11">
        <f>IF(J368="","", C368 * IFERROR(VLOOKUP(J368, SETUP!$A:$D, 4, FALSE), 0))</f>
        <v>52</v>
      </c>
      <c r="G368" s="11">
        <f t="shared" si="1"/>
        <v>52</v>
      </c>
      <c r="H368" s="22"/>
      <c r="I368" s="11"/>
      <c r="J368" s="17" t="str">
        <f>IF(TRIM(B368)="","",IF(ISNUMBER(SEARCH(" - ",B368)),TRIM(RIGHT(B368,LEN(B368)-FIND(" - ",B368)-2)),IFERROR(VLOOKUP(UPPER(TRIM(B368)), SETUP!$B$4:$C$11, 2, FALSE), UPPER(TRIM(B368)))))</f>
        <v>HANNI</v>
      </c>
      <c r="K368" s="23">
        <f t="shared" si="2"/>
        <v>46062</v>
      </c>
      <c r="L368" s="17">
        <f t="shared" si="3"/>
        <v>46067</v>
      </c>
      <c r="M368" s="17" t="str">
        <f t="shared" si="4"/>
        <v>2026-02</v>
      </c>
    </row>
    <row r="369" ht="15.75" customHeight="1">
      <c r="A369" s="25">
        <v>46067.0</v>
      </c>
      <c r="B369" s="26" t="s">
        <v>20</v>
      </c>
      <c r="C369" s="26">
        <v>92.0</v>
      </c>
      <c r="D369" s="21"/>
      <c r="E369" s="11">
        <f>IF(J369="","", C369 * IFERROR(VLOOKUP(J369, SETUP!$A:$D, 3, FALSE), 0))</f>
        <v>55.2</v>
      </c>
      <c r="F369" s="11">
        <f>IF(J369="","", C369 * IFERROR(VLOOKUP(J369, SETUP!$A:$D, 4, FALSE), 0))</f>
        <v>36.8</v>
      </c>
      <c r="G369" s="11">
        <f t="shared" si="1"/>
        <v>36.8</v>
      </c>
      <c r="H369" s="22"/>
      <c r="I369" s="11"/>
      <c r="J369" s="17" t="str">
        <f>IF(TRIM(B369)="","",IF(ISNUMBER(SEARCH(" - ",B369)),TRIM(RIGHT(B369,LEN(B369)-FIND(" - ",B369)-2)),IFERROR(VLOOKUP(UPPER(TRIM(B369)), SETUP!$B$4:$C$11, 2, FALSE), UPPER(TRIM(B369)))))</f>
        <v>AMY</v>
      </c>
      <c r="K369" s="23">
        <f t="shared" si="2"/>
        <v>46062</v>
      </c>
      <c r="L369" s="17">
        <f t="shared" si="3"/>
        <v>46067</v>
      </c>
      <c r="M369" s="17" t="str">
        <f t="shared" si="4"/>
        <v>2026-02</v>
      </c>
    </row>
    <row r="370" ht="15.75" customHeight="1">
      <c r="A370" s="25">
        <v>46067.0</v>
      </c>
      <c r="B370" s="26" t="s">
        <v>20</v>
      </c>
      <c r="C370" s="26">
        <v>50.0</v>
      </c>
      <c r="D370" s="21"/>
      <c r="E370" s="11">
        <f>IF(J370="","", C370 * IFERROR(VLOOKUP(J370, SETUP!$A:$D, 3, FALSE), 0))</f>
        <v>30</v>
      </c>
      <c r="F370" s="11">
        <f>IF(J370="","", C370 * IFERROR(VLOOKUP(J370, SETUP!$A:$D, 4, FALSE), 0))</f>
        <v>20</v>
      </c>
      <c r="G370" s="11">
        <f t="shared" si="1"/>
        <v>20</v>
      </c>
      <c r="H370" s="22"/>
      <c r="I370" s="11"/>
      <c r="J370" s="17" t="str">
        <f>IF(TRIM(B370)="","",IF(ISNUMBER(SEARCH(" - ",B370)),TRIM(RIGHT(B370,LEN(B370)-FIND(" - ",B370)-2)),IFERROR(VLOOKUP(UPPER(TRIM(B370)), SETUP!$B$4:$C$11, 2, FALSE), UPPER(TRIM(B370)))))</f>
        <v>AMY</v>
      </c>
      <c r="K370" s="23">
        <f t="shared" si="2"/>
        <v>46062</v>
      </c>
      <c r="L370" s="17">
        <f t="shared" si="3"/>
        <v>46067</v>
      </c>
      <c r="M370" s="17" t="str">
        <f t="shared" si="4"/>
        <v>2026-02</v>
      </c>
    </row>
    <row r="371" ht="15.75" customHeight="1">
      <c r="A371" s="25">
        <v>46067.0</v>
      </c>
      <c r="B371" s="26" t="s">
        <v>20</v>
      </c>
      <c r="C371" s="26">
        <v>57.0</v>
      </c>
      <c r="D371" s="21"/>
      <c r="E371" s="11">
        <f>IF(J371="","", C371 * IFERROR(VLOOKUP(J371, SETUP!$A:$D, 3, FALSE), 0))</f>
        <v>34.2</v>
      </c>
      <c r="F371" s="11">
        <f>IF(J371="","", C371 * IFERROR(VLOOKUP(J371, SETUP!$A:$D, 4, FALSE), 0))</f>
        <v>22.8</v>
      </c>
      <c r="G371" s="11">
        <f t="shared" si="1"/>
        <v>22.8</v>
      </c>
      <c r="H371" s="22"/>
      <c r="I371" s="11"/>
      <c r="J371" s="17" t="str">
        <f>IF(TRIM(B371)="","",IF(ISNUMBER(SEARCH(" - ",B371)),TRIM(RIGHT(B371,LEN(B371)-FIND(" - ",B371)-2)),IFERROR(VLOOKUP(UPPER(TRIM(B371)), SETUP!$B$4:$C$11, 2, FALSE), UPPER(TRIM(B371)))))</f>
        <v>AMY</v>
      </c>
      <c r="K371" s="23">
        <f t="shared" si="2"/>
        <v>46062</v>
      </c>
      <c r="L371" s="17">
        <f t="shared" si="3"/>
        <v>46067</v>
      </c>
      <c r="M371" s="17" t="str">
        <f t="shared" si="4"/>
        <v>2026-02</v>
      </c>
    </row>
    <row r="372" ht="15.75" customHeight="1">
      <c r="A372" s="25">
        <v>46067.0</v>
      </c>
      <c r="B372" s="26" t="s">
        <v>20</v>
      </c>
      <c r="C372" s="26">
        <v>57.0</v>
      </c>
      <c r="D372" s="21"/>
      <c r="E372" s="11">
        <f>IF(J372="","", C372 * IFERROR(VLOOKUP(J372, SETUP!$A:$D, 3, FALSE), 0))</f>
        <v>34.2</v>
      </c>
      <c r="F372" s="11">
        <f>IF(J372="","", C372 * IFERROR(VLOOKUP(J372, SETUP!$A:$D, 4, FALSE), 0))</f>
        <v>22.8</v>
      </c>
      <c r="G372" s="11">
        <f t="shared" si="1"/>
        <v>22.8</v>
      </c>
      <c r="H372" s="22"/>
      <c r="I372" s="11"/>
      <c r="J372" s="17" t="str">
        <f>IF(TRIM(B372)="","",IF(ISNUMBER(SEARCH(" - ",B372)),TRIM(RIGHT(B372,LEN(B372)-FIND(" - ",B372)-2)),IFERROR(VLOOKUP(UPPER(TRIM(B372)), SETUP!$B$4:$C$11, 2, FALSE), UPPER(TRIM(B372)))))</f>
        <v>AMY</v>
      </c>
      <c r="K372" s="23">
        <f t="shared" si="2"/>
        <v>46062</v>
      </c>
      <c r="L372" s="17">
        <f t="shared" si="3"/>
        <v>46067</v>
      </c>
      <c r="M372" s="17" t="str">
        <f t="shared" si="4"/>
        <v>2026-02</v>
      </c>
    </row>
    <row r="373" ht="15.75" customHeight="1">
      <c r="A373" s="25">
        <v>46067.0</v>
      </c>
      <c r="B373" s="26" t="s">
        <v>20</v>
      </c>
      <c r="C373" s="26">
        <v>97.0</v>
      </c>
      <c r="D373" s="21"/>
      <c r="E373" s="11">
        <f>IF(J373="","", C373 * IFERROR(VLOOKUP(J373, SETUP!$A:$D, 3, FALSE), 0))</f>
        <v>58.2</v>
      </c>
      <c r="F373" s="11">
        <f>IF(J373="","", C373 * IFERROR(VLOOKUP(J373, SETUP!$A:$D, 4, FALSE), 0))</f>
        <v>38.8</v>
      </c>
      <c r="G373" s="11">
        <f t="shared" si="1"/>
        <v>38.8</v>
      </c>
      <c r="H373" s="22"/>
      <c r="I373" s="11"/>
      <c r="J373" s="17" t="str">
        <f>IF(TRIM(B373)="","",IF(ISNUMBER(SEARCH(" - ",B373)),TRIM(RIGHT(B373,LEN(B373)-FIND(" - ",B373)-2)),IFERROR(VLOOKUP(UPPER(TRIM(B373)), SETUP!$B$4:$C$11, 2, FALSE), UPPER(TRIM(B373)))))</f>
        <v>AMY</v>
      </c>
      <c r="K373" s="23">
        <f t="shared" si="2"/>
        <v>46062</v>
      </c>
      <c r="L373" s="17">
        <f t="shared" si="3"/>
        <v>46067</v>
      </c>
      <c r="M373" s="17" t="str">
        <f t="shared" si="4"/>
        <v>2026-02</v>
      </c>
    </row>
    <row r="374" ht="15.75" customHeight="1">
      <c r="A374" s="25">
        <v>46067.0</v>
      </c>
      <c r="B374" s="26" t="s">
        <v>20</v>
      </c>
      <c r="C374" s="26">
        <v>40.0</v>
      </c>
      <c r="D374" s="21"/>
      <c r="E374" s="11">
        <f>IF(J374="","", C374 * IFERROR(VLOOKUP(J374, SETUP!$A:$D, 3, FALSE), 0))</f>
        <v>24</v>
      </c>
      <c r="F374" s="11">
        <f>IF(J374="","", C374 * IFERROR(VLOOKUP(J374, SETUP!$A:$D, 4, FALSE), 0))</f>
        <v>16</v>
      </c>
      <c r="G374" s="11">
        <f t="shared" si="1"/>
        <v>16</v>
      </c>
      <c r="H374" s="22"/>
      <c r="I374" s="11"/>
      <c r="J374" s="17" t="str">
        <f>IF(TRIM(B374)="","",IF(ISNUMBER(SEARCH(" - ",B374)),TRIM(RIGHT(B374,LEN(B374)-FIND(" - ",B374)-2)),IFERROR(VLOOKUP(UPPER(TRIM(B374)), SETUP!$B$4:$C$11, 2, FALSE), UPPER(TRIM(B374)))))</f>
        <v>AMY</v>
      </c>
      <c r="K374" s="23">
        <f t="shared" si="2"/>
        <v>46062</v>
      </c>
      <c r="L374" s="17">
        <f t="shared" si="3"/>
        <v>46067</v>
      </c>
      <c r="M374" s="17" t="str">
        <f t="shared" si="4"/>
        <v>2026-02</v>
      </c>
    </row>
    <row r="375" ht="15.75" customHeight="1">
      <c r="A375" s="25">
        <v>46067.0</v>
      </c>
      <c r="B375" s="26" t="s">
        <v>21</v>
      </c>
      <c r="C375" s="26">
        <v>107.0</v>
      </c>
      <c r="D375" s="21"/>
      <c r="E375" s="11">
        <f>IF(J375="","", C375 * IFERROR(VLOOKUP(J375, SETUP!$A:$D, 3, FALSE), 0))</f>
        <v>64.2</v>
      </c>
      <c r="F375" s="11">
        <f>IF(J375="","", C375 * IFERROR(VLOOKUP(J375, SETUP!$A:$D, 4, FALSE), 0))</f>
        <v>42.8</v>
      </c>
      <c r="G375" s="11">
        <f t="shared" si="1"/>
        <v>42.8</v>
      </c>
      <c r="H375" s="22"/>
      <c r="I375" s="11"/>
      <c r="J375" s="17" t="str">
        <f>IF(TRIM(B375)="","",IF(ISNUMBER(SEARCH(" - ",B375)),TRIM(RIGHT(B375,LEN(B375)-FIND(" - ",B375)-2)),IFERROR(VLOOKUP(UPPER(TRIM(B375)), SETUP!$B$4:$C$11, 2, FALSE), UPPER(TRIM(B375)))))</f>
        <v>TONY</v>
      </c>
      <c r="K375" s="23">
        <f t="shared" si="2"/>
        <v>46062</v>
      </c>
      <c r="L375" s="17">
        <f t="shared" si="3"/>
        <v>46067</v>
      </c>
      <c r="M375" s="17" t="str">
        <f t="shared" si="4"/>
        <v>2026-02</v>
      </c>
    </row>
    <row r="376" ht="15.75" customHeight="1">
      <c r="A376" s="25">
        <v>46067.0</v>
      </c>
      <c r="B376" s="26" t="s">
        <v>21</v>
      </c>
      <c r="C376" s="26">
        <v>50.0</v>
      </c>
      <c r="D376" s="21"/>
      <c r="E376" s="11">
        <f>IF(J376="","", C376 * IFERROR(VLOOKUP(J376, SETUP!$A:$D, 3, FALSE), 0))</f>
        <v>30</v>
      </c>
      <c r="F376" s="11">
        <f>IF(J376="","", C376 * IFERROR(VLOOKUP(J376, SETUP!$A:$D, 4, FALSE), 0))</f>
        <v>20</v>
      </c>
      <c r="G376" s="11">
        <f t="shared" si="1"/>
        <v>20</v>
      </c>
      <c r="H376" s="22"/>
      <c r="I376" s="11"/>
      <c r="J376" s="17" t="str">
        <f>IF(TRIM(B376)="","",IF(ISNUMBER(SEARCH(" - ",B376)),TRIM(RIGHT(B376,LEN(B376)-FIND(" - ",B376)-2)),IFERROR(VLOOKUP(UPPER(TRIM(B376)), SETUP!$B$4:$C$11, 2, FALSE), UPPER(TRIM(B376)))))</f>
        <v>TONY</v>
      </c>
      <c r="K376" s="23">
        <f t="shared" si="2"/>
        <v>46062</v>
      </c>
      <c r="L376" s="17">
        <f t="shared" si="3"/>
        <v>46067</v>
      </c>
      <c r="M376" s="17" t="str">
        <f t="shared" si="4"/>
        <v>2026-02</v>
      </c>
    </row>
    <row r="377" ht="15.75" customHeight="1">
      <c r="A377" s="25">
        <v>46067.0</v>
      </c>
      <c r="B377" s="26" t="s">
        <v>21</v>
      </c>
      <c r="C377" s="26">
        <v>50.0</v>
      </c>
      <c r="D377" s="21"/>
      <c r="E377" s="11">
        <f>IF(J377="","", C377 * IFERROR(VLOOKUP(J377, SETUP!$A:$D, 3, FALSE), 0))</f>
        <v>30</v>
      </c>
      <c r="F377" s="11">
        <f>IF(J377="","", C377 * IFERROR(VLOOKUP(J377, SETUP!$A:$D, 4, FALSE), 0))</f>
        <v>20</v>
      </c>
      <c r="G377" s="11">
        <f t="shared" si="1"/>
        <v>20</v>
      </c>
      <c r="H377" s="22"/>
      <c r="I377" s="11"/>
      <c r="J377" s="17" t="str">
        <f>IF(TRIM(B377)="","",IF(ISNUMBER(SEARCH(" - ",B377)),TRIM(RIGHT(B377,LEN(B377)-FIND(" - ",B377)-2)),IFERROR(VLOOKUP(UPPER(TRIM(B377)), SETUP!$B$4:$C$11, 2, FALSE), UPPER(TRIM(B377)))))</f>
        <v>TONY</v>
      </c>
      <c r="K377" s="23">
        <f t="shared" si="2"/>
        <v>46062</v>
      </c>
      <c r="L377" s="17">
        <f t="shared" si="3"/>
        <v>46067</v>
      </c>
      <c r="M377" s="17" t="str">
        <f t="shared" si="4"/>
        <v>2026-02</v>
      </c>
    </row>
    <row r="378" ht="15.75" customHeight="1">
      <c r="A378" s="25">
        <v>46067.0</v>
      </c>
      <c r="B378" s="26" t="s">
        <v>21</v>
      </c>
      <c r="C378" s="26">
        <v>67.0</v>
      </c>
      <c r="D378" s="21"/>
      <c r="E378" s="11">
        <f>IF(J378="","", C378 * IFERROR(VLOOKUP(J378, SETUP!$A:$D, 3, FALSE), 0))</f>
        <v>40.2</v>
      </c>
      <c r="F378" s="11">
        <f>IF(J378="","", C378 * IFERROR(VLOOKUP(J378, SETUP!$A:$D, 4, FALSE), 0))</f>
        <v>26.8</v>
      </c>
      <c r="G378" s="11">
        <f t="shared" si="1"/>
        <v>26.8</v>
      </c>
      <c r="H378" s="22"/>
      <c r="I378" s="11"/>
      <c r="J378" s="17" t="str">
        <f>IF(TRIM(B378)="","",IF(ISNUMBER(SEARCH(" - ",B378)),TRIM(RIGHT(B378,LEN(B378)-FIND(" - ",B378)-2)),IFERROR(VLOOKUP(UPPER(TRIM(B378)), SETUP!$B$4:$C$11, 2, FALSE), UPPER(TRIM(B378)))))</f>
        <v>TONY</v>
      </c>
      <c r="K378" s="23">
        <f t="shared" si="2"/>
        <v>46062</v>
      </c>
      <c r="L378" s="17">
        <f t="shared" si="3"/>
        <v>46067</v>
      </c>
      <c r="M378" s="17" t="str">
        <f t="shared" si="4"/>
        <v>2026-02</v>
      </c>
    </row>
    <row r="379" ht="15.75" customHeight="1">
      <c r="A379" s="25">
        <v>46067.0</v>
      </c>
      <c r="B379" s="26" t="s">
        <v>21</v>
      </c>
      <c r="C379" s="26">
        <v>52.0</v>
      </c>
      <c r="D379" s="21"/>
      <c r="E379" s="11">
        <f>IF(J379="","", C379 * IFERROR(VLOOKUP(J379, SETUP!$A:$D, 3, FALSE), 0))</f>
        <v>31.2</v>
      </c>
      <c r="F379" s="11">
        <f>IF(J379="","", C379 * IFERROR(VLOOKUP(J379, SETUP!$A:$D, 4, FALSE), 0))</f>
        <v>20.8</v>
      </c>
      <c r="G379" s="11">
        <f t="shared" si="1"/>
        <v>20.8</v>
      </c>
      <c r="H379" s="22"/>
      <c r="I379" s="11"/>
      <c r="J379" s="17" t="str">
        <f>IF(TRIM(B379)="","",IF(ISNUMBER(SEARCH(" - ",B379)),TRIM(RIGHT(B379,LEN(B379)-FIND(" - ",B379)-2)),IFERROR(VLOOKUP(UPPER(TRIM(B379)), SETUP!$B$4:$C$11, 2, FALSE), UPPER(TRIM(B379)))))</f>
        <v>TONY</v>
      </c>
      <c r="K379" s="23">
        <f t="shared" si="2"/>
        <v>46062</v>
      </c>
      <c r="L379" s="17">
        <f t="shared" si="3"/>
        <v>46067</v>
      </c>
      <c r="M379" s="17" t="str">
        <f t="shared" si="4"/>
        <v>2026-02</v>
      </c>
    </row>
    <row r="380" ht="15.75" customHeight="1">
      <c r="A380" s="25">
        <v>46067.0</v>
      </c>
      <c r="B380" s="26" t="s">
        <v>21</v>
      </c>
      <c r="C380" s="26">
        <v>57.0</v>
      </c>
      <c r="D380" s="21"/>
      <c r="E380" s="11">
        <f>IF(J380="","", C380 * IFERROR(VLOOKUP(J380, SETUP!$A:$D, 3, FALSE), 0))</f>
        <v>34.2</v>
      </c>
      <c r="F380" s="11">
        <f>IF(J380="","", C380 * IFERROR(VLOOKUP(J380, SETUP!$A:$D, 4, FALSE), 0))</f>
        <v>22.8</v>
      </c>
      <c r="G380" s="11">
        <f t="shared" si="1"/>
        <v>22.8</v>
      </c>
      <c r="H380" s="22"/>
      <c r="I380" s="11"/>
      <c r="J380" s="17" t="str">
        <f>IF(TRIM(B380)="","",IF(ISNUMBER(SEARCH(" - ",B380)),TRIM(RIGHT(B380,LEN(B380)-FIND(" - ",B380)-2)),IFERROR(VLOOKUP(UPPER(TRIM(B380)), SETUP!$B$4:$C$11, 2, FALSE), UPPER(TRIM(B380)))))</f>
        <v>TONY</v>
      </c>
      <c r="K380" s="23">
        <f t="shared" si="2"/>
        <v>46062</v>
      </c>
      <c r="L380" s="17">
        <f t="shared" si="3"/>
        <v>46067</v>
      </c>
      <c r="M380" s="17" t="str">
        <f t="shared" si="4"/>
        <v>2026-02</v>
      </c>
    </row>
    <row r="381" ht="15.75" customHeight="1">
      <c r="A381" s="25">
        <v>46070.0</v>
      </c>
      <c r="B381" s="20" t="s">
        <v>17</v>
      </c>
      <c r="C381" s="20">
        <v>62.0</v>
      </c>
      <c r="D381" s="21"/>
      <c r="E381" s="11">
        <f>IF(J381="","", C381 * IFERROR(VLOOKUP(J381, SETUP!$A:$D, 3, FALSE), 0))</f>
        <v>37.2</v>
      </c>
      <c r="F381" s="11">
        <f>IF(J381="","", C381 * IFERROR(VLOOKUP(J381, SETUP!$A:$D, 4, FALSE), 0))</f>
        <v>24.8</v>
      </c>
      <c r="G381" s="11">
        <f t="shared" si="1"/>
        <v>24.8</v>
      </c>
      <c r="H381" s="22"/>
      <c r="I381" s="11"/>
      <c r="J381" s="17" t="str">
        <f>IF(TRIM(B381)="","",IF(ISNUMBER(SEARCH(" - ",B381)),TRIM(RIGHT(B381,LEN(B381)-FIND(" - ",B381)-2)),IFERROR(VLOOKUP(UPPER(TRIM(B381)), SETUP!$B$4:$C$11, 2, FALSE), UPPER(TRIM(B381)))))</f>
        <v>RYAN</v>
      </c>
      <c r="K381" s="23">
        <f t="shared" si="2"/>
        <v>46069</v>
      </c>
      <c r="L381" s="17">
        <f t="shared" si="3"/>
        <v>46070</v>
      </c>
      <c r="M381" s="17" t="str">
        <f t="shared" si="4"/>
        <v>2026-02</v>
      </c>
    </row>
    <row r="382" ht="15.75" customHeight="1">
      <c r="A382" s="25">
        <v>46070.0</v>
      </c>
      <c r="B382" s="20" t="s">
        <v>17</v>
      </c>
      <c r="C382" s="20">
        <v>67.0</v>
      </c>
      <c r="D382" s="21"/>
      <c r="E382" s="11">
        <f>IF(J382="","", C382 * IFERROR(VLOOKUP(J382, SETUP!$A:$D, 3, FALSE), 0))</f>
        <v>40.2</v>
      </c>
      <c r="F382" s="11">
        <f>IF(J382="","", C382 * IFERROR(VLOOKUP(J382, SETUP!$A:$D, 4, FALSE), 0))</f>
        <v>26.8</v>
      </c>
      <c r="G382" s="11">
        <f t="shared" si="1"/>
        <v>26.8</v>
      </c>
      <c r="H382" s="22"/>
      <c r="I382" s="11"/>
      <c r="J382" s="17" t="str">
        <f>IF(TRIM(B382)="","",IF(ISNUMBER(SEARCH(" - ",B382)),TRIM(RIGHT(B382,LEN(B382)-FIND(" - ",B382)-2)),IFERROR(VLOOKUP(UPPER(TRIM(B382)), SETUP!$B$4:$C$11, 2, FALSE), UPPER(TRIM(B382)))))</f>
        <v>RYAN</v>
      </c>
      <c r="K382" s="23">
        <f t="shared" si="2"/>
        <v>46069</v>
      </c>
      <c r="L382" s="17">
        <f t="shared" si="3"/>
        <v>46070</v>
      </c>
      <c r="M382" s="17" t="str">
        <f t="shared" si="4"/>
        <v>2026-02</v>
      </c>
    </row>
    <row r="383" ht="15.75" customHeight="1">
      <c r="A383" s="25">
        <v>46070.0</v>
      </c>
      <c r="B383" s="20" t="s">
        <v>17</v>
      </c>
      <c r="C383" s="20">
        <v>70.0</v>
      </c>
      <c r="D383" s="21"/>
      <c r="E383" s="11">
        <f>IF(J383="","", C383 * IFERROR(VLOOKUP(J383, SETUP!$A:$D, 3, FALSE), 0))</f>
        <v>42</v>
      </c>
      <c r="F383" s="11">
        <f>IF(J383="","", C383 * IFERROR(VLOOKUP(J383, SETUP!$A:$D, 4, FALSE), 0))</f>
        <v>28</v>
      </c>
      <c r="G383" s="11">
        <f t="shared" si="1"/>
        <v>28</v>
      </c>
      <c r="H383" s="22"/>
      <c r="I383" s="11"/>
      <c r="J383" s="17" t="str">
        <f>IF(TRIM(B383)="","",IF(ISNUMBER(SEARCH(" - ",B383)),TRIM(RIGHT(B383,LEN(B383)-FIND(" - ",B383)-2)),IFERROR(VLOOKUP(UPPER(TRIM(B383)), SETUP!$B$4:$C$11, 2, FALSE), UPPER(TRIM(B383)))))</f>
        <v>RYAN</v>
      </c>
      <c r="K383" s="23">
        <f t="shared" si="2"/>
        <v>46069</v>
      </c>
      <c r="L383" s="17">
        <f t="shared" si="3"/>
        <v>46070</v>
      </c>
      <c r="M383" s="17" t="str">
        <f t="shared" si="4"/>
        <v>2026-02</v>
      </c>
    </row>
    <row r="384" ht="15.75" customHeight="1">
      <c r="A384" s="25">
        <v>46070.0</v>
      </c>
      <c r="B384" s="20" t="s">
        <v>17</v>
      </c>
      <c r="C384" s="20">
        <v>57.0</v>
      </c>
      <c r="D384" s="21"/>
      <c r="E384" s="11">
        <f>IF(J384="","", C384 * IFERROR(VLOOKUP(J384, SETUP!$A:$D, 3, FALSE), 0))</f>
        <v>34.2</v>
      </c>
      <c r="F384" s="11">
        <f>IF(J384="","", C384 * IFERROR(VLOOKUP(J384, SETUP!$A:$D, 4, FALSE), 0))</f>
        <v>22.8</v>
      </c>
      <c r="G384" s="11">
        <f t="shared" si="1"/>
        <v>22.8</v>
      </c>
      <c r="H384" s="22"/>
      <c r="I384" s="11"/>
      <c r="J384" s="17" t="str">
        <f>IF(TRIM(B384)="","",IF(ISNUMBER(SEARCH(" - ",B384)),TRIM(RIGHT(B384,LEN(B384)-FIND(" - ",B384)-2)),IFERROR(VLOOKUP(UPPER(TRIM(B384)), SETUP!$B$4:$C$11, 2, FALSE), UPPER(TRIM(B384)))))</f>
        <v>RYAN</v>
      </c>
      <c r="K384" s="23">
        <f t="shared" si="2"/>
        <v>46069</v>
      </c>
      <c r="L384" s="17">
        <f t="shared" si="3"/>
        <v>46070</v>
      </c>
      <c r="M384" s="17" t="str">
        <f t="shared" si="4"/>
        <v>2026-02</v>
      </c>
    </row>
    <row r="385" ht="15.75" customHeight="1">
      <c r="A385" s="25">
        <v>46070.0</v>
      </c>
      <c r="B385" s="20" t="s">
        <v>17</v>
      </c>
      <c r="C385" s="20">
        <v>92.0</v>
      </c>
      <c r="D385" s="21"/>
      <c r="E385" s="11">
        <f>IF(J385="","", C385 * IFERROR(VLOOKUP(J385, SETUP!$A:$D, 3, FALSE), 0))</f>
        <v>55.2</v>
      </c>
      <c r="F385" s="11">
        <f>IF(J385="","", C385 * IFERROR(VLOOKUP(J385, SETUP!$A:$D, 4, FALSE), 0))</f>
        <v>36.8</v>
      </c>
      <c r="G385" s="11">
        <f t="shared" si="1"/>
        <v>36.8</v>
      </c>
      <c r="H385" s="22"/>
      <c r="I385" s="11"/>
      <c r="J385" s="17" t="str">
        <f>IF(TRIM(B385)="","",IF(ISNUMBER(SEARCH(" - ",B385)),TRIM(RIGHT(B385,LEN(B385)-FIND(" - ",B385)-2)),IFERROR(VLOOKUP(UPPER(TRIM(B385)), SETUP!$B$4:$C$11, 2, FALSE), UPPER(TRIM(B385)))))</f>
        <v>RYAN</v>
      </c>
      <c r="K385" s="23">
        <f t="shared" si="2"/>
        <v>46069</v>
      </c>
      <c r="L385" s="17">
        <f t="shared" si="3"/>
        <v>46070</v>
      </c>
      <c r="M385" s="17" t="str">
        <f t="shared" si="4"/>
        <v>2026-02</v>
      </c>
    </row>
    <row r="386" ht="15.75" customHeight="1">
      <c r="A386" s="25">
        <v>46070.0</v>
      </c>
      <c r="B386" s="20" t="s">
        <v>17</v>
      </c>
      <c r="C386" s="20">
        <v>77.0</v>
      </c>
      <c r="D386" s="21"/>
      <c r="E386" s="11">
        <f>IF(J386="","", C386 * IFERROR(VLOOKUP(J386, SETUP!$A:$D, 3, FALSE), 0))</f>
        <v>46.2</v>
      </c>
      <c r="F386" s="11">
        <f>IF(J386="","", C386 * IFERROR(VLOOKUP(J386, SETUP!$A:$D, 4, FALSE), 0))</f>
        <v>30.8</v>
      </c>
      <c r="G386" s="11">
        <f t="shared" si="1"/>
        <v>30.8</v>
      </c>
      <c r="H386" s="22"/>
      <c r="I386" s="11"/>
      <c r="J386" s="17" t="str">
        <f>IF(TRIM(B386)="","",IF(ISNUMBER(SEARCH(" - ",B386)),TRIM(RIGHT(B386,LEN(B386)-FIND(" - ",B386)-2)),IFERROR(VLOOKUP(UPPER(TRIM(B386)), SETUP!$B$4:$C$11, 2, FALSE), UPPER(TRIM(B386)))))</f>
        <v>RYAN</v>
      </c>
      <c r="K386" s="23">
        <f t="shared" si="2"/>
        <v>46069</v>
      </c>
      <c r="L386" s="17">
        <f t="shared" si="3"/>
        <v>46070</v>
      </c>
      <c r="M386" s="17" t="str">
        <f t="shared" si="4"/>
        <v>2026-02</v>
      </c>
    </row>
    <row r="387" ht="15.75" customHeight="1">
      <c r="A387" s="25">
        <v>46070.0</v>
      </c>
      <c r="B387" s="20" t="s">
        <v>18</v>
      </c>
      <c r="C387" s="20">
        <v>10.0</v>
      </c>
      <c r="D387" s="21"/>
      <c r="E387" s="11">
        <f>IF(J387="","", C387 * IFERROR(VLOOKUP(J387, SETUP!$A:$D, 3, FALSE), 0))</f>
        <v>5</v>
      </c>
      <c r="F387" s="11">
        <f>IF(J387="","", C387 * IFERROR(VLOOKUP(J387, SETUP!$A:$D, 4, FALSE), 0))</f>
        <v>5</v>
      </c>
      <c r="G387" s="11">
        <f t="shared" si="1"/>
        <v>5</v>
      </c>
      <c r="H387" s="22"/>
      <c r="I387" s="11"/>
      <c r="J387" s="17" t="str">
        <f>IF(TRIM(B387)="","",IF(ISNUMBER(SEARCH(" - ",B387)),TRIM(RIGHT(B387,LEN(B387)-FIND(" - ",B387)-2)),IFERROR(VLOOKUP(UPPER(TRIM(B387)), SETUP!$B$4:$C$11, 2, FALSE), UPPER(TRIM(B387)))))</f>
        <v>CRIS</v>
      </c>
      <c r="K387" s="23">
        <f t="shared" si="2"/>
        <v>46069</v>
      </c>
      <c r="L387" s="17">
        <f t="shared" si="3"/>
        <v>46070</v>
      </c>
      <c r="M387" s="17" t="str">
        <f t="shared" si="4"/>
        <v>2026-02</v>
      </c>
    </row>
    <row r="388" ht="15.75" customHeight="1">
      <c r="A388" s="25">
        <v>46070.0</v>
      </c>
      <c r="B388" s="20" t="s">
        <v>18</v>
      </c>
      <c r="C388" s="20">
        <v>75.0</v>
      </c>
      <c r="D388" s="21"/>
      <c r="E388" s="11">
        <f>IF(J388="","", C388 * IFERROR(VLOOKUP(J388, SETUP!$A:$D, 3, FALSE), 0))</f>
        <v>37.5</v>
      </c>
      <c r="F388" s="11">
        <f>IF(J388="","", C388 * IFERROR(VLOOKUP(J388, SETUP!$A:$D, 4, FALSE), 0))</f>
        <v>37.5</v>
      </c>
      <c r="G388" s="11">
        <f t="shared" si="1"/>
        <v>37.5</v>
      </c>
      <c r="H388" s="22"/>
      <c r="I388" s="11"/>
      <c r="J388" s="17" t="str">
        <f>IF(TRIM(B388)="","",IF(ISNUMBER(SEARCH(" - ",B388)),TRIM(RIGHT(B388,LEN(B388)-FIND(" - ",B388)-2)),IFERROR(VLOOKUP(UPPER(TRIM(B388)), SETUP!$B$4:$C$11, 2, FALSE), UPPER(TRIM(B388)))))</f>
        <v>CRIS</v>
      </c>
      <c r="K388" s="23">
        <f t="shared" si="2"/>
        <v>46069</v>
      </c>
      <c r="L388" s="17">
        <f t="shared" si="3"/>
        <v>46070</v>
      </c>
      <c r="M388" s="17" t="str">
        <f t="shared" si="4"/>
        <v>2026-02</v>
      </c>
    </row>
    <row r="389" ht="15.75" customHeight="1">
      <c r="A389" s="25">
        <v>46070.0</v>
      </c>
      <c r="B389" s="20" t="s">
        <v>18</v>
      </c>
      <c r="C389" s="20">
        <v>40.0</v>
      </c>
      <c r="D389" s="21"/>
      <c r="E389" s="11">
        <f>IF(J389="","", C389 * IFERROR(VLOOKUP(J389, SETUP!$A:$D, 3, FALSE), 0))</f>
        <v>20</v>
      </c>
      <c r="F389" s="11">
        <f>IF(J389="","", C389 * IFERROR(VLOOKUP(J389, SETUP!$A:$D, 4, FALSE), 0))</f>
        <v>20</v>
      </c>
      <c r="G389" s="11">
        <f t="shared" si="1"/>
        <v>20</v>
      </c>
      <c r="H389" s="22"/>
      <c r="I389" s="11"/>
      <c r="J389" s="17" t="str">
        <f>IF(TRIM(B389)="","",IF(ISNUMBER(SEARCH(" - ",B389)),TRIM(RIGHT(B389,LEN(B389)-FIND(" - ",B389)-2)),IFERROR(VLOOKUP(UPPER(TRIM(B389)), SETUP!$B$4:$C$11, 2, FALSE), UPPER(TRIM(B389)))))</f>
        <v>CRIS</v>
      </c>
      <c r="K389" s="23">
        <f t="shared" si="2"/>
        <v>46069</v>
      </c>
      <c r="L389" s="17">
        <f t="shared" si="3"/>
        <v>46070</v>
      </c>
      <c r="M389" s="17" t="str">
        <f t="shared" si="4"/>
        <v>2026-02</v>
      </c>
    </row>
    <row r="390" ht="15.75" customHeight="1">
      <c r="A390" s="25">
        <v>46070.0</v>
      </c>
      <c r="B390" s="20" t="s">
        <v>18</v>
      </c>
      <c r="C390" s="20">
        <v>40.0</v>
      </c>
      <c r="D390" s="21"/>
      <c r="E390" s="11">
        <f>IF(J390="","", C390 * IFERROR(VLOOKUP(J390, SETUP!$A:$D, 3, FALSE), 0))</f>
        <v>20</v>
      </c>
      <c r="F390" s="11">
        <f>IF(J390="","", C390 * IFERROR(VLOOKUP(J390, SETUP!$A:$D, 4, FALSE), 0))</f>
        <v>20</v>
      </c>
      <c r="G390" s="11">
        <f t="shared" si="1"/>
        <v>20</v>
      </c>
      <c r="H390" s="22"/>
      <c r="I390" s="11"/>
      <c r="J390" s="17" t="str">
        <f>IF(TRIM(B390)="","",IF(ISNUMBER(SEARCH(" - ",B390)),TRIM(RIGHT(B390,LEN(B390)-FIND(" - ",B390)-2)),IFERROR(VLOOKUP(UPPER(TRIM(B390)), SETUP!$B$4:$C$11, 2, FALSE), UPPER(TRIM(B390)))))</f>
        <v>CRIS</v>
      </c>
      <c r="K390" s="23">
        <f t="shared" si="2"/>
        <v>46069</v>
      </c>
      <c r="L390" s="17">
        <f t="shared" si="3"/>
        <v>46070</v>
      </c>
      <c r="M390" s="17" t="str">
        <f t="shared" si="4"/>
        <v>2026-02</v>
      </c>
    </row>
    <row r="391" ht="15.75" customHeight="1">
      <c r="A391" s="25">
        <v>46070.0</v>
      </c>
      <c r="B391" s="20" t="s">
        <v>18</v>
      </c>
      <c r="C391" s="20">
        <v>20.0</v>
      </c>
      <c r="D391" s="21"/>
      <c r="E391" s="11">
        <f>IF(J391="","", C391 * IFERROR(VLOOKUP(J391, SETUP!$A:$D, 3, FALSE), 0))</f>
        <v>10</v>
      </c>
      <c r="F391" s="11">
        <f>IF(J391="","", C391 * IFERROR(VLOOKUP(J391, SETUP!$A:$D, 4, FALSE), 0))</f>
        <v>10</v>
      </c>
      <c r="G391" s="11">
        <f t="shared" si="1"/>
        <v>10</v>
      </c>
      <c r="H391" s="22"/>
      <c r="I391" s="11"/>
      <c r="J391" s="17" t="str">
        <f>IF(TRIM(B391)="","",IF(ISNUMBER(SEARCH(" - ",B391)),TRIM(RIGHT(B391,LEN(B391)-FIND(" - ",B391)-2)),IFERROR(VLOOKUP(UPPER(TRIM(B391)), SETUP!$B$4:$C$11, 2, FALSE), UPPER(TRIM(B391)))))</f>
        <v>CRIS</v>
      </c>
      <c r="K391" s="23">
        <f t="shared" si="2"/>
        <v>46069</v>
      </c>
      <c r="L391" s="17">
        <f t="shared" si="3"/>
        <v>46070</v>
      </c>
      <c r="M391" s="17" t="str">
        <f t="shared" si="4"/>
        <v>2026-02</v>
      </c>
    </row>
    <row r="392" ht="15.75" customHeight="1">
      <c r="A392" s="25">
        <v>46070.0</v>
      </c>
      <c r="B392" s="20" t="s">
        <v>18</v>
      </c>
      <c r="C392" s="20">
        <v>85.0</v>
      </c>
      <c r="D392" s="21"/>
      <c r="E392" s="11">
        <f>IF(J392="","", C392 * IFERROR(VLOOKUP(J392, SETUP!$A:$D, 3, FALSE), 0))</f>
        <v>42.5</v>
      </c>
      <c r="F392" s="11">
        <f>IF(J392="","", C392 * IFERROR(VLOOKUP(J392, SETUP!$A:$D, 4, FALSE), 0))</f>
        <v>42.5</v>
      </c>
      <c r="G392" s="11">
        <f t="shared" si="1"/>
        <v>42.5</v>
      </c>
      <c r="H392" s="22"/>
      <c r="I392" s="11"/>
      <c r="J392" s="17" t="str">
        <f>IF(TRIM(B392)="","",IF(ISNUMBER(SEARCH(" - ",B392)),TRIM(RIGHT(B392,LEN(B392)-FIND(" - ",B392)-2)),IFERROR(VLOOKUP(UPPER(TRIM(B392)), SETUP!$B$4:$C$11, 2, FALSE), UPPER(TRIM(B392)))))</f>
        <v>CRIS</v>
      </c>
      <c r="K392" s="23">
        <f t="shared" si="2"/>
        <v>46069</v>
      </c>
      <c r="L392" s="17">
        <f t="shared" si="3"/>
        <v>46070</v>
      </c>
      <c r="M392" s="17" t="str">
        <f t="shared" si="4"/>
        <v>2026-02</v>
      </c>
    </row>
    <row r="393" ht="15.75" customHeight="1">
      <c r="A393" s="25">
        <v>46070.0</v>
      </c>
      <c r="B393" s="20" t="s">
        <v>19</v>
      </c>
      <c r="C393" s="20">
        <v>57.0</v>
      </c>
      <c r="D393" s="21"/>
      <c r="E393" s="11">
        <f>IF(J393="","", C393 * IFERROR(VLOOKUP(J393, SETUP!$A:$D, 3, FALSE), 0))</f>
        <v>0</v>
      </c>
      <c r="F393" s="11">
        <f>IF(J393="","", C393 * IFERROR(VLOOKUP(J393, SETUP!$A:$D, 4, FALSE), 0))</f>
        <v>57</v>
      </c>
      <c r="G393" s="11">
        <f t="shared" si="1"/>
        <v>57</v>
      </c>
      <c r="H393" s="22"/>
      <c r="I393" s="11"/>
      <c r="J393" s="17" t="str">
        <f>IF(TRIM(B393)="","",IF(ISNUMBER(SEARCH(" - ",B393)),TRIM(RIGHT(B393,LEN(B393)-FIND(" - ",B393)-2)),IFERROR(VLOOKUP(UPPER(TRIM(B393)), SETUP!$B$4:$C$11, 2, FALSE), UPPER(TRIM(B393)))))</f>
        <v>HANNI</v>
      </c>
      <c r="K393" s="23">
        <f t="shared" si="2"/>
        <v>46069</v>
      </c>
      <c r="L393" s="17">
        <f t="shared" si="3"/>
        <v>46070</v>
      </c>
      <c r="M393" s="17" t="str">
        <f t="shared" si="4"/>
        <v>2026-02</v>
      </c>
    </row>
    <row r="394" ht="15.75" customHeight="1">
      <c r="A394" s="25">
        <v>46070.0</v>
      </c>
      <c r="B394" s="20" t="s">
        <v>19</v>
      </c>
      <c r="C394" s="20">
        <v>97.0</v>
      </c>
      <c r="D394" s="21"/>
      <c r="E394" s="11">
        <f>IF(J394="","", C394 * IFERROR(VLOOKUP(J394, SETUP!$A:$D, 3, FALSE), 0))</f>
        <v>0</v>
      </c>
      <c r="F394" s="11">
        <f>IF(J394="","", C394 * IFERROR(VLOOKUP(J394, SETUP!$A:$D, 4, FALSE), 0))</f>
        <v>97</v>
      </c>
      <c r="G394" s="11">
        <f t="shared" si="1"/>
        <v>97</v>
      </c>
      <c r="H394" s="22"/>
      <c r="I394" s="11"/>
      <c r="J394" s="17" t="str">
        <f>IF(TRIM(B394)="","",IF(ISNUMBER(SEARCH(" - ",B394)),TRIM(RIGHT(B394,LEN(B394)-FIND(" - ",B394)-2)),IFERROR(VLOOKUP(UPPER(TRIM(B394)), SETUP!$B$4:$C$11, 2, FALSE), UPPER(TRIM(B394)))))</f>
        <v>HANNI</v>
      </c>
      <c r="K394" s="23">
        <f t="shared" si="2"/>
        <v>46069</v>
      </c>
      <c r="L394" s="17">
        <f t="shared" si="3"/>
        <v>46070</v>
      </c>
      <c r="M394" s="17" t="str">
        <f t="shared" si="4"/>
        <v>2026-02</v>
      </c>
    </row>
    <row r="395" ht="15.75" customHeight="1">
      <c r="A395" s="25">
        <v>46070.0</v>
      </c>
      <c r="B395" s="20" t="s">
        <v>20</v>
      </c>
      <c r="C395" s="20">
        <v>75.0</v>
      </c>
      <c r="D395" s="21"/>
      <c r="E395" s="11">
        <f>IF(J395="","", C395 * IFERROR(VLOOKUP(J395, SETUP!$A:$D, 3, FALSE), 0))</f>
        <v>45</v>
      </c>
      <c r="F395" s="11">
        <f>IF(J395="","", C395 * IFERROR(VLOOKUP(J395, SETUP!$A:$D, 4, FALSE), 0))</f>
        <v>30</v>
      </c>
      <c r="G395" s="11">
        <f t="shared" si="1"/>
        <v>30</v>
      </c>
      <c r="H395" s="22"/>
      <c r="I395" s="11"/>
      <c r="J395" s="17" t="str">
        <f>IF(TRIM(B395)="","",IF(ISNUMBER(SEARCH(" - ",B395)),TRIM(RIGHT(B395,LEN(B395)-FIND(" - ",B395)-2)),IFERROR(VLOOKUP(UPPER(TRIM(B395)), SETUP!$B$4:$C$11, 2, FALSE), UPPER(TRIM(B395)))))</f>
        <v>AMY</v>
      </c>
      <c r="K395" s="23">
        <f t="shared" si="2"/>
        <v>46069</v>
      </c>
      <c r="L395" s="17">
        <f t="shared" si="3"/>
        <v>46070</v>
      </c>
      <c r="M395" s="17" t="str">
        <f t="shared" si="4"/>
        <v>2026-02</v>
      </c>
    </row>
    <row r="396" ht="15.75" customHeight="1">
      <c r="A396" s="25">
        <v>46070.0</v>
      </c>
      <c r="B396" s="20" t="s">
        <v>20</v>
      </c>
      <c r="C396" s="20">
        <v>40.0</v>
      </c>
      <c r="D396" s="21"/>
      <c r="E396" s="11">
        <f>IF(J396="","", C396 * IFERROR(VLOOKUP(J396, SETUP!$A:$D, 3, FALSE), 0))</f>
        <v>24</v>
      </c>
      <c r="F396" s="11">
        <f>IF(J396="","", C396 * IFERROR(VLOOKUP(J396, SETUP!$A:$D, 4, FALSE), 0))</f>
        <v>16</v>
      </c>
      <c r="G396" s="11">
        <f t="shared" si="1"/>
        <v>16</v>
      </c>
      <c r="H396" s="22"/>
      <c r="I396" s="11"/>
      <c r="J396" s="17" t="str">
        <f>IF(TRIM(B396)="","",IF(ISNUMBER(SEARCH(" - ",B396)),TRIM(RIGHT(B396,LEN(B396)-FIND(" - ",B396)-2)),IFERROR(VLOOKUP(UPPER(TRIM(B396)), SETUP!$B$4:$C$11, 2, FALSE), UPPER(TRIM(B396)))))</f>
        <v>AMY</v>
      </c>
      <c r="K396" s="23">
        <f t="shared" si="2"/>
        <v>46069</v>
      </c>
      <c r="L396" s="17">
        <f t="shared" si="3"/>
        <v>46070</v>
      </c>
      <c r="M396" s="17" t="str">
        <f t="shared" si="4"/>
        <v>2026-02</v>
      </c>
    </row>
    <row r="397" ht="15.75" customHeight="1">
      <c r="A397" s="25">
        <v>46070.0</v>
      </c>
      <c r="B397" s="20" t="s">
        <v>20</v>
      </c>
      <c r="C397" s="20">
        <v>52.0</v>
      </c>
      <c r="D397" s="21"/>
      <c r="E397" s="11">
        <f>IF(J397="","", C397 * IFERROR(VLOOKUP(J397, SETUP!$A:$D, 3, FALSE), 0))</f>
        <v>31.2</v>
      </c>
      <c r="F397" s="11">
        <f>IF(J397="","", C397 * IFERROR(VLOOKUP(J397, SETUP!$A:$D, 4, FALSE), 0))</f>
        <v>20.8</v>
      </c>
      <c r="G397" s="11">
        <f t="shared" si="1"/>
        <v>20.8</v>
      </c>
      <c r="H397" s="22"/>
      <c r="I397" s="11"/>
      <c r="J397" s="17" t="str">
        <f>IF(TRIM(B397)="","",IF(ISNUMBER(SEARCH(" - ",B397)),TRIM(RIGHT(B397,LEN(B397)-FIND(" - ",B397)-2)),IFERROR(VLOOKUP(UPPER(TRIM(B397)), SETUP!$B$4:$C$11, 2, FALSE), UPPER(TRIM(B397)))))</f>
        <v>AMY</v>
      </c>
      <c r="K397" s="23">
        <f t="shared" si="2"/>
        <v>46069</v>
      </c>
      <c r="L397" s="17">
        <f t="shared" si="3"/>
        <v>46070</v>
      </c>
      <c r="M397" s="17" t="str">
        <f t="shared" si="4"/>
        <v>2026-02</v>
      </c>
    </row>
    <row r="398" ht="15.75" customHeight="1">
      <c r="A398" s="25">
        <v>46070.0</v>
      </c>
      <c r="B398" s="20" t="s">
        <v>20</v>
      </c>
      <c r="C398" s="20">
        <v>70.0</v>
      </c>
      <c r="D398" s="21"/>
      <c r="E398" s="11">
        <f>IF(J398="","", C398 * IFERROR(VLOOKUP(J398, SETUP!$A:$D, 3, FALSE), 0))</f>
        <v>42</v>
      </c>
      <c r="F398" s="11">
        <f>IF(J398="","", C398 * IFERROR(VLOOKUP(J398, SETUP!$A:$D, 4, FALSE), 0))</f>
        <v>28</v>
      </c>
      <c r="G398" s="11">
        <f t="shared" si="1"/>
        <v>28</v>
      </c>
      <c r="H398" s="22"/>
      <c r="I398" s="11"/>
      <c r="J398" s="17" t="str">
        <f>IF(TRIM(B398)="","",IF(ISNUMBER(SEARCH(" - ",B398)),TRIM(RIGHT(B398,LEN(B398)-FIND(" - ",B398)-2)),IFERROR(VLOOKUP(UPPER(TRIM(B398)), SETUP!$B$4:$C$11, 2, FALSE), UPPER(TRIM(B398)))))</f>
        <v>AMY</v>
      </c>
      <c r="K398" s="23">
        <f t="shared" si="2"/>
        <v>46069</v>
      </c>
      <c r="L398" s="17">
        <f t="shared" si="3"/>
        <v>46070</v>
      </c>
      <c r="M398" s="17" t="str">
        <f t="shared" si="4"/>
        <v>2026-02</v>
      </c>
    </row>
    <row r="399" ht="15.75" customHeight="1">
      <c r="A399" s="25">
        <v>46070.0</v>
      </c>
      <c r="B399" s="20" t="s">
        <v>20</v>
      </c>
      <c r="C399" s="20">
        <v>40.0</v>
      </c>
      <c r="D399" s="21"/>
      <c r="E399" s="11">
        <f>IF(J399="","", C399 * IFERROR(VLOOKUP(J399, SETUP!$A:$D, 3, FALSE), 0))</f>
        <v>24</v>
      </c>
      <c r="F399" s="11">
        <f>IF(J399="","", C399 * IFERROR(VLOOKUP(J399, SETUP!$A:$D, 4, FALSE), 0))</f>
        <v>16</v>
      </c>
      <c r="G399" s="11">
        <f t="shared" si="1"/>
        <v>16</v>
      </c>
      <c r="H399" s="22"/>
      <c r="I399" s="11"/>
      <c r="J399" s="17" t="str">
        <f>IF(TRIM(B399)="","",IF(ISNUMBER(SEARCH(" - ",B399)),TRIM(RIGHT(B399,LEN(B399)-FIND(" - ",B399)-2)),IFERROR(VLOOKUP(UPPER(TRIM(B399)), SETUP!$B$4:$C$11, 2, FALSE), UPPER(TRIM(B399)))))</f>
        <v>AMY</v>
      </c>
      <c r="K399" s="23">
        <f t="shared" si="2"/>
        <v>46069</v>
      </c>
      <c r="L399" s="17">
        <f t="shared" si="3"/>
        <v>46070</v>
      </c>
      <c r="M399" s="17" t="str">
        <f t="shared" si="4"/>
        <v>2026-02</v>
      </c>
    </row>
    <row r="400" ht="15.75" customHeight="1">
      <c r="A400" s="25">
        <v>46070.0</v>
      </c>
      <c r="B400" s="20" t="s">
        <v>20</v>
      </c>
      <c r="C400" s="20">
        <v>20.0</v>
      </c>
      <c r="D400" s="21"/>
      <c r="E400" s="11">
        <f>IF(J400="","", C400 * IFERROR(VLOOKUP(J400, SETUP!$A:$D, 3, FALSE), 0))</f>
        <v>12</v>
      </c>
      <c r="F400" s="11">
        <f>IF(J400="","", C400 * IFERROR(VLOOKUP(J400, SETUP!$A:$D, 4, FALSE), 0))</f>
        <v>8</v>
      </c>
      <c r="G400" s="11">
        <f t="shared" si="1"/>
        <v>8</v>
      </c>
      <c r="H400" s="22"/>
      <c r="I400" s="11"/>
      <c r="J400" s="17" t="str">
        <f>IF(TRIM(B400)="","",IF(ISNUMBER(SEARCH(" - ",B400)),TRIM(RIGHT(B400,LEN(B400)-FIND(" - ",B400)-2)),IFERROR(VLOOKUP(UPPER(TRIM(B400)), SETUP!$B$4:$C$11, 2, FALSE), UPPER(TRIM(B400)))))</f>
        <v>AMY</v>
      </c>
      <c r="K400" s="23">
        <f t="shared" si="2"/>
        <v>46069</v>
      </c>
      <c r="L400" s="17">
        <f t="shared" si="3"/>
        <v>46070</v>
      </c>
      <c r="M400" s="17" t="str">
        <f t="shared" si="4"/>
        <v>2026-02</v>
      </c>
    </row>
    <row r="401" ht="15.75" customHeight="1">
      <c r="A401" s="25">
        <v>46070.0</v>
      </c>
      <c r="B401" s="20" t="s">
        <v>20</v>
      </c>
      <c r="C401" s="20">
        <v>65.0</v>
      </c>
      <c r="D401" s="21"/>
      <c r="E401" s="11">
        <f>IF(J401="","", C401 * IFERROR(VLOOKUP(J401, SETUP!$A:$D, 3, FALSE), 0))</f>
        <v>39</v>
      </c>
      <c r="F401" s="11">
        <f>IF(J401="","", C401 * IFERROR(VLOOKUP(J401, SETUP!$A:$D, 4, FALSE), 0))</f>
        <v>26</v>
      </c>
      <c r="G401" s="11">
        <f t="shared" si="1"/>
        <v>26</v>
      </c>
      <c r="H401" s="22"/>
      <c r="I401" s="11"/>
      <c r="J401" s="17" t="str">
        <f>IF(TRIM(B401)="","",IF(ISNUMBER(SEARCH(" - ",B401)),TRIM(RIGHT(B401,LEN(B401)-FIND(" - ",B401)-2)),IFERROR(VLOOKUP(UPPER(TRIM(B401)), SETUP!$B$4:$C$11, 2, FALSE), UPPER(TRIM(B401)))))</f>
        <v>AMY</v>
      </c>
      <c r="K401" s="23">
        <f t="shared" si="2"/>
        <v>46069</v>
      </c>
      <c r="L401" s="17">
        <f t="shared" si="3"/>
        <v>46070</v>
      </c>
      <c r="M401" s="17" t="str">
        <f t="shared" si="4"/>
        <v>2026-02</v>
      </c>
    </row>
    <row r="402" ht="15.75" customHeight="1">
      <c r="A402" s="25">
        <v>46070.0</v>
      </c>
      <c r="B402" s="20" t="s">
        <v>21</v>
      </c>
      <c r="C402" s="20">
        <v>52.0</v>
      </c>
      <c r="D402" s="21"/>
      <c r="E402" s="11">
        <f>IF(J402="","", C402 * IFERROR(VLOOKUP(J402, SETUP!$A:$D, 3, FALSE), 0))</f>
        <v>31.2</v>
      </c>
      <c r="F402" s="11">
        <f>IF(J402="","", C402 * IFERROR(VLOOKUP(J402, SETUP!$A:$D, 4, FALSE), 0))</f>
        <v>20.8</v>
      </c>
      <c r="G402" s="11">
        <f t="shared" si="1"/>
        <v>20.8</v>
      </c>
      <c r="H402" s="22"/>
      <c r="I402" s="11"/>
      <c r="J402" s="17" t="str">
        <f>IF(TRIM(B402)="","",IF(ISNUMBER(SEARCH(" - ",B402)),TRIM(RIGHT(B402,LEN(B402)-FIND(" - ",B402)-2)),IFERROR(VLOOKUP(UPPER(TRIM(B402)), SETUP!$B$4:$C$11, 2, FALSE), UPPER(TRIM(B402)))))</f>
        <v>TONY</v>
      </c>
      <c r="K402" s="23">
        <f t="shared" si="2"/>
        <v>46069</v>
      </c>
      <c r="L402" s="17">
        <f t="shared" si="3"/>
        <v>46070</v>
      </c>
      <c r="M402" s="17" t="str">
        <f t="shared" si="4"/>
        <v>2026-02</v>
      </c>
    </row>
    <row r="403" ht="15.75" customHeight="1">
      <c r="A403" s="25">
        <v>46070.0</v>
      </c>
      <c r="B403" s="20" t="s">
        <v>21</v>
      </c>
      <c r="C403" s="20">
        <v>57.0</v>
      </c>
      <c r="D403" s="21"/>
      <c r="E403" s="11">
        <f>IF(J403="","", C403 * IFERROR(VLOOKUP(J403, SETUP!$A:$D, 3, FALSE), 0))</f>
        <v>34.2</v>
      </c>
      <c r="F403" s="11">
        <f>IF(J403="","", C403 * IFERROR(VLOOKUP(J403, SETUP!$A:$D, 4, FALSE), 0))</f>
        <v>22.8</v>
      </c>
      <c r="G403" s="11">
        <f t="shared" si="1"/>
        <v>22.8</v>
      </c>
      <c r="H403" s="22"/>
      <c r="I403" s="11"/>
      <c r="J403" s="17" t="str">
        <f>IF(TRIM(B403)="","",IF(ISNUMBER(SEARCH(" - ",B403)),TRIM(RIGHT(B403,LEN(B403)-FIND(" - ",B403)-2)),IFERROR(VLOOKUP(UPPER(TRIM(B403)), SETUP!$B$4:$C$11, 2, FALSE), UPPER(TRIM(B403)))))</f>
        <v>TONY</v>
      </c>
      <c r="K403" s="23">
        <f t="shared" si="2"/>
        <v>46069</v>
      </c>
      <c r="L403" s="17">
        <f t="shared" si="3"/>
        <v>46070</v>
      </c>
      <c r="M403" s="17" t="str">
        <f t="shared" si="4"/>
        <v>2026-02</v>
      </c>
    </row>
    <row r="404" ht="15.75" customHeight="1">
      <c r="A404" s="25">
        <v>46070.0</v>
      </c>
      <c r="B404" s="20" t="s">
        <v>21</v>
      </c>
      <c r="C404" s="20">
        <v>60.0</v>
      </c>
      <c r="D404" s="21"/>
      <c r="E404" s="11">
        <f>IF(J404="","", C404 * IFERROR(VLOOKUP(J404, SETUP!$A:$D, 3, FALSE), 0))</f>
        <v>36</v>
      </c>
      <c r="F404" s="11">
        <f>IF(J404="","", C404 * IFERROR(VLOOKUP(J404, SETUP!$A:$D, 4, FALSE), 0))</f>
        <v>24</v>
      </c>
      <c r="G404" s="11">
        <f t="shared" si="1"/>
        <v>24</v>
      </c>
      <c r="H404" s="22"/>
      <c r="I404" s="11"/>
      <c r="J404" s="17" t="str">
        <f>IF(TRIM(B404)="","",IF(ISNUMBER(SEARCH(" - ",B404)),TRIM(RIGHT(B404,LEN(B404)-FIND(" - ",B404)-2)),IFERROR(VLOOKUP(UPPER(TRIM(B404)), SETUP!$B$4:$C$11, 2, FALSE), UPPER(TRIM(B404)))))</f>
        <v>TONY</v>
      </c>
      <c r="K404" s="23">
        <f t="shared" si="2"/>
        <v>46069</v>
      </c>
      <c r="L404" s="17">
        <f t="shared" si="3"/>
        <v>46070</v>
      </c>
      <c r="M404" s="17" t="str">
        <f t="shared" si="4"/>
        <v>2026-02</v>
      </c>
    </row>
    <row r="405" ht="15.75" customHeight="1">
      <c r="A405" s="25">
        <v>46070.0</v>
      </c>
      <c r="B405" s="20" t="s">
        <v>21</v>
      </c>
      <c r="C405" s="20">
        <v>57.0</v>
      </c>
      <c r="D405" s="21"/>
      <c r="E405" s="11">
        <f>IF(J405="","", C405 * IFERROR(VLOOKUP(J405, SETUP!$A:$D, 3, FALSE), 0))</f>
        <v>34.2</v>
      </c>
      <c r="F405" s="11">
        <f>IF(J405="","", C405 * IFERROR(VLOOKUP(J405, SETUP!$A:$D, 4, FALSE), 0))</f>
        <v>22.8</v>
      </c>
      <c r="G405" s="11">
        <f t="shared" si="1"/>
        <v>22.8</v>
      </c>
      <c r="H405" s="22"/>
      <c r="I405" s="11"/>
      <c r="J405" s="17" t="str">
        <f>IF(TRIM(B405)="","",IF(ISNUMBER(SEARCH(" - ",B405)),TRIM(RIGHT(B405,LEN(B405)-FIND(" - ",B405)-2)),IFERROR(VLOOKUP(UPPER(TRIM(B405)), SETUP!$B$4:$C$11, 2, FALSE), UPPER(TRIM(B405)))))</f>
        <v>TONY</v>
      </c>
      <c r="K405" s="23">
        <f t="shared" si="2"/>
        <v>46069</v>
      </c>
      <c r="L405" s="17">
        <f t="shared" si="3"/>
        <v>46070</v>
      </c>
      <c r="M405" s="17" t="str">
        <f t="shared" si="4"/>
        <v>2026-02</v>
      </c>
    </row>
    <row r="406" ht="15.75" customHeight="1">
      <c r="A406" s="25">
        <v>46070.0</v>
      </c>
      <c r="B406" s="20" t="s">
        <v>21</v>
      </c>
      <c r="C406" s="20">
        <v>72.0</v>
      </c>
      <c r="D406" s="21"/>
      <c r="E406" s="11">
        <f>IF(J406="","", C406 * IFERROR(VLOOKUP(J406, SETUP!$A:$D, 3, FALSE), 0))</f>
        <v>43.2</v>
      </c>
      <c r="F406" s="11">
        <f>IF(J406="","", C406 * IFERROR(VLOOKUP(J406, SETUP!$A:$D, 4, FALSE), 0))</f>
        <v>28.8</v>
      </c>
      <c r="G406" s="11">
        <f t="shared" si="1"/>
        <v>28.8</v>
      </c>
      <c r="H406" s="22"/>
      <c r="I406" s="11"/>
      <c r="J406" s="17" t="str">
        <f>IF(TRIM(B406)="","",IF(ISNUMBER(SEARCH(" - ",B406)),TRIM(RIGHT(B406,LEN(B406)-FIND(" - ",B406)-2)),IFERROR(VLOOKUP(UPPER(TRIM(B406)), SETUP!$B$4:$C$11, 2, FALSE), UPPER(TRIM(B406)))))</f>
        <v>TONY</v>
      </c>
      <c r="K406" s="23">
        <f t="shared" si="2"/>
        <v>46069</v>
      </c>
      <c r="L406" s="17">
        <f t="shared" si="3"/>
        <v>46070</v>
      </c>
      <c r="M406" s="17" t="str">
        <f t="shared" si="4"/>
        <v>2026-02</v>
      </c>
    </row>
    <row r="407" ht="15.75" customHeight="1">
      <c r="A407" s="25">
        <v>46070.0</v>
      </c>
      <c r="B407" s="20" t="s">
        <v>21</v>
      </c>
      <c r="C407" s="20">
        <v>57.0</v>
      </c>
      <c r="D407" s="21"/>
      <c r="E407" s="11">
        <f>IF(J407="","", C407 * IFERROR(VLOOKUP(J407, SETUP!$A:$D, 3, FALSE), 0))</f>
        <v>34.2</v>
      </c>
      <c r="F407" s="11">
        <f>IF(J407="","", C407 * IFERROR(VLOOKUP(J407, SETUP!$A:$D, 4, FALSE), 0))</f>
        <v>22.8</v>
      </c>
      <c r="G407" s="11">
        <f t="shared" si="1"/>
        <v>22.8</v>
      </c>
      <c r="H407" s="22"/>
      <c r="I407" s="11"/>
      <c r="J407" s="17" t="str">
        <f>IF(TRIM(B407)="","",IF(ISNUMBER(SEARCH(" - ",B407)),TRIM(RIGHT(B407,LEN(B407)-FIND(" - ",B407)-2)),IFERROR(VLOOKUP(UPPER(TRIM(B407)), SETUP!$B$4:$C$11, 2, FALSE), UPPER(TRIM(B407)))))</f>
        <v>TONY</v>
      </c>
      <c r="K407" s="23">
        <f t="shared" si="2"/>
        <v>46069</v>
      </c>
      <c r="L407" s="17">
        <f t="shared" si="3"/>
        <v>46070</v>
      </c>
      <c r="M407" s="17" t="str">
        <f t="shared" si="4"/>
        <v>2026-02</v>
      </c>
    </row>
    <row r="408" ht="15.75" customHeight="1">
      <c r="A408" s="19">
        <v>46071.0</v>
      </c>
      <c r="B408" s="20" t="s">
        <v>17</v>
      </c>
      <c r="C408" s="20">
        <v>84.0</v>
      </c>
      <c r="D408" s="21"/>
      <c r="E408" s="11">
        <f>IF(J408="","", C408 * IFERROR(VLOOKUP(J408, SETUP!$A:$D, 3, FALSE), 0))</f>
        <v>50.4</v>
      </c>
      <c r="F408" s="11">
        <f>IF(J408="","", C408 * IFERROR(VLOOKUP(J408, SETUP!$A:$D, 4, FALSE), 0))</f>
        <v>33.6</v>
      </c>
      <c r="G408" s="11">
        <f t="shared" si="1"/>
        <v>33.6</v>
      </c>
      <c r="H408" s="22"/>
      <c r="I408" s="11"/>
      <c r="J408" s="17" t="str">
        <f>IF(TRIM(B408)="","",IF(ISNUMBER(SEARCH(" - ",B408)),TRIM(RIGHT(B408,LEN(B408)-FIND(" - ",B408)-2)),IFERROR(VLOOKUP(UPPER(TRIM(B408)), SETUP!$B$4:$C$11, 2, FALSE), UPPER(TRIM(B408)))))</f>
        <v>RYAN</v>
      </c>
      <c r="K408" s="23">
        <f t="shared" si="2"/>
        <v>46069</v>
      </c>
      <c r="L408" s="17">
        <f t="shared" si="3"/>
        <v>46071</v>
      </c>
      <c r="M408" s="17" t="str">
        <f t="shared" si="4"/>
        <v>2026-02</v>
      </c>
    </row>
    <row r="409" ht="15.75" customHeight="1">
      <c r="A409" s="19">
        <v>46071.0</v>
      </c>
      <c r="B409" s="20" t="s">
        <v>17</v>
      </c>
      <c r="C409" s="20">
        <v>77.0</v>
      </c>
      <c r="D409" s="21"/>
      <c r="E409" s="11">
        <f>IF(J409="","", C409 * IFERROR(VLOOKUP(J409, SETUP!$A:$D, 3, FALSE), 0))</f>
        <v>46.2</v>
      </c>
      <c r="F409" s="11">
        <f>IF(J409="","", C409 * IFERROR(VLOOKUP(J409, SETUP!$A:$D, 4, FALSE), 0))</f>
        <v>30.8</v>
      </c>
      <c r="G409" s="11">
        <f t="shared" si="1"/>
        <v>30.8</v>
      </c>
      <c r="H409" s="22"/>
      <c r="I409" s="11"/>
      <c r="J409" s="17" t="str">
        <f>IF(TRIM(B409)="","",IF(ISNUMBER(SEARCH(" - ",B409)),TRIM(RIGHT(B409,LEN(B409)-FIND(" - ",B409)-2)),IFERROR(VLOOKUP(UPPER(TRIM(B409)), SETUP!$B$4:$C$11, 2, FALSE), UPPER(TRIM(B409)))))</f>
        <v>RYAN</v>
      </c>
      <c r="K409" s="23">
        <f t="shared" si="2"/>
        <v>46069</v>
      </c>
      <c r="L409" s="17">
        <f t="shared" si="3"/>
        <v>46071</v>
      </c>
      <c r="M409" s="17" t="str">
        <f t="shared" si="4"/>
        <v>2026-02</v>
      </c>
    </row>
    <row r="410" ht="15.75" customHeight="1">
      <c r="A410" s="19">
        <v>46071.0</v>
      </c>
      <c r="B410" s="20" t="s">
        <v>17</v>
      </c>
      <c r="C410" s="20">
        <v>65.0</v>
      </c>
      <c r="D410" s="21"/>
      <c r="E410" s="11">
        <f>IF(J410="","", C410 * IFERROR(VLOOKUP(J410, SETUP!$A:$D, 3, FALSE), 0))</f>
        <v>39</v>
      </c>
      <c r="F410" s="11">
        <f>IF(J410="","", C410 * IFERROR(VLOOKUP(J410, SETUP!$A:$D, 4, FALSE), 0))</f>
        <v>26</v>
      </c>
      <c r="G410" s="11">
        <f t="shared" si="1"/>
        <v>26</v>
      </c>
      <c r="H410" s="22"/>
      <c r="I410" s="11"/>
      <c r="J410" s="17" t="str">
        <f>IF(TRIM(B410)="","",IF(ISNUMBER(SEARCH(" - ",B410)),TRIM(RIGHT(B410,LEN(B410)-FIND(" - ",B410)-2)),IFERROR(VLOOKUP(UPPER(TRIM(B410)), SETUP!$B$4:$C$11, 2, FALSE), UPPER(TRIM(B410)))))</f>
        <v>RYAN</v>
      </c>
      <c r="K410" s="23">
        <f t="shared" si="2"/>
        <v>46069</v>
      </c>
      <c r="L410" s="17">
        <f t="shared" si="3"/>
        <v>46071</v>
      </c>
      <c r="M410" s="17" t="str">
        <f t="shared" si="4"/>
        <v>2026-02</v>
      </c>
    </row>
    <row r="411" ht="15.75" customHeight="1">
      <c r="A411" s="19">
        <v>46071.0</v>
      </c>
      <c r="B411" s="20" t="s">
        <v>17</v>
      </c>
      <c r="C411" s="20">
        <v>75.0</v>
      </c>
      <c r="D411" s="21"/>
      <c r="E411" s="11">
        <f>IF(J411="","", C411 * IFERROR(VLOOKUP(J411, SETUP!$A:$D, 3, FALSE), 0))</f>
        <v>45</v>
      </c>
      <c r="F411" s="11">
        <f>IF(J411="","", C411 * IFERROR(VLOOKUP(J411, SETUP!$A:$D, 4, FALSE), 0))</f>
        <v>30</v>
      </c>
      <c r="G411" s="11">
        <f t="shared" si="1"/>
        <v>30</v>
      </c>
      <c r="H411" s="22"/>
      <c r="I411" s="11"/>
      <c r="J411" s="17" t="str">
        <f>IF(TRIM(B411)="","",IF(ISNUMBER(SEARCH(" - ",B411)),TRIM(RIGHT(B411,LEN(B411)-FIND(" - ",B411)-2)),IFERROR(VLOOKUP(UPPER(TRIM(B411)), SETUP!$B$4:$C$11, 2, FALSE), UPPER(TRIM(B411)))))</f>
        <v>RYAN</v>
      </c>
      <c r="K411" s="23">
        <f t="shared" si="2"/>
        <v>46069</v>
      </c>
      <c r="L411" s="17">
        <f t="shared" si="3"/>
        <v>46071</v>
      </c>
      <c r="M411" s="17" t="str">
        <f t="shared" si="4"/>
        <v>2026-02</v>
      </c>
    </row>
    <row r="412" ht="15.75" customHeight="1">
      <c r="A412" s="19">
        <v>46071.0</v>
      </c>
      <c r="B412" s="20" t="s">
        <v>17</v>
      </c>
      <c r="C412" s="20">
        <v>47.0</v>
      </c>
      <c r="D412" s="21"/>
      <c r="E412" s="11">
        <f>IF(J412="","", C412 * IFERROR(VLOOKUP(J412, SETUP!$A:$D, 3, FALSE), 0))</f>
        <v>28.2</v>
      </c>
      <c r="F412" s="11">
        <f>IF(J412="","", C412 * IFERROR(VLOOKUP(J412, SETUP!$A:$D, 4, FALSE), 0))</f>
        <v>18.8</v>
      </c>
      <c r="G412" s="11">
        <f t="shared" si="1"/>
        <v>18.8</v>
      </c>
      <c r="H412" s="22"/>
      <c r="I412" s="11"/>
      <c r="J412" s="17" t="str">
        <f>IF(TRIM(B412)="","",IF(ISNUMBER(SEARCH(" - ",B412)),TRIM(RIGHT(B412,LEN(B412)-FIND(" - ",B412)-2)),IFERROR(VLOOKUP(UPPER(TRIM(B412)), SETUP!$B$4:$C$11, 2, FALSE), UPPER(TRIM(B412)))))</f>
        <v>RYAN</v>
      </c>
      <c r="K412" s="23">
        <f t="shared" si="2"/>
        <v>46069</v>
      </c>
      <c r="L412" s="17">
        <f t="shared" si="3"/>
        <v>46071</v>
      </c>
      <c r="M412" s="17" t="str">
        <f t="shared" si="4"/>
        <v>2026-02</v>
      </c>
    </row>
    <row r="413" ht="15.75" customHeight="1">
      <c r="A413" s="19">
        <v>46071.0</v>
      </c>
      <c r="B413" s="20" t="s">
        <v>17</v>
      </c>
      <c r="C413" s="20">
        <v>40.0</v>
      </c>
      <c r="D413" s="21"/>
      <c r="E413" s="11">
        <f>IF(J413="","", C413 * IFERROR(VLOOKUP(J413, SETUP!$A:$D, 3, FALSE), 0))</f>
        <v>24</v>
      </c>
      <c r="F413" s="11">
        <f>IF(J413="","", C413 * IFERROR(VLOOKUP(J413, SETUP!$A:$D, 4, FALSE), 0))</f>
        <v>16</v>
      </c>
      <c r="G413" s="11">
        <f t="shared" si="1"/>
        <v>16</v>
      </c>
      <c r="H413" s="22"/>
      <c r="I413" s="11"/>
      <c r="J413" s="17" t="str">
        <f>IF(TRIM(B413)="","",IF(ISNUMBER(SEARCH(" - ",B413)),TRIM(RIGHT(B413,LEN(B413)-FIND(" - ",B413)-2)),IFERROR(VLOOKUP(UPPER(TRIM(B413)), SETUP!$B$4:$C$11, 2, FALSE), UPPER(TRIM(B413)))))</f>
        <v>RYAN</v>
      </c>
      <c r="K413" s="23">
        <f t="shared" si="2"/>
        <v>46069</v>
      </c>
      <c r="L413" s="17">
        <f t="shared" si="3"/>
        <v>46071</v>
      </c>
      <c r="M413" s="17" t="str">
        <f t="shared" si="4"/>
        <v>2026-02</v>
      </c>
    </row>
    <row r="414" ht="15.75" customHeight="1">
      <c r="A414" s="19">
        <v>46071.0</v>
      </c>
      <c r="B414" s="20" t="s">
        <v>18</v>
      </c>
      <c r="C414" s="20">
        <v>30.0</v>
      </c>
      <c r="D414" s="21"/>
      <c r="E414" s="11">
        <f>IF(J414="","", C414 * IFERROR(VLOOKUP(J414, SETUP!$A:$D, 3, FALSE), 0))</f>
        <v>15</v>
      </c>
      <c r="F414" s="11">
        <f>IF(J414="","", C414 * IFERROR(VLOOKUP(J414, SETUP!$A:$D, 4, FALSE), 0))</f>
        <v>15</v>
      </c>
      <c r="G414" s="11">
        <f t="shared" si="1"/>
        <v>15</v>
      </c>
      <c r="H414" s="22"/>
      <c r="I414" s="11"/>
      <c r="J414" s="17" t="str">
        <f>IF(TRIM(B414)="","",IF(ISNUMBER(SEARCH(" - ",B414)),TRIM(RIGHT(B414,LEN(B414)-FIND(" - ",B414)-2)),IFERROR(VLOOKUP(UPPER(TRIM(B414)), SETUP!$B$4:$C$11, 2, FALSE), UPPER(TRIM(B414)))))</f>
        <v>CRIS</v>
      </c>
      <c r="K414" s="23">
        <f t="shared" si="2"/>
        <v>46069</v>
      </c>
      <c r="L414" s="17">
        <f t="shared" si="3"/>
        <v>46071</v>
      </c>
      <c r="M414" s="17" t="str">
        <f t="shared" si="4"/>
        <v>2026-02</v>
      </c>
    </row>
    <row r="415" ht="15.75" customHeight="1">
      <c r="A415" s="19">
        <v>46071.0</v>
      </c>
      <c r="B415" s="20" t="s">
        <v>18</v>
      </c>
      <c r="C415" s="20">
        <v>40.0</v>
      </c>
      <c r="D415" s="21"/>
      <c r="E415" s="11">
        <f>IF(J415="","", C415 * IFERROR(VLOOKUP(J415, SETUP!$A:$D, 3, FALSE), 0))</f>
        <v>20</v>
      </c>
      <c r="F415" s="11">
        <f>IF(J415="","", C415 * IFERROR(VLOOKUP(J415, SETUP!$A:$D, 4, FALSE), 0))</f>
        <v>20</v>
      </c>
      <c r="G415" s="11">
        <f t="shared" si="1"/>
        <v>20</v>
      </c>
      <c r="H415" s="22"/>
      <c r="I415" s="11"/>
      <c r="J415" s="17" t="str">
        <f>IF(TRIM(B415)="","",IF(ISNUMBER(SEARCH(" - ",B415)),TRIM(RIGHT(B415,LEN(B415)-FIND(" - ",B415)-2)),IFERROR(VLOOKUP(UPPER(TRIM(B415)), SETUP!$B$4:$C$11, 2, FALSE), UPPER(TRIM(B415)))))</f>
        <v>CRIS</v>
      </c>
      <c r="K415" s="23">
        <f t="shared" si="2"/>
        <v>46069</v>
      </c>
      <c r="L415" s="17">
        <f t="shared" si="3"/>
        <v>46071</v>
      </c>
      <c r="M415" s="17" t="str">
        <f t="shared" si="4"/>
        <v>2026-02</v>
      </c>
    </row>
    <row r="416" ht="15.75" customHeight="1">
      <c r="A416" s="19">
        <v>46071.0</v>
      </c>
      <c r="B416" s="20" t="s">
        <v>18</v>
      </c>
      <c r="C416" s="20">
        <v>85.0</v>
      </c>
      <c r="D416" s="21"/>
      <c r="E416" s="11">
        <f>IF(J416="","", C416 * IFERROR(VLOOKUP(J416, SETUP!$A:$D, 3, FALSE), 0))</f>
        <v>42.5</v>
      </c>
      <c r="F416" s="11">
        <f>IF(J416="","", C416 * IFERROR(VLOOKUP(J416, SETUP!$A:$D, 4, FALSE), 0))</f>
        <v>42.5</v>
      </c>
      <c r="G416" s="11">
        <f t="shared" si="1"/>
        <v>42.5</v>
      </c>
      <c r="H416" s="22"/>
      <c r="I416" s="11"/>
      <c r="J416" s="17" t="str">
        <f>IF(TRIM(B416)="","",IF(ISNUMBER(SEARCH(" - ",B416)),TRIM(RIGHT(B416,LEN(B416)-FIND(" - ",B416)-2)),IFERROR(VLOOKUP(UPPER(TRIM(B416)), SETUP!$B$4:$C$11, 2, FALSE), UPPER(TRIM(B416)))))</f>
        <v>CRIS</v>
      </c>
      <c r="K416" s="23">
        <f t="shared" si="2"/>
        <v>46069</v>
      </c>
      <c r="L416" s="17">
        <f t="shared" si="3"/>
        <v>46071</v>
      </c>
      <c r="M416" s="17" t="str">
        <f t="shared" si="4"/>
        <v>2026-02</v>
      </c>
    </row>
    <row r="417" ht="15.75" customHeight="1">
      <c r="A417" s="19">
        <v>46071.0</v>
      </c>
      <c r="B417" s="20" t="s">
        <v>18</v>
      </c>
      <c r="C417" s="20">
        <v>35.0</v>
      </c>
      <c r="D417" s="21"/>
      <c r="E417" s="11">
        <f>IF(J417="","", C417 * IFERROR(VLOOKUP(J417, SETUP!$A:$D, 3, FALSE), 0))</f>
        <v>17.5</v>
      </c>
      <c r="F417" s="11">
        <f>IF(J417="","", C417 * IFERROR(VLOOKUP(J417, SETUP!$A:$D, 4, FALSE), 0))</f>
        <v>17.5</v>
      </c>
      <c r="G417" s="11">
        <f t="shared" si="1"/>
        <v>17.5</v>
      </c>
      <c r="H417" s="22"/>
      <c r="I417" s="11"/>
      <c r="J417" s="17" t="str">
        <f>IF(TRIM(B417)="","",IF(ISNUMBER(SEARCH(" - ",B417)),TRIM(RIGHT(B417,LEN(B417)-FIND(" - ",B417)-2)),IFERROR(VLOOKUP(UPPER(TRIM(B417)), SETUP!$B$4:$C$11, 2, FALSE), UPPER(TRIM(B417)))))</f>
        <v>CRIS</v>
      </c>
      <c r="K417" s="23">
        <f t="shared" si="2"/>
        <v>46069</v>
      </c>
      <c r="L417" s="17">
        <f t="shared" si="3"/>
        <v>46071</v>
      </c>
      <c r="M417" s="17" t="str">
        <f t="shared" si="4"/>
        <v>2026-02</v>
      </c>
    </row>
    <row r="418" ht="15.75" customHeight="1">
      <c r="A418" s="19">
        <v>46071.0</v>
      </c>
      <c r="B418" s="20" t="s">
        <v>18</v>
      </c>
      <c r="C418" s="20">
        <v>50.0</v>
      </c>
      <c r="D418" s="21"/>
      <c r="E418" s="11">
        <f>IF(J418="","", C418 * IFERROR(VLOOKUP(J418, SETUP!$A:$D, 3, FALSE), 0))</f>
        <v>25</v>
      </c>
      <c r="F418" s="11">
        <f>IF(J418="","", C418 * IFERROR(VLOOKUP(J418, SETUP!$A:$D, 4, FALSE), 0))</f>
        <v>25</v>
      </c>
      <c r="G418" s="11">
        <f t="shared" si="1"/>
        <v>25</v>
      </c>
      <c r="H418" s="22"/>
      <c r="I418" s="11"/>
      <c r="J418" s="17" t="str">
        <f>IF(TRIM(B418)="","",IF(ISNUMBER(SEARCH(" - ",B418)),TRIM(RIGHT(B418,LEN(B418)-FIND(" - ",B418)-2)),IFERROR(VLOOKUP(UPPER(TRIM(B418)), SETUP!$B$4:$C$11, 2, FALSE), UPPER(TRIM(B418)))))</f>
        <v>CRIS</v>
      </c>
      <c r="K418" s="23">
        <f t="shared" si="2"/>
        <v>46069</v>
      </c>
      <c r="L418" s="17">
        <f t="shared" si="3"/>
        <v>46071</v>
      </c>
      <c r="M418" s="17" t="str">
        <f t="shared" si="4"/>
        <v>2026-02</v>
      </c>
    </row>
    <row r="419" ht="15.75" customHeight="1">
      <c r="A419" s="19">
        <v>46071.0</v>
      </c>
      <c r="B419" s="20" t="s">
        <v>18</v>
      </c>
      <c r="C419" s="20">
        <v>50.0</v>
      </c>
      <c r="D419" s="21"/>
      <c r="E419" s="11">
        <f>IF(J419="","", C419 * IFERROR(VLOOKUP(J419, SETUP!$A:$D, 3, FALSE), 0))</f>
        <v>25</v>
      </c>
      <c r="F419" s="11">
        <f>IF(J419="","", C419 * IFERROR(VLOOKUP(J419, SETUP!$A:$D, 4, FALSE), 0))</f>
        <v>25</v>
      </c>
      <c r="G419" s="11">
        <f t="shared" si="1"/>
        <v>25</v>
      </c>
      <c r="H419" s="22"/>
      <c r="I419" s="11"/>
      <c r="J419" s="17" t="str">
        <f>IF(TRIM(B419)="","",IF(ISNUMBER(SEARCH(" - ",B419)),TRIM(RIGHT(B419,LEN(B419)-FIND(" - ",B419)-2)),IFERROR(VLOOKUP(UPPER(TRIM(B419)), SETUP!$B$4:$C$11, 2, FALSE), UPPER(TRIM(B419)))))</f>
        <v>CRIS</v>
      </c>
      <c r="K419" s="23">
        <f t="shared" si="2"/>
        <v>46069</v>
      </c>
      <c r="L419" s="17">
        <f t="shared" si="3"/>
        <v>46071</v>
      </c>
      <c r="M419" s="17" t="str">
        <f t="shared" si="4"/>
        <v>2026-02</v>
      </c>
    </row>
    <row r="420" ht="15.75" customHeight="1">
      <c r="A420" s="19">
        <v>46071.0</v>
      </c>
      <c r="B420" s="20" t="s">
        <v>18</v>
      </c>
      <c r="C420" s="20">
        <v>85.0</v>
      </c>
      <c r="D420" s="21"/>
      <c r="E420" s="11">
        <f>IF(J420="","", C420 * IFERROR(VLOOKUP(J420, SETUP!$A:$D, 3, FALSE), 0))</f>
        <v>42.5</v>
      </c>
      <c r="F420" s="11">
        <f>IF(J420="","", C420 * IFERROR(VLOOKUP(J420, SETUP!$A:$D, 4, FALSE), 0))</f>
        <v>42.5</v>
      </c>
      <c r="G420" s="11">
        <f t="shared" si="1"/>
        <v>42.5</v>
      </c>
      <c r="H420" s="22"/>
      <c r="I420" s="11"/>
      <c r="J420" s="17" t="str">
        <f>IF(TRIM(B420)="","",IF(ISNUMBER(SEARCH(" - ",B420)),TRIM(RIGHT(B420,LEN(B420)-FIND(" - ",B420)-2)),IFERROR(VLOOKUP(UPPER(TRIM(B420)), SETUP!$B$4:$C$11, 2, FALSE), UPPER(TRIM(B420)))))</f>
        <v>CRIS</v>
      </c>
      <c r="K420" s="23">
        <f t="shared" si="2"/>
        <v>46069</v>
      </c>
      <c r="L420" s="17">
        <f t="shared" si="3"/>
        <v>46071</v>
      </c>
      <c r="M420" s="17" t="str">
        <f t="shared" si="4"/>
        <v>2026-02</v>
      </c>
    </row>
    <row r="421" ht="15.75" customHeight="1">
      <c r="A421" s="19">
        <v>46071.0</v>
      </c>
      <c r="B421" s="20" t="s">
        <v>19</v>
      </c>
      <c r="C421" s="20">
        <v>87.0</v>
      </c>
      <c r="D421" s="21"/>
      <c r="E421" s="11">
        <f>IF(J421="","", C421 * IFERROR(VLOOKUP(J421, SETUP!$A:$D, 3, FALSE), 0))</f>
        <v>0</v>
      </c>
      <c r="F421" s="11">
        <f>IF(J421="","", C421 * IFERROR(VLOOKUP(J421, SETUP!$A:$D, 4, FALSE), 0))</f>
        <v>87</v>
      </c>
      <c r="G421" s="11">
        <f t="shared" si="1"/>
        <v>87</v>
      </c>
      <c r="H421" s="22"/>
      <c r="I421" s="11"/>
      <c r="J421" s="17" t="str">
        <f>IF(TRIM(B421)="","",IF(ISNUMBER(SEARCH(" - ",B421)),TRIM(RIGHT(B421,LEN(B421)-FIND(" - ",B421)-2)),IFERROR(VLOOKUP(UPPER(TRIM(B421)), SETUP!$B$4:$C$11, 2, FALSE), UPPER(TRIM(B421)))))</f>
        <v>HANNI</v>
      </c>
      <c r="K421" s="23">
        <f t="shared" si="2"/>
        <v>46069</v>
      </c>
      <c r="L421" s="17">
        <f t="shared" si="3"/>
        <v>46071</v>
      </c>
      <c r="M421" s="17" t="str">
        <f t="shared" si="4"/>
        <v>2026-02</v>
      </c>
    </row>
    <row r="422" ht="15.75" customHeight="1">
      <c r="A422" s="19">
        <v>46071.0</v>
      </c>
      <c r="B422" s="20" t="s">
        <v>19</v>
      </c>
      <c r="C422" s="20">
        <v>65.0</v>
      </c>
      <c r="D422" s="21"/>
      <c r="E422" s="11">
        <f>IF(J422="","", C422 * IFERROR(VLOOKUP(J422, SETUP!$A:$D, 3, FALSE), 0))</f>
        <v>0</v>
      </c>
      <c r="F422" s="11">
        <f>IF(J422="","", C422 * IFERROR(VLOOKUP(J422, SETUP!$A:$D, 4, FALSE), 0))</f>
        <v>65</v>
      </c>
      <c r="G422" s="11">
        <f t="shared" si="1"/>
        <v>65</v>
      </c>
      <c r="H422" s="22"/>
      <c r="I422" s="11"/>
      <c r="J422" s="17" t="str">
        <f>IF(TRIM(B422)="","",IF(ISNUMBER(SEARCH(" - ",B422)),TRIM(RIGHT(B422,LEN(B422)-FIND(" - ",B422)-2)),IFERROR(VLOOKUP(UPPER(TRIM(B422)), SETUP!$B$4:$C$11, 2, FALSE), UPPER(TRIM(B422)))))</f>
        <v>HANNI</v>
      </c>
      <c r="K422" s="23">
        <f t="shared" si="2"/>
        <v>46069</v>
      </c>
      <c r="L422" s="17">
        <f t="shared" si="3"/>
        <v>46071</v>
      </c>
      <c r="M422" s="17" t="str">
        <f t="shared" si="4"/>
        <v>2026-02</v>
      </c>
    </row>
    <row r="423" ht="15.75" customHeight="1">
      <c r="A423" s="19">
        <v>46071.0</v>
      </c>
      <c r="B423" s="20" t="s">
        <v>19</v>
      </c>
      <c r="C423" s="20">
        <v>65.0</v>
      </c>
      <c r="D423" s="21"/>
      <c r="E423" s="11">
        <f>IF(J423="","", C423 * IFERROR(VLOOKUP(J423, SETUP!$A:$D, 3, FALSE), 0))</f>
        <v>0</v>
      </c>
      <c r="F423" s="11">
        <f>IF(J423="","", C423 * IFERROR(VLOOKUP(J423, SETUP!$A:$D, 4, FALSE), 0))</f>
        <v>65</v>
      </c>
      <c r="G423" s="11">
        <f t="shared" si="1"/>
        <v>65</v>
      </c>
      <c r="H423" s="22"/>
      <c r="I423" s="11"/>
      <c r="J423" s="17" t="str">
        <f>IF(TRIM(B423)="","",IF(ISNUMBER(SEARCH(" - ",B423)),TRIM(RIGHT(B423,LEN(B423)-FIND(" - ",B423)-2)),IFERROR(VLOOKUP(UPPER(TRIM(B423)), SETUP!$B$4:$C$11, 2, FALSE), UPPER(TRIM(B423)))))</f>
        <v>HANNI</v>
      </c>
      <c r="K423" s="23">
        <f t="shared" si="2"/>
        <v>46069</v>
      </c>
      <c r="L423" s="17">
        <f t="shared" si="3"/>
        <v>46071</v>
      </c>
      <c r="M423" s="17" t="str">
        <f t="shared" si="4"/>
        <v>2026-02</v>
      </c>
    </row>
    <row r="424" ht="15.75" customHeight="1">
      <c r="A424" s="19">
        <v>46071.0</v>
      </c>
      <c r="B424" s="20" t="s">
        <v>20</v>
      </c>
      <c r="C424" s="20">
        <v>67.0</v>
      </c>
      <c r="D424" s="21"/>
      <c r="E424" s="11">
        <f>IF(J424="","", C424 * IFERROR(VLOOKUP(J424, SETUP!$A:$D, 3, FALSE), 0))</f>
        <v>40.2</v>
      </c>
      <c r="F424" s="11">
        <f>IF(J424="","", C424 * IFERROR(VLOOKUP(J424, SETUP!$A:$D, 4, FALSE), 0))</f>
        <v>26.8</v>
      </c>
      <c r="G424" s="11">
        <f t="shared" si="1"/>
        <v>26.8</v>
      </c>
      <c r="H424" s="22"/>
      <c r="I424" s="11"/>
      <c r="J424" s="17" t="str">
        <f>IF(TRIM(B424)="","",IF(ISNUMBER(SEARCH(" - ",B424)),TRIM(RIGHT(B424,LEN(B424)-FIND(" - ",B424)-2)),IFERROR(VLOOKUP(UPPER(TRIM(B424)), SETUP!$B$4:$C$11, 2, FALSE), UPPER(TRIM(B424)))))</f>
        <v>AMY</v>
      </c>
      <c r="K424" s="23">
        <f t="shared" si="2"/>
        <v>46069</v>
      </c>
      <c r="L424" s="17">
        <f t="shared" si="3"/>
        <v>46071</v>
      </c>
      <c r="M424" s="17" t="str">
        <f t="shared" si="4"/>
        <v>2026-02</v>
      </c>
    </row>
    <row r="425" ht="15.75" customHeight="1">
      <c r="A425" s="19">
        <v>46071.0</v>
      </c>
      <c r="B425" s="20" t="s">
        <v>20</v>
      </c>
      <c r="C425" s="20">
        <v>70.0</v>
      </c>
      <c r="D425" s="21"/>
      <c r="E425" s="11">
        <f>IF(J425="","", C425 * IFERROR(VLOOKUP(J425, SETUP!$A:$D, 3, FALSE), 0))</f>
        <v>42</v>
      </c>
      <c r="F425" s="11">
        <f>IF(J425="","", C425 * IFERROR(VLOOKUP(J425, SETUP!$A:$D, 4, FALSE), 0))</f>
        <v>28</v>
      </c>
      <c r="G425" s="11">
        <f t="shared" si="1"/>
        <v>28</v>
      </c>
      <c r="H425" s="22"/>
      <c r="I425" s="11"/>
      <c r="J425" s="17" t="str">
        <f>IF(TRIM(B425)="","",IF(ISNUMBER(SEARCH(" - ",B425)),TRIM(RIGHT(B425,LEN(B425)-FIND(" - ",B425)-2)),IFERROR(VLOOKUP(UPPER(TRIM(B425)), SETUP!$B$4:$C$11, 2, FALSE), UPPER(TRIM(B425)))))</f>
        <v>AMY</v>
      </c>
      <c r="K425" s="23">
        <f t="shared" si="2"/>
        <v>46069</v>
      </c>
      <c r="L425" s="17">
        <f t="shared" si="3"/>
        <v>46071</v>
      </c>
      <c r="M425" s="17" t="str">
        <f t="shared" si="4"/>
        <v>2026-02</v>
      </c>
    </row>
    <row r="426" ht="15.75" customHeight="1">
      <c r="A426" s="19">
        <v>46071.0</v>
      </c>
      <c r="B426" s="20" t="s">
        <v>20</v>
      </c>
      <c r="C426" s="20">
        <v>60.0</v>
      </c>
      <c r="D426" s="21"/>
      <c r="E426" s="11">
        <f>IF(J426="","", C426 * IFERROR(VLOOKUP(J426, SETUP!$A:$D, 3, FALSE), 0))</f>
        <v>36</v>
      </c>
      <c r="F426" s="11">
        <f>IF(J426="","", C426 * IFERROR(VLOOKUP(J426, SETUP!$A:$D, 4, FALSE), 0))</f>
        <v>24</v>
      </c>
      <c r="G426" s="11">
        <f t="shared" si="1"/>
        <v>24</v>
      </c>
      <c r="H426" s="22"/>
      <c r="I426" s="11"/>
      <c r="J426" s="17" t="str">
        <f>IF(TRIM(B426)="","",IF(ISNUMBER(SEARCH(" - ",B426)),TRIM(RIGHT(B426,LEN(B426)-FIND(" - ",B426)-2)),IFERROR(VLOOKUP(UPPER(TRIM(B426)), SETUP!$B$4:$C$11, 2, FALSE), UPPER(TRIM(B426)))))</f>
        <v>AMY</v>
      </c>
      <c r="K426" s="23">
        <f t="shared" si="2"/>
        <v>46069</v>
      </c>
      <c r="L426" s="17">
        <f t="shared" si="3"/>
        <v>46071</v>
      </c>
      <c r="M426" s="17" t="str">
        <f t="shared" si="4"/>
        <v>2026-02</v>
      </c>
    </row>
    <row r="427" ht="15.75" customHeight="1">
      <c r="A427" s="19">
        <v>46071.0</v>
      </c>
      <c r="B427" s="20" t="s">
        <v>20</v>
      </c>
      <c r="C427" s="20">
        <v>52.0</v>
      </c>
      <c r="D427" s="21"/>
      <c r="E427" s="11">
        <f>IF(J427="","", C427 * IFERROR(VLOOKUP(J427, SETUP!$A:$D, 3, FALSE), 0))</f>
        <v>31.2</v>
      </c>
      <c r="F427" s="11">
        <f>IF(J427="","", C427 * IFERROR(VLOOKUP(J427, SETUP!$A:$D, 4, FALSE), 0))</f>
        <v>20.8</v>
      </c>
      <c r="G427" s="11">
        <f t="shared" si="1"/>
        <v>20.8</v>
      </c>
      <c r="H427" s="22"/>
      <c r="I427" s="11"/>
      <c r="J427" s="17" t="str">
        <f>IF(TRIM(B427)="","",IF(ISNUMBER(SEARCH(" - ",B427)),TRIM(RIGHT(B427,LEN(B427)-FIND(" - ",B427)-2)),IFERROR(VLOOKUP(UPPER(TRIM(B427)), SETUP!$B$4:$C$11, 2, FALSE), UPPER(TRIM(B427)))))</f>
        <v>AMY</v>
      </c>
      <c r="K427" s="23">
        <f t="shared" si="2"/>
        <v>46069</v>
      </c>
      <c r="L427" s="17">
        <f t="shared" si="3"/>
        <v>46071</v>
      </c>
      <c r="M427" s="17" t="str">
        <f t="shared" si="4"/>
        <v>2026-02</v>
      </c>
    </row>
    <row r="428" ht="15.75" customHeight="1">
      <c r="A428" s="19">
        <v>46071.0</v>
      </c>
      <c r="B428" s="20" t="s">
        <v>20</v>
      </c>
      <c r="C428" s="20">
        <v>85.0</v>
      </c>
      <c r="D428" s="21"/>
      <c r="E428" s="11">
        <f>IF(J428="","", C428 * IFERROR(VLOOKUP(J428, SETUP!$A:$D, 3, FALSE), 0))</f>
        <v>51</v>
      </c>
      <c r="F428" s="11">
        <f>IF(J428="","", C428 * IFERROR(VLOOKUP(J428, SETUP!$A:$D, 4, FALSE), 0))</f>
        <v>34</v>
      </c>
      <c r="G428" s="11">
        <f t="shared" si="1"/>
        <v>34</v>
      </c>
      <c r="H428" s="22"/>
      <c r="I428" s="11"/>
      <c r="J428" s="17" t="str">
        <f>IF(TRIM(B428)="","",IF(ISNUMBER(SEARCH(" - ",B428)),TRIM(RIGHT(B428,LEN(B428)-FIND(" - ",B428)-2)),IFERROR(VLOOKUP(UPPER(TRIM(B428)), SETUP!$B$4:$C$11, 2, FALSE), UPPER(TRIM(B428)))))</f>
        <v>AMY</v>
      </c>
      <c r="K428" s="23">
        <f t="shared" si="2"/>
        <v>46069</v>
      </c>
      <c r="L428" s="17">
        <f t="shared" si="3"/>
        <v>46071</v>
      </c>
      <c r="M428" s="17" t="str">
        <f t="shared" si="4"/>
        <v>2026-02</v>
      </c>
    </row>
    <row r="429" ht="15.75" customHeight="1">
      <c r="A429" s="19">
        <v>46071.0</v>
      </c>
      <c r="B429" s="20" t="s">
        <v>20</v>
      </c>
      <c r="C429" s="20">
        <v>62.0</v>
      </c>
      <c r="D429" s="21"/>
      <c r="E429" s="11">
        <f>IF(J429="","", C429 * IFERROR(VLOOKUP(J429, SETUP!$A:$D, 3, FALSE), 0))</f>
        <v>37.2</v>
      </c>
      <c r="F429" s="11">
        <f>IF(J429="","", C429 * IFERROR(VLOOKUP(J429, SETUP!$A:$D, 4, FALSE), 0))</f>
        <v>24.8</v>
      </c>
      <c r="G429" s="11">
        <f t="shared" si="1"/>
        <v>24.8</v>
      </c>
      <c r="H429" s="22"/>
      <c r="I429" s="11"/>
      <c r="J429" s="17" t="str">
        <f>IF(TRIM(B429)="","",IF(ISNUMBER(SEARCH(" - ",B429)),TRIM(RIGHT(B429,LEN(B429)-FIND(" - ",B429)-2)),IFERROR(VLOOKUP(UPPER(TRIM(B429)), SETUP!$B$4:$C$11, 2, FALSE), UPPER(TRIM(B429)))))</f>
        <v>AMY</v>
      </c>
      <c r="K429" s="23">
        <f t="shared" si="2"/>
        <v>46069</v>
      </c>
      <c r="L429" s="17">
        <f t="shared" si="3"/>
        <v>46071</v>
      </c>
      <c r="M429" s="17" t="str">
        <f t="shared" si="4"/>
        <v>2026-02</v>
      </c>
    </row>
    <row r="430" ht="15.75" customHeight="1">
      <c r="A430" s="19">
        <v>46071.0</v>
      </c>
      <c r="B430" s="20" t="s">
        <v>20</v>
      </c>
      <c r="C430" s="20">
        <v>70.0</v>
      </c>
      <c r="D430" s="21"/>
      <c r="E430" s="11">
        <f>IF(J430="","", C430 * IFERROR(VLOOKUP(J430, SETUP!$A:$D, 3, FALSE), 0))</f>
        <v>42</v>
      </c>
      <c r="F430" s="11">
        <f>IF(J430="","", C430 * IFERROR(VLOOKUP(J430, SETUP!$A:$D, 4, FALSE), 0))</f>
        <v>28</v>
      </c>
      <c r="G430" s="11">
        <f t="shared" si="1"/>
        <v>28</v>
      </c>
      <c r="H430" s="22"/>
      <c r="I430" s="11"/>
      <c r="J430" s="17" t="str">
        <f>IF(TRIM(B430)="","",IF(ISNUMBER(SEARCH(" - ",B430)),TRIM(RIGHT(B430,LEN(B430)-FIND(" - ",B430)-2)),IFERROR(VLOOKUP(UPPER(TRIM(B430)), SETUP!$B$4:$C$11, 2, FALSE), UPPER(TRIM(B430)))))</f>
        <v>AMY</v>
      </c>
      <c r="K430" s="23">
        <f t="shared" si="2"/>
        <v>46069</v>
      </c>
      <c r="L430" s="17">
        <f t="shared" si="3"/>
        <v>46071</v>
      </c>
      <c r="M430" s="17" t="str">
        <f t="shared" si="4"/>
        <v>2026-02</v>
      </c>
    </row>
    <row r="431" ht="15.75" customHeight="1">
      <c r="A431" s="19">
        <v>46071.0</v>
      </c>
      <c r="B431" s="20" t="s">
        <v>21</v>
      </c>
      <c r="C431" s="20">
        <v>57.0</v>
      </c>
      <c r="D431" s="21"/>
      <c r="E431" s="11">
        <f>IF(J431="","", C431 * IFERROR(VLOOKUP(J431, SETUP!$A:$D, 3, FALSE), 0))</f>
        <v>34.2</v>
      </c>
      <c r="F431" s="11">
        <f>IF(J431="","", C431 * IFERROR(VLOOKUP(J431, SETUP!$A:$D, 4, FALSE), 0))</f>
        <v>22.8</v>
      </c>
      <c r="G431" s="11">
        <f t="shared" si="1"/>
        <v>22.8</v>
      </c>
      <c r="H431" s="22"/>
      <c r="I431" s="11"/>
      <c r="J431" s="17" t="str">
        <f>IF(TRIM(B431)="","",IF(ISNUMBER(SEARCH(" - ",B431)),TRIM(RIGHT(B431,LEN(B431)-FIND(" - ",B431)-2)),IFERROR(VLOOKUP(UPPER(TRIM(B431)), SETUP!$B$4:$C$11, 2, FALSE), UPPER(TRIM(B431)))))</f>
        <v>TONY</v>
      </c>
      <c r="K431" s="23">
        <f t="shared" si="2"/>
        <v>46069</v>
      </c>
      <c r="L431" s="17">
        <f t="shared" si="3"/>
        <v>46071</v>
      </c>
      <c r="M431" s="17" t="str">
        <f t="shared" si="4"/>
        <v>2026-02</v>
      </c>
    </row>
    <row r="432" ht="15.75" customHeight="1">
      <c r="A432" s="19">
        <v>46071.0</v>
      </c>
      <c r="B432" s="20" t="s">
        <v>21</v>
      </c>
      <c r="C432" s="20">
        <v>77.0</v>
      </c>
      <c r="D432" s="21"/>
      <c r="E432" s="11">
        <f>IF(J432="","", C432 * IFERROR(VLOOKUP(J432, SETUP!$A:$D, 3, FALSE), 0))</f>
        <v>46.2</v>
      </c>
      <c r="F432" s="11">
        <f>IF(J432="","", C432 * IFERROR(VLOOKUP(J432, SETUP!$A:$D, 4, FALSE), 0))</f>
        <v>30.8</v>
      </c>
      <c r="G432" s="11">
        <f t="shared" si="1"/>
        <v>30.8</v>
      </c>
      <c r="H432" s="22"/>
      <c r="I432" s="11"/>
      <c r="J432" s="17" t="str">
        <f>IF(TRIM(B432)="","",IF(ISNUMBER(SEARCH(" - ",B432)),TRIM(RIGHT(B432,LEN(B432)-FIND(" - ",B432)-2)),IFERROR(VLOOKUP(UPPER(TRIM(B432)), SETUP!$B$4:$C$11, 2, FALSE), UPPER(TRIM(B432)))))</f>
        <v>TONY</v>
      </c>
      <c r="K432" s="23">
        <f t="shared" si="2"/>
        <v>46069</v>
      </c>
      <c r="L432" s="17">
        <f t="shared" si="3"/>
        <v>46071</v>
      </c>
      <c r="M432" s="17" t="str">
        <f t="shared" si="4"/>
        <v>2026-02</v>
      </c>
    </row>
    <row r="433" ht="15.75" customHeight="1">
      <c r="A433" s="19">
        <v>46071.0</v>
      </c>
      <c r="B433" s="20" t="s">
        <v>21</v>
      </c>
      <c r="C433" s="20">
        <v>47.0</v>
      </c>
      <c r="D433" s="21"/>
      <c r="E433" s="11">
        <f>IF(J433="","", C433 * IFERROR(VLOOKUP(J433, SETUP!$A:$D, 3, FALSE), 0))</f>
        <v>28.2</v>
      </c>
      <c r="F433" s="11">
        <f>IF(J433="","", C433 * IFERROR(VLOOKUP(J433, SETUP!$A:$D, 4, FALSE), 0))</f>
        <v>18.8</v>
      </c>
      <c r="G433" s="11">
        <f t="shared" si="1"/>
        <v>18.8</v>
      </c>
      <c r="H433" s="22"/>
      <c r="I433" s="11"/>
      <c r="J433" s="17" t="str">
        <f>IF(TRIM(B433)="","",IF(ISNUMBER(SEARCH(" - ",B433)),TRIM(RIGHT(B433,LEN(B433)-FIND(" - ",B433)-2)),IFERROR(VLOOKUP(UPPER(TRIM(B433)), SETUP!$B$4:$C$11, 2, FALSE), UPPER(TRIM(B433)))))</f>
        <v>TONY</v>
      </c>
      <c r="K433" s="23">
        <f t="shared" si="2"/>
        <v>46069</v>
      </c>
      <c r="L433" s="17">
        <f t="shared" si="3"/>
        <v>46071</v>
      </c>
      <c r="M433" s="17" t="str">
        <f t="shared" si="4"/>
        <v>2026-02</v>
      </c>
    </row>
    <row r="434" ht="15.75" customHeight="1">
      <c r="A434" s="19">
        <v>46071.0</v>
      </c>
      <c r="B434" s="20" t="s">
        <v>21</v>
      </c>
      <c r="C434" s="20">
        <v>47.0</v>
      </c>
      <c r="D434" s="21"/>
      <c r="E434" s="11">
        <f>IF(J434="","", C434 * IFERROR(VLOOKUP(J434, SETUP!$A:$D, 3, FALSE), 0))</f>
        <v>28.2</v>
      </c>
      <c r="F434" s="11">
        <f>IF(J434="","", C434 * IFERROR(VLOOKUP(J434, SETUP!$A:$D, 4, FALSE), 0))</f>
        <v>18.8</v>
      </c>
      <c r="G434" s="11">
        <f t="shared" si="1"/>
        <v>18.8</v>
      </c>
      <c r="H434" s="22"/>
      <c r="I434" s="11"/>
      <c r="J434" s="17" t="str">
        <f>IF(TRIM(B434)="","",IF(ISNUMBER(SEARCH(" - ",B434)),TRIM(RIGHT(B434,LEN(B434)-FIND(" - ",B434)-2)),IFERROR(VLOOKUP(UPPER(TRIM(B434)), SETUP!$B$4:$C$11, 2, FALSE), UPPER(TRIM(B434)))))</f>
        <v>TONY</v>
      </c>
      <c r="K434" s="23">
        <f t="shared" si="2"/>
        <v>46069</v>
      </c>
      <c r="L434" s="17">
        <f t="shared" si="3"/>
        <v>46071</v>
      </c>
      <c r="M434" s="17" t="str">
        <f t="shared" si="4"/>
        <v>2026-02</v>
      </c>
    </row>
    <row r="435" ht="15.75" customHeight="1">
      <c r="A435" s="19">
        <v>46071.0</v>
      </c>
      <c r="B435" s="20" t="s">
        <v>21</v>
      </c>
      <c r="C435" s="20">
        <v>62.0</v>
      </c>
      <c r="D435" s="21"/>
      <c r="E435" s="11">
        <f>IF(J435="","", C435 * IFERROR(VLOOKUP(J435, SETUP!$A:$D, 3, FALSE), 0))</f>
        <v>37.2</v>
      </c>
      <c r="F435" s="11">
        <f>IF(J435="","", C435 * IFERROR(VLOOKUP(J435, SETUP!$A:$D, 4, FALSE), 0))</f>
        <v>24.8</v>
      </c>
      <c r="G435" s="11">
        <f t="shared" si="1"/>
        <v>24.8</v>
      </c>
      <c r="H435" s="22"/>
      <c r="I435" s="11"/>
      <c r="J435" s="17" t="str">
        <f>IF(TRIM(B435)="","",IF(ISNUMBER(SEARCH(" - ",B435)),TRIM(RIGHT(B435,LEN(B435)-FIND(" - ",B435)-2)),IFERROR(VLOOKUP(UPPER(TRIM(B435)), SETUP!$B$4:$C$11, 2, FALSE), UPPER(TRIM(B435)))))</f>
        <v>TONY</v>
      </c>
      <c r="K435" s="23">
        <f t="shared" si="2"/>
        <v>46069</v>
      </c>
      <c r="L435" s="17">
        <f t="shared" si="3"/>
        <v>46071</v>
      </c>
      <c r="M435" s="17" t="str">
        <f t="shared" si="4"/>
        <v>2026-02</v>
      </c>
    </row>
    <row r="436" ht="15.75" customHeight="1">
      <c r="A436" s="19">
        <v>46071.0</v>
      </c>
      <c r="B436" s="20" t="s">
        <v>21</v>
      </c>
      <c r="C436" s="20">
        <v>47.0</v>
      </c>
      <c r="D436" s="21"/>
      <c r="E436" s="11">
        <f>IF(J436="","", C436 * IFERROR(VLOOKUP(J436, SETUP!$A:$D, 3, FALSE), 0))</f>
        <v>28.2</v>
      </c>
      <c r="F436" s="11">
        <f>IF(J436="","", C436 * IFERROR(VLOOKUP(J436, SETUP!$A:$D, 4, FALSE), 0))</f>
        <v>18.8</v>
      </c>
      <c r="G436" s="11">
        <f t="shared" si="1"/>
        <v>18.8</v>
      </c>
      <c r="H436" s="22"/>
      <c r="I436" s="11"/>
      <c r="J436" s="17" t="str">
        <f>IF(TRIM(B436)="","",IF(ISNUMBER(SEARCH(" - ",B436)),TRIM(RIGHT(B436,LEN(B436)-FIND(" - ",B436)-2)),IFERROR(VLOOKUP(UPPER(TRIM(B436)), SETUP!$B$4:$C$11, 2, FALSE), UPPER(TRIM(B436)))))</f>
        <v>TONY</v>
      </c>
      <c r="K436" s="23">
        <f t="shared" si="2"/>
        <v>46069</v>
      </c>
      <c r="L436" s="17">
        <f t="shared" si="3"/>
        <v>46071</v>
      </c>
      <c r="M436" s="17" t="str">
        <f t="shared" si="4"/>
        <v>2026-02</v>
      </c>
    </row>
    <row r="437" ht="15.75" customHeight="1">
      <c r="A437" s="19">
        <v>46071.0</v>
      </c>
      <c r="B437" s="20" t="s">
        <v>21</v>
      </c>
      <c r="C437" s="20">
        <v>40.0</v>
      </c>
      <c r="D437" s="21"/>
      <c r="E437" s="11">
        <f>IF(J437="","", C437 * IFERROR(VLOOKUP(J437, SETUP!$A:$D, 3, FALSE), 0))</f>
        <v>24</v>
      </c>
      <c r="F437" s="11">
        <f>IF(J437="","", C437 * IFERROR(VLOOKUP(J437, SETUP!$A:$D, 4, FALSE), 0))</f>
        <v>16</v>
      </c>
      <c r="G437" s="11">
        <f t="shared" si="1"/>
        <v>16</v>
      </c>
      <c r="H437" s="22"/>
      <c r="I437" s="11"/>
      <c r="J437" s="17" t="str">
        <f>IF(TRIM(B437)="","",IF(ISNUMBER(SEARCH(" - ",B437)),TRIM(RIGHT(B437,LEN(B437)-FIND(" - ",B437)-2)),IFERROR(VLOOKUP(UPPER(TRIM(B437)), SETUP!$B$4:$C$11, 2, FALSE), UPPER(TRIM(B437)))))</f>
        <v>TONY</v>
      </c>
      <c r="K437" s="23">
        <f t="shared" si="2"/>
        <v>46069</v>
      </c>
      <c r="L437" s="17">
        <f t="shared" si="3"/>
        <v>46071</v>
      </c>
      <c r="M437" s="17" t="str">
        <f t="shared" si="4"/>
        <v>2026-02</v>
      </c>
    </row>
    <row r="438" ht="15.75" customHeight="1">
      <c r="A438" s="19">
        <v>46072.0</v>
      </c>
      <c r="B438" s="20" t="s">
        <v>17</v>
      </c>
      <c r="C438" s="20">
        <v>75.0</v>
      </c>
      <c r="D438" s="21"/>
      <c r="E438" s="11">
        <f>IF(J438="","", C438 * IFERROR(VLOOKUP(J438, SETUP!$A:$D, 3, FALSE), 0))</f>
        <v>45</v>
      </c>
      <c r="F438" s="11">
        <f>IF(J438="","", C438 * IFERROR(VLOOKUP(J438, SETUP!$A:$D, 4, FALSE), 0))</f>
        <v>30</v>
      </c>
      <c r="G438" s="11">
        <f t="shared" si="1"/>
        <v>30</v>
      </c>
      <c r="H438" s="22"/>
      <c r="I438" s="11"/>
      <c r="J438" s="17" t="str">
        <f>IF(TRIM(B438)="","",IF(ISNUMBER(SEARCH(" - ",B438)),TRIM(RIGHT(B438,LEN(B438)-FIND(" - ",B438)-2)),IFERROR(VLOOKUP(UPPER(TRIM(B438)), SETUP!$B$4:$C$11, 2, FALSE), UPPER(TRIM(B438)))))</f>
        <v>RYAN</v>
      </c>
      <c r="K438" s="23">
        <f t="shared" si="2"/>
        <v>46069</v>
      </c>
      <c r="L438" s="17">
        <f t="shared" si="3"/>
        <v>46072</v>
      </c>
      <c r="M438" s="17" t="str">
        <f t="shared" si="4"/>
        <v>2026-02</v>
      </c>
    </row>
    <row r="439" ht="15.75" customHeight="1">
      <c r="A439" s="19">
        <v>46072.0</v>
      </c>
      <c r="B439" s="20" t="s">
        <v>17</v>
      </c>
      <c r="C439" s="20">
        <v>52.0</v>
      </c>
      <c r="D439" s="21"/>
      <c r="E439" s="11">
        <f>IF(J439="","", C439 * IFERROR(VLOOKUP(J439, SETUP!$A:$D, 3, FALSE), 0))</f>
        <v>31.2</v>
      </c>
      <c r="F439" s="11">
        <f>IF(J439="","", C439 * IFERROR(VLOOKUP(J439, SETUP!$A:$D, 4, FALSE), 0))</f>
        <v>20.8</v>
      </c>
      <c r="G439" s="11">
        <f t="shared" si="1"/>
        <v>20.8</v>
      </c>
      <c r="H439" s="22"/>
      <c r="I439" s="11"/>
      <c r="J439" s="17" t="str">
        <f>IF(TRIM(B439)="","",IF(ISNUMBER(SEARCH(" - ",B439)),TRIM(RIGHT(B439,LEN(B439)-FIND(" - ",B439)-2)),IFERROR(VLOOKUP(UPPER(TRIM(B439)), SETUP!$B$4:$C$11, 2, FALSE), UPPER(TRIM(B439)))))</f>
        <v>RYAN</v>
      </c>
      <c r="K439" s="23">
        <f t="shared" si="2"/>
        <v>46069</v>
      </c>
      <c r="L439" s="17">
        <f t="shared" si="3"/>
        <v>46072</v>
      </c>
      <c r="M439" s="17" t="str">
        <f t="shared" si="4"/>
        <v>2026-02</v>
      </c>
    </row>
    <row r="440" ht="15.75" customHeight="1">
      <c r="A440" s="19">
        <v>46072.0</v>
      </c>
      <c r="B440" s="20" t="s">
        <v>17</v>
      </c>
      <c r="C440" s="20">
        <v>50.0</v>
      </c>
      <c r="D440" s="21"/>
      <c r="E440" s="11">
        <f>IF(J440="","", C440 * IFERROR(VLOOKUP(J440, SETUP!$A:$D, 3, FALSE), 0))</f>
        <v>30</v>
      </c>
      <c r="F440" s="11">
        <f>IF(J440="","", C440 * IFERROR(VLOOKUP(J440, SETUP!$A:$D, 4, FALSE), 0))</f>
        <v>20</v>
      </c>
      <c r="G440" s="11">
        <f t="shared" si="1"/>
        <v>20</v>
      </c>
      <c r="H440" s="22"/>
      <c r="I440" s="11"/>
      <c r="J440" s="17" t="str">
        <f>IF(TRIM(B440)="","",IF(ISNUMBER(SEARCH(" - ",B440)),TRIM(RIGHT(B440,LEN(B440)-FIND(" - ",B440)-2)),IFERROR(VLOOKUP(UPPER(TRIM(B440)), SETUP!$B$4:$C$11, 2, FALSE), UPPER(TRIM(B440)))))</f>
        <v>RYAN</v>
      </c>
      <c r="K440" s="23">
        <f t="shared" si="2"/>
        <v>46069</v>
      </c>
      <c r="L440" s="17">
        <f t="shared" si="3"/>
        <v>46072</v>
      </c>
      <c r="M440" s="17" t="str">
        <f t="shared" si="4"/>
        <v>2026-02</v>
      </c>
    </row>
    <row r="441" ht="15.75" customHeight="1">
      <c r="A441" s="19">
        <v>46072.0</v>
      </c>
      <c r="B441" s="20" t="s">
        <v>17</v>
      </c>
      <c r="C441" s="20">
        <v>50.0</v>
      </c>
      <c r="D441" s="21"/>
      <c r="E441" s="11">
        <f>IF(J441="","", C441 * IFERROR(VLOOKUP(J441, SETUP!$A:$D, 3, FALSE), 0))</f>
        <v>30</v>
      </c>
      <c r="F441" s="11">
        <f>IF(J441="","", C441 * IFERROR(VLOOKUP(J441, SETUP!$A:$D, 4, FALSE), 0))</f>
        <v>20</v>
      </c>
      <c r="G441" s="11">
        <f t="shared" si="1"/>
        <v>20</v>
      </c>
      <c r="H441" s="22"/>
      <c r="I441" s="11"/>
      <c r="J441" s="17" t="str">
        <f>IF(TRIM(B441)="","",IF(ISNUMBER(SEARCH(" - ",B441)),TRIM(RIGHT(B441,LEN(B441)-FIND(" - ",B441)-2)),IFERROR(VLOOKUP(UPPER(TRIM(B441)), SETUP!$B$4:$C$11, 2, FALSE), UPPER(TRIM(B441)))))</f>
        <v>RYAN</v>
      </c>
      <c r="K441" s="23">
        <f t="shared" si="2"/>
        <v>46069</v>
      </c>
      <c r="L441" s="17">
        <f t="shared" si="3"/>
        <v>46072</v>
      </c>
      <c r="M441" s="17" t="str">
        <f t="shared" si="4"/>
        <v>2026-02</v>
      </c>
    </row>
    <row r="442" ht="15.75" customHeight="1">
      <c r="A442" s="19">
        <v>46072.0</v>
      </c>
      <c r="B442" s="20" t="s">
        <v>17</v>
      </c>
      <c r="C442" s="20">
        <v>112.0</v>
      </c>
      <c r="D442" s="21"/>
      <c r="E442" s="11">
        <f>IF(J442="","", C442 * IFERROR(VLOOKUP(J442, SETUP!$A:$D, 3, FALSE), 0))</f>
        <v>67.2</v>
      </c>
      <c r="F442" s="11">
        <f>IF(J442="","", C442 * IFERROR(VLOOKUP(J442, SETUP!$A:$D, 4, FALSE), 0))</f>
        <v>44.8</v>
      </c>
      <c r="G442" s="11">
        <f t="shared" si="1"/>
        <v>44.8</v>
      </c>
      <c r="H442" s="22"/>
      <c r="I442" s="11"/>
      <c r="J442" s="17" t="str">
        <f>IF(TRIM(B442)="","",IF(ISNUMBER(SEARCH(" - ",B442)),TRIM(RIGHT(B442,LEN(B442)-FIND(" - ",B442)-2)),IFERROR(VLOOKUP(UPPER(TRIM(B442)), SETUP!$B$4:$C$11, 2, FALSE), UPPER(TRIM(B442)))))</f>
        <v>RYAN</v>
      </c>
      <c r="K442" s="23">
        <f t="shared" si="2"/>
        <v>46069</v>
      </c>
      <c r="L442" s="17">
        <f t="shared" si="3"/>
        <v>46072</v>
      </c>
      <c r="M442" s="17" t="str">
        <f t="shared" si="4"/>
        <v>2026-02</v>
      </c>
    </row>
    <row r="443" ht="15.75" customHeight="1">
      <c r="A443" s="19">
        <v>46072.0</v>
      </c>
      <c r="B443" s="20" t="s">
        <v>17</v>
      </c>
      <c r="C443" s="20">
        <v>67.0</v>
      </c>
      <c r="D443" s="21"/>
      <c r="E443" s="11">
        <f>IF(J443="","", C443 * IFERROR(VLOOKUP(J443, SETUP!$A:$D, 3, FALSE), 0))</f>
        <v>40.2</v>
      </c>
      <c r="F443" s="11">
        <f>IF(J443="","", C443 * IFERROR(VLOOKUP(J443, SETUP!$A:$D, 4, FALSE), 0))</f>
        <v>26.8</v>
      </c>
      <c r="G443" s="11">
        <f t="shared" si="1"/>
        <v>26.8</v>
      </c>
      <c r="H443" s="22"/>
      <c r="I443" s="11"/>
      <c r="J443" s="17" t="str">
        <f>IF(TRIM(B443)="","",IF(ISNUMBER(SEARCH(" - ",B443)),TRIM(RIGHT(B443,LEN(B443)-FIND(" - ",B443)-2)),IFERROR(VLOOKUP(UPPER(TRIM(B443)), SETUP!$B$4:$C$11, 2, FALSE), UPPER(TRIM(B443)))))</f>
        <v>RYAN</v>
      </c>
      <c r="K443" s="23">
        <f t="shared" si="2"/>
        <v>46069</v>
      </c>
      <c r="L443" s="17">
        <f t="shared" si="3"/>
        <v>46072</v>
      </c>
      <c r="M443" s="17" t="str">
        <f t="shared" si="4"/>
        <v>2026-02</v>
      </c>
    </row>
    <row r="444" ht="15.75" customHeight="1">
      <c r="A444" s="19">
        <v>46072.0</v>
      </c>
      <c r="B444" s="20" t="s">
        <v>18</v>
      </c>
      <c r="C444" s="20">
        <v>50.0</v>
      </c>
      <c r="D444" s="21"/>
      <c r="E444" s="11">
        <f>IF(J444="","", C444 * IFERROR(VLOOKUP(J444, SETUP!$A:$D, 3, FALSE), 0))</f>
        <v>25</v>
      </c>
      <c r="F444" s="11">
        <f>IF(J444="","", C444 * IFERROR(VLOOKUP(J444, SETUP!$A:$D, 4, FALSE), 0))</f>
        <v>25</v>
      </c>
      <c r="G444" s="11">
        <f t="shared" si="1"/>
        <v>25</v>
      </c>
      <c r="H444" s="22"/>
      <c r="I444" s="11"/>
      <c r="J444" s="17" t="str">
        <f>IF(TRIM(B444)="","",IF(ISNUMBER(SEARCH(" - ",B444)),TRIM(RIGHT(B444,LEN(B444)-FIND(" - ",B444)-2)),IFERROR(VLOOKUP(UPPER(TRIM(B444)), SETUP!$B$4:$C$11, 2, FALSE), UPPER(TRIM(B444)))))</f>
        <v>CRIS</v>
      </c>
      <c r="K444" s="23">
        <f t="shared" si="2"/>
        <v>46069</v>
      </c>
      <c r="L444" s="17">
        <f t="shared" si="3"/>
        <v>46072</v>
      </c>
      <c r="M444" s="17" t="str">
        <f t="shared" si="4"/>
        <v>2026-02</v>
      </c>
    </row>
    <row r="445" ht="15.75" customHeight="1">
      <c r="A445" s="19">
        <v>46072.0</v>
      </c>
      <c r="B445" s="20" t="s">
        <v>18</v>
      </c>
      <c r="C445" s="20">
        <v>35.0</v>
      </c>
      <c r="D445" s="21"/>
      <c r="E445" s="11">
        <f>IF(J445="","", C445 * IFERROR(VLOOKUP(J445, SETUP!$A:$D, 3, FALSE), 0))</f>
        <v>17.5</v>
      </c>
      <c r="F445" s="11">
        <f>IF(J445="","", C445 * IFERROR(VLOOKUP(J445, SETUP!$A:$D, 4, FALSE), 0))</f>
        <v>17.5</v>
      </c>
      <c r="G445" s="11">
        <f t="shared" si="1"/>
        <v>17.5</v>
      </c>
      <c r="H445" s="22"/>
      <c r="I445" s="11"/>
      <c r="J445" s="17" t="str">
        <f>IF(TRIM(B445)="","",IF(ISNUMBER(SEARCH(" - ",B445)),TRIM(RIGHT(B445,LEN(B445)-FIND(" - ",B445)-2)),IFERROR(VLOOKUP(UPPER(TRIM(B445)), SETUP!$B$4:$C$11, 2, FALSE), UPPER(TRIM(B445)))))</f>
        <v>CRIS</v>
      </c>
      <c r="K445" s="23">
        <f t="shared" si="2"/>
        <v>46069</v>
      </c>
      <c r="L445" s="17">
        <f t="shared" si="3"/>
        <v>46072</v>
      </c>
      <c r="M445" s="17" t="str">
        <f t="shared" si="4"/>
        <v>2026-02</v>
      </c>
    </row>
    <row r="446" ht="15.75" customHeight="1">
      <c r="A446" s="19">
        <v>46072.0</v>
      </c>
      <c r="B446" s="20" t="s">
        <v>18</v>
      </c>
      <c r="C446" s="20">
        <v>65.0</v>
      </c>
      <c r="D446" s="21"/>
      <c r="E446" s="11">
        <f>IF(J446="","", C446 * IFERROR(VLOOKUP(J446, SETUP!$A:$D, 3, FALSE), 0))</f>
        <v>32.5</v>
      </c>
      <c r="F446" s="11">
        <f>IF(J446="","", C446 * IFERROR(VLOOKUP(J446, SETUP!$A:$D, 4, FALSE), 0))</f>
        <v>32.5</v>
      </c>
      <c r="G446" s="11">
        <f t="shared" si="1"/>
        <v>32.5</v>
      </c>
      <c r="H446" s="22"/>
      <c r="I446" s="11"/>
      <c r="J446" s="17" t="str">
        <f>IF(TRIM(B446)="","",IF(ISNUMBER(SEARCH(" - ",B446)),TRIM(RIGHT(B446,LEN(B446)-FIND(" - ",B446)-2)),IFERROR(VLOOKUP(UPPER(TRIM(B446)), SETUP!$B$4:$C$11, 2, FALSE), UPPER(TRIM(B446)))))</f>
        <v>CRIS</v>
      </c>
      <c r="K446" s="23">
        <f t="shared" si="2"/>
        <v>46069</v>
      </c>
      <c r="L446" s="17">
        <f t="shared" si="3"/>
        <v>46072</v>
      </c>
      <c r="M446" s="17" t="str">
        <f t="shared" si="4"/>
        <v>2026-02</v>
      </c>
    </row>
    <row r="447" ht="15.75" customHeight="1">
      <c r="A447" s="19">
        <v>46072.0</v>
      </c>
      <c r="B447" s="20" t="s">
        <v>18</v>
      </c>
      <c r="C447" s="20">
        <v>50.0</v>
      </c>
      <c r="D447" s="21"/>
      <c r="E447" s="11">
        <f>IF(J447="","", C447 * IFERROR(VLOOKUP(J447, SETUP!$A:$D, 3, FALSE), 0))</f>
        <v>25</v>
      </c>
      <c r="F447" s="11">
        <f>IF(J447="","", C447 * IFERROR(VLOOKUP(J447, SETUP!$A:$D, 4, FALSE), 0))</f>
        <v>25</v>
      </c>
      <c r="G447" s="11">
        <f t="shared" si="1"/>
        <v>25</v>
      </c>
      <c r="H447" s="22"/>
      <c r="I447" s="11"/>
      <c r="J447" s="17" t="str">
        <f>IF(TRIM(B447)="","",IF(ISNUMBER(SEARCH(" - ",B447)),TRIM(RIGHT(B447,LEN(B447)-FIND(" - ",B447)-2)),IFERROR(VLOOKUP(UPPER(TRIM(B447)), SETUP!$B$4:$C$11, 2, FALSE), UPPER(TRIM(B447)))))</f>
        <v>CRIS</v>
      </c>
      <c r="K447" s="23">
        <f t="shared" si="2"/>
        <v>46069</v>
      </c>
      <c r="L447" s="17">
        <f t="shared" si="3"/>
        <v>46072</v>
      </c>
      <c r="M447" s="17" t="str">
        <f t="shared" si="4"/>
        <v>2026-02</v>
      </c>
    </row>
    <row r="448" ht="15.75" customHeight="1">
      <c r="A448" s="19">
        <v>46072.0</v>
      </c>
      <c r="B448" s="20" t="s">
        <v>18</v>
      </c>
      <c r="C448" s="20">
        <v>65.0</v>
      </c>
      <c r="D448" s="21"/>
      <c r="E448" s="11">
        <f>IF(J448="","", C448 * IFERROR(VLOOKUP(J448, SETUP!$A:$D, 3, FALSE), 0))</f>
        <v>32.5</v>
      </c>
      <c r="F448" s="11">
        <f>IF(J448="","", C448 * IFERROR(VLOOKUP(J448, SETUP!$A:$D, 4, FALSE), 0))</f>
        <v>32.5</v>
      </c>
      <c r="G448" s="11">
        <f t="shared" si="1"/>
        <v>32.5</v>
      </c>
      <c r="H448" s="22"/>
      <c r="I448" s="11"/>
      <c r="J448" s="17" t="str">
        <f>IF(TRIM(B448)="","",IF(ISNUMBER(SEARCH(" - ",B448)),TRIM(RIGHT(B448,LEN(B448)-FIND(" - ",B448)-2)),IFERROR(VLOOKUP(UPPER(TRIM(B448)), SETUP!$B$4:$C$11, 2, FALSE), UPPER(TRIM(B448)))))</f>
        <v>CRIS</v>
      </c>
      <c r="K448" s="23">
        <f t="shared" si="2"/>
        <v>46069</v>
      </c>
      <c r="L448" s="17">
        <f t="shared" si="3"/>
        <v>46072</v>
      </c>
      <c r="M448" s="17" t="str">
        <f t="shared" si="4"/>
        <v>2026-02</v>
      </c>
    </row>
    <row r="449" ht="15.75" customHeight="1">
      <c r="A449" s="19">
        <v>46072.0</v>
      </c>
      <c r="B449" s="20" t="s">
        <v>19</v>
      </c>
      <c r="C449" s="20">
        <v>67.0</v>
      </c>
      <c r="D449" s="21"/>
      <c r="E449" s="11">
        <f>IF(J449="","", C449 * IFERROR(VLOOKUP(J449, SETUP!$A:$D, 3, FALSE), 0))</f>
        <v>0</v>
      </c>
      <c r="F449" s="11">
        <f>IF(J449="","", C449 * IFERROR(VLOOKUP(J449, SETUP!$A:$D, 4, FALSE), 0))</f>
        <v>67</v>
      </c>
      <c r="G449" s="11">
        <f t="shared" si="1"/>
        <v>67</v>
      </c>
      <c r="H449" s="22"/>
      <c r="I449" s="11"/>
      <c r="J449" s="17" t="str">
        <f>IF(TRIM(B449)="","",IF(ISNUMBER(SEARCH(" - ",B449)),TRIM(RIGHT(B449,LEN(B449)-FIND(" - ",B449)-2)),IFERROR(VLOOKUP(UPPER(TRIM(B449)), SETUP!$B$4:$C$11, 2, FALSE), UPPER(TRIM(B449)))))</f>
        <v>HANNI</v>
      </c>
      <c r="K449" s="23">
        <f t="shared" si="2"/>
        <v>46069</v>
      </c>
      <c r="L449" s="17">
        <f t="shared" si="3"/>
        <v>46072</v>
      </c>
      <c r="M449" s="17" t="str">
        <f t="shared" si="4"/>
        <v>2026-02</v>
      </c>
    </row>
    <row r="450" ht="15.75" customHeight="1">
      <c r="A450" s="19">
        <v>46072.0</v>
      </c>
      <c r="B450" s="20" t="s">
        <v>19</v>
      </c>
      <c r="C450" s="20">
        <v>57.0</v>
      </c>
      <c r="D450" s="21"/>
      <c r="E450" s="11">
        <f>IF(J450="","", C450 * IFERROR(VLOOKUP(J450, SETUP!$A:$D, 3, FALSE), 0))</f>
        <v>0</v>
      </c>
      <c r="F450" s="11">
        <f>IF(J450="","", C450 * IFERROR(VLOOKUP(J450, SETUP!$A:$D, 4, FALSE), 0))</f>
        <v>57</v>
      </c>
      <c r="G450" s="11">
        <f t="shared" si="1"/>
        <v>57</v>
      </c>
      <c r="H450" s="22"/>
      <c r="I450" s="11"/>
      <c r="J450" s="17" t="str">
        <f>IF(TRIM(B450)="","",IF(ISNUMBER(SEARCH(" - ",B450)),TRIM(RIGHT(B450,LEN(B450)-FIND(" - ",B450)-2)),IFERROR(VLOOKUP(UPPER(TRIM(B450)), SETUP!$B$4:$C$11, 2, FALSE), UPPER(TRIM(B450)))))</f>
        <v>HANNI</v>
      </c>
      <c r="K450" s="23">
        <f t="shared" si="2"/>
        <v>46069</v>
      </c>
      <c r="L450" s="17">
        <f t="shared" si="3"/>
        <v>46072</v>
      </c>
      <c r="M450" s="17" t="str">
        <f t="shared" si="4"/>
        <v>2026-02</v>
      </c>
    </row>
    <row r="451" ht="15.75" customHeight="1">
      <c r="A451" s="19">
        <v>46072.0</v>
      </c>
      <c r="B451" s="20" t="s">
        <v>19</v>
      </c>
      <c r="C451" s="20">
        <v>67.0</v>
      </c>
      <c r="D451" s="21"/>
      <c r="E451" s="11">
        <f>IF(J451="","", C451 * IFERROR(VLOOKUP(J451, SETUP!$A:$D, 3, FALSE), 0))</f>
        <v>0</v>
      </c>
      <c r="F451" s="11">
        <f>IF(J451="","", C451 * IFERROR(VLOOKUP(J451, SETUP!$A:$D, 4, FALSE), 0))</f>
        <v>67</v>
      </c>
      <c r="G451" s="11">
        <f t="shared" si="1"/>
        <v>67</v>
      </c>
      <c r="H451" s="22"/>
      <c r="I451" s="11"/>
      <c r="J451" s="17" t="str">
        <f>IF(TRIM(B451)="","",IF(ISNUMBER(SEARCH(" - ",B451)),TRIM(RIGHT(B451,LEN(B451)-FIND(" - ",B451)-2)),IFERROR(VLOOKUP(UPPER(TRIM(B451)), SETUP!$B$4:$C$11, 2, FALSE), UPPER(TRIM(B451)))))</f>
        <v>HANNI</v>
      </c>
      <c r="K451" s="23">
        <f t="shared" si="2"/>
        <v>46069</v>
      </c>
      <c r="L451" s="17">
        <f t="shared" si="3"/>
        <v>46072</v>
      </c>
      <c r="M451" s="17" t="str">
        <f t="shared" si="4"/>
        <v>2026-02</v>
      </c>
    </row>
    <row r="452" ht="15.75" customHeight="1">
      <c r="A452" s="19">
        <v>46072.0</v>
      </c>
      <c r="B452" s="20" t="s">
        <v>19</v>
      </c>
      <c r="C452" s="20">
        <v>57.0</v>
      </c>
      <c r="D452" s="21"/>
      <c r="E452" s="11">
        <f>IF(J452="","", C452 * IFERROR(VLOOKUP(J452, SETUP!$A:$D, 3, FALSE), 0))</f>
        <v>0</v>
      </c>
      <c r="F452" s="11">
        <f>IF(J452="","", C452 * IFERROR(VLOOKUP(J452, SETUP!$A:$D, 4, FALSE), 0))</f>
        <v>57</v>
      </c>
      <c r="G452" s="11">
        <f t="shared" si="1"/>
        <v>57</v>
      </c>
      <c r="H452" s="22"/>
      <c r="I452" s="11"/>
      <c r="J452" s="17" t="str">
        <f>IF(TRIM(B452)="","",IF(ISNUMBER(SEARCH(" - ",B452)),TRIM(RIGHT(B452,LEN(B452)-FIND(" - ",B452)-2)),IFERROR(VLOOKUP(UPPER(TRIM(B452)), SETUP!$B$4:$C$11, 2, FALSE), UPPER(TRIM(B452)))))</f>
        <v>HANNI</v>
      </c>
      <c r="K452" s="23">
        <f t="shared" si="2"/>
        <v>46069</v>
      </c>
      <c r="L452" s="17">
        <f t="shared" si="3"/>
        <v>46072</v>
      </c>
      <c r="M452" s="17" t="str">
        <f t="shared" si="4"/>
        <v>2026-02</v>
      </c>
    </row>
    <row r="453" ht="15.75" customHeight="1">
      <c r="A453" s="19">
        <v>46072.0</v>
      </c>
      <c r="B453" s="20" t="s">
        <v>20</v>
      </c>
      <c r="C453" s="20">
        <v>90.0</v>
      </c>
      <c r="D453" s="21"/>
      <c r="E453" s="11">
        <f>IF(J453="","", C453 * IFERROR(VLOOKUP(J453, SETUP!$A:$D, 3, FALSE), 0))</f>
        <v>54</v>
      </c>
      <c r="F453" s="11">
        <f>IF(J453="","", C453 * IFERROR(VLOOKUP(J453, SETUP!$A:$D, 4, FALSE), 0))</f>
        <v>36</v>
      </c>
      <c r="G453" s="11">
        <f t="shared" si="1"/>
        <v>36</v>
      </c>
      <c r="H453" s="22"/>
      <c r="I453" s="11"/>
      <c r="J453" s="17" t="str">
        <f>IF(TRIM(B453)="","",IF(ISNUMBER(SEARCH(" - ",B453)),TRIM(RIGHT(B453,LEN(B453)-FIND(" - ",B453)-2)),IFERROR(VLOOKUP(UPPER(TRIM(B453)), SETUP!$B$4:$C$11, 2, FALSE), UPPER(TRIM(B453)))))</f>
        <v>AMY</v>
      </c>
      <c r="K453" s="23">
        <f t="shared" si="2"/>
        <v>46069</v>
      </c>
      <c r="L453" s="17">
        <f t="shared" si="3"/>
        <v>46072</v>
      </c>
      <c r="M453" s="17" t="str">
        <f t="shared" si="4"/>
        <v>2026-02</v>
      </c>
    </row>
    <row r="454" ht="15.75" customHeight="1">
      <c r="A454" s="19">
        <v>46072.0</v>
      </c>
      <c r="B454" s="20" t="s">
        <v>20</v>
      </c>
      <c r="C454" s="20">
        <v>62.0</v>
      </c>
      <c r="D454" s="21"/>
      <c r="E454" s="11">
        <f>IF(J454="","", C454 * IFERROR(VLOOKUP(J454, SETUP!$A:$D, 3, FALSE), 0))</f>
        <v>37.2</v>
      </c>
      <c r="F454" s="11">
        <f>IF(J454="","", C454 * IFERROR(VLOOKUP(J454, SETUP!$A:$D, 4, FALSE), 0))</f>
        <v>24.8</v>
      </c>
      <c r="G454" s="11">
        <f t="shared" si="1"/>
        <v>24.8</v>
      </c>
      <c r="H454" s="22"/>
      <c r="I454" s="11"/>
      <c r="J454" s="17" t="str">
        <f>IF(TRIM(B454)="","",IF(ISNUMBER(SEARCH(" - ",B454)),TRIM(RIGHT(B454,LEN(B454)-FIND(" - ",B454)-2)),IFERROR(VLOOKUP(UPPER(TRIM(B454)), SETUP!$B$4:$C$11, 2, FALSE), UPPER(TRIM(B454)))))</f>
        <v>AMY</v>
      </c>
      <c r="K454" s="23">
        <f t="shared" si="2"/>
        <v>46069</v>
      </c>
      <c r="L454" s="17">
        <f t="shared" si="3"/>
        <v>46072</v>
      </c>
      <c r="M454" s="17" t="str">
        <f t="shared" si="4"/>
        <v>2026-02</v>
      </c>
    </row>
    <row r="455" ht="15.75" customHeight="1">
      <c r="A455" s="19">
        <v>46072.0</v>
      </c>
      <c r="B455" s="20" t="s">
        <v>20</v>
      </c>
      <c r="C455" s="20">
        <v>50.0</v>
      </c>
      <c r="D455" s="21"/>
      <c r="E455" s="11">
        <f>IF(J455="","", C455 * IFERROR(VLOOKUP(J455, SETUP!$A:$D, 3, FALSE), 0))</f>
        <v>30</v>
      </c>
      <c r="F455" s="11">
        <f>IF(J455="","", C455 * IFERROR(VLOOKUP(J455, SETUP!$A:$D, 4, FALSE), 0))</f>
        <v>20</v>
      </c>
      <c r="G455" s="11">
        <f t="shared" si="1"/>
        <v>20</v>
      </c>
      <c r="H455" s="22"/>
      <c r="I455" s="11"/>
      <c r="J455" s="17" t="str">
        <f>IF(TRIM(B455)="","",IF(ISNUMBER(SEARCH(" - ",B455)),TRIM(RIGHT(B455,LEN(B455)-FIND(" - ",B455)-2)),IFERROR(VLOOKUP(UPPER(TRIM(B455)), SETUP!$B$4:$C$11, 2, FALSE), UPPER(TRIM(B455)))))</f>
        <v>AMY</v>
      </c>
      <c r="K455" s="23">
        <f t="shared" si="2"/>
        <v>46069</v>
      </c>
      <c r="L455" s="17">
        <f t="shared" si="3"/>
        <v>46072</v>
      </c>
      <c r="M455" s="17" t="str">
        <f t="shared" si="4"/>
        <v>2026-02</v>
      </c>
    </row>
    <row r="456" ht="15.75" customHeight="1">
      <c r="A456" s="19">
        <v>46072.0</v>
      </c>
      <c r="B456" s="20" t="s">
        <v>20</v>
      </c>
      <c r="C456" s="20">
        <v>47.0</v>
      </c>
      <c r="D456" s="21"/>
      <c r="E456" s="11">
        <f>IF(J456="","", C456 * IFERROR(VLOOKUP(J456, SETUP!$A:$D, 3, FALSE), 0))</f>
        <v>28.2</v>
      </c>
      <c r="F456" s="11">
        <f>IF(J456="","", C456 * IFERROR(VLOOKUP(J456, SETUP!$A:$D, 4, FALSE), 0))</f>
        <v>18.8</v>
      </c>
      <c r="G456" s="11">
        <f t="shared" si="1"/>
        <v>18.8</v>
      </c>
      <c r="H456" s="22"/>
      <c r="I456" s="11"/>
      <c r="J456" s="17" t="str">
        <f>IF(TRIM(B456)="","",IF(ISNUMBER(SEARCH(" - ",B456)),TRIM(RIGHT(B456,LEN(B456)-FIND(" - ",B456)-2)),IFERROR(VLOOKUP(UPPER(TRIM(B456)), SETUP!$B$4:$C$11, 2, FALSE), UPPER(TRIM(B456)))))</f>
        <v>AMY</v>
      </c>
      <c r="K456" s="23">
        <f t="shared" si="2"/>
        <v>46069</v>
      </c>
      <c r="L456" s="17">
        <f t="shared" si="3"/>
        <v>46072</v>
      </c>
      <c r="M456" s="17" t="str">
        <f t="shared" si="4"/>
        <v>2026-02</v>
      </c>
    </row>
    <row r="457" ht="15.75" customHeight="1">
      <c r="A457" s="19">
        <v>46072.0</v>
      </c>
      <c r="B457" s="20" t="s">
        <v>20</v>
      </c>
      <c r="C457" s="20">
        <v>62.0</v>
      </c>
      <c r="D457" s="21"/>
      <c r="E457" s="11">
        <f>IF(J457="","", C457 * IFERROR(VLOOKUP(J457, SETUP!$A:$D, 3, FALSE), 0))</f>
        <v>37.2</v>
      </c>
      <c r="F457" s="11">
        <f>IF(J457="","", C457 * IFERROR(VLOOKUP(J457, SETUP!$A:$D, 4, FALSE), 0))</f>
        <v>24.8</v>
      </c>
      <c r="G457" s="11">
        <f t="shared" si="1"/>
        <v>24.8</v>
      </c>
      <c r="H457" s="22"/>
      <c r="I457" s="11"/>
      <c r="J457" s="17" t="str">
        <f>IF(TRIM(B457)="","",IF(ISNUMBER(SEARCH(" - ",B457)),TRIM(RIGHT(B457,LEN(B457)-FIND(" - ",B457)-2)),IFERROR(VLOOKUP(UPPER(TRIM(B457)), SETUP!$B$4:$C$11, 2, FALSE), UPPER(TRIM(B457)))))</f>
        <v>AMY</v>
      </c>
      <c r="K457" s="23">
        <f t="shared" si="2"/>
        <v>46069</v>
      </c>
      <c r="L457" s="17">
        <f t="shared" si="3"/>
        <v>46072</v>
      </c>
      <c r="M457" s="17" t="str">
        <f t="shared" si="4"/>
        <v>2026-02</v>
      </c>
    </row>
    <row r="458" ht="15.75" customHeight="1">
      <c r="A458" s="19">
        <v>46072.0</v>
      </c>
      <c r="B458" s="20" t="s">
        <v>20</v>
      </c>
      <c r="C458" s="20">
        <v>65.0</v>
      </c>
      <c r="D458" s="21"/>
      <c r="E458" s="11">
        <f>IF(J458="","", C458 * IFERROR(VLOOKUP(J458, SETUP!$A:$D, 3, FALSE), 0))</f>
        <v>39</v>
      </c>
      <c r="F458" s="11">
        <f>IF(J458="","", C458 * IFERROR(VLOOKUP(J458, SETUP!$A:$D, 4, FALSE), 0))</f>
        <v>26</v>
      </c>
      <c r="G458" s="11">
        <f t="shared" si="1"/>
        <v>26</v>
      </c>
      <c r="H458" s="22"/>
      <c r="I458" s="11"/>
      <c r="J458" s="17" t="str">
        <f>IF(TRIM(B458)="","",IF(ISNUMBER(SEARCH(" - ",B458)),TRIM(RIGHT(B458,LEN(B458)-FIND(" - ",B458)-2)),IFERROR(VLOOKUP(UPPER(TRIM(B458)), SETUP!$B$4:$C$11, 2, FALSE), UPPER(TRIM(B458)))))</f>
        <v>AMY</v>
      </c>
      <c r="K458" s="23">
        <f t="shared" si="2"/>
        <v>46069</v>
      </c>
      <c r="L458" s="17">
        <f t="shared" si="3"/>
        <v>46072</v>
      </c>
      <c r="M458" s="17" t="str">
        <f t="shared" si="4"/>
        <v>2026-02</v>
      </c>
    </row>
    <row r="459" ht="15.75" customHeight="1">
      <c r="A459" s="19">
        <v>46072.0</v>
      </c>
      <c r="B459" s="20" t="s">
        <v>21</v>
      </c>
      <c r="C459" s="20">
        <v>50.0</v>
      </c>
      <c r="D459" s="21"/>
      <c r="E459" s="11">
        <f>IF(J459="","", C459 * IFERROR(VLOOKUP(J459, SETUP!$A:$D, 3, FALSE), 0))</f>
        <v>30</v>
      </c>
      <c r="F459" s="11">
        <f>IF(J459="","", C459 * IFERROR(VLOOKUP(J459, SETUP!$A:$D, 4, FALSE), 0))</f>
        <v>20</v>
      </c>
      <c r="G459" s="11">
        <f t="shared" si="1"/>
        <v>20</v>
      </c>
      <c r="H459" s="22"/>
      <c r="I459" s="11"/>
      <c r="J459" s="17" t="str">
        <f>IF(TRIM(B459)="","",IF(ISNUMBER(SEARCH(" - ",B459)),TRIM(RIGHT(B459,LEN(B459)-FIND(" - ",B459)-2)),IFERROR(VLOOKUP(UPPER(TRIM(B459)), SETUP!$B$4:$C$11, 2, FALSE), UPPER(TRIM(B459)))))</f>
        <v>TONY</v>
      </c>
      <c r="K459" s="23">
        <f t="shared" si="2"/>
        <v>46069</v>
      </c>
      <c r="L459" s="17">
        <f t="shared" si="3"/>
        <v>46072</v>
      </c>
      <c r="M459" s="17" t="str">
        <f t="shared" si="4"/>
        <v>2026-02</v>
      </c>
    </row>
    <row r="460" ht="15.75" customHeight="1">
      <c r="A460" s="19">
        <v>46072.0</v>
      </c>
      <c r="B460" s="20" t="s">
        <v>21</v>
      </c>
      <c r="C460" s="20">
        <v>57.0</v>
      </c>
      <c r="D460" s="21"/>
      <c r="E460" s="11">
        <f>IF(J460="","", C460 * IFERROR(VLOOKUP(J460, SETUP!$A:$D, 3, FALSE), 0))</f>
        <v>34.2</v>
      </c>
      <c r="F460" s="11">
        <f>IF(J460="","", C460 * IFERROR(VLOOKUP(J460, SETUP!$A:$D, 4, FALSE), 0))</f>
        <v>22.8</v>
      </c>
      <c r="G460" s="11">
        <f t="shared" si="1"/>
        <v>22.8</v>
      </c>
      <c r="H460" s="22"/>
      <c r="I460" s="11"/>
      <c r="J460" s="17" t="str">
        <f>IF(TRIM(B460)="","",IF(ISNUMBER(SEARCH(" - ",B460)),TRIM(RIGHT(B460,LEN(B460)-FIND(" - ",B460)-2)),IFERROR(VLOOKUP(UPPER(TRIM(B460)), SETUP!$B$4:$C$11, 2, FALSE), UPPER(TRIM(B460)))))</f>
        <v>TONY</v>
      </c>
      <c r="K460" s="23">
        <f t="shared" si="2"/>
        <v>46069</v>
      </c>
      <c r="L460" s="17">
        <f t="shared" si="3"/>
        <v>46072</v>
      </c>
      <c r="M460" s="17" t="str">
        <f t="shared" si="4"/>
        <v>2026-02</v>
      </c>
    </row>
    <row r="461" ht="15.75" customHeight="1">
      <c r="A461" s="19">
        <v>46072.0</v>
      </c>
      <c r="B461" s="20" t="s">
        <v>21</v>
      </c>
      <c r="C461" s="20">
        <v>77.0</v>
      </c>
      <c r="D461" s="21"/>
      <c r="E461" s="11">
        <f>IF(J461="","", C461 * IFERROR(VLOOKUP(J461, SETUP!$A:$D, 3, FALSE), 0))</f>
        <v>46.2</v>
      </c>
      <c r="F461" s="11">
        <f>IF(J461="","", C461 * IFERROR(VLOOKUP(J461, SETUP!$A:$D, 4, FALSE), 0))</f>
        <v>30.8</v>
      </c>
      <c r="G461" s="11">
        <f t="shared" si="1"/>
        <v>30.8</v>
      </c>
      <c r="H461" s="22"/>
      <c r="I461" s="11"/>
      <c r="J461" s="17" t="str">
        <f>IF(TRIM(B461)="","",IF(ISNUMBER(SEARCH(" - ",B461)),TRIM(RIGHT(B461,LEN(B461)-FIND(" - ",B461)-2)),IFERROR(VLOOKUP(UPPER(TRIM(B461)), SETUP!$B$4:$C$11, 2, FALSE), UPPER(TRIM(B461)))))</f>
        <v>TONY</v>
      </c>
      <c r="K461" s="23">
        <f t="shared" si="2"/>
        <v>46069</v>
      </c>
      <c r="L461" s="17">
        <f t="shared" si="3"/>
        <v>46072</v>
      </c>
      <c r="M461" s="17" t="str">
        <f t="shared" si="4"/>
        <v>2026-02</v>
      </c>
    </row>
    <row r="462" ht="15.75" customHeight="1">
      <c r="A462" s="19">
        <v>46072.0</v>
      </c>
      <c r="B462" s="20" t="s">
        <v>21</v>
      </c>
      <c r="C462" s="20">
        <v>50.0</v>
      </c>
      <c r="D462" s="21"/>
      <c r="E462" s="11">
        <f>IF(J462="","", C462 * IFERROR(VLOOKUP(J462, SETUP!$A:$D, 3, FALSE), 0))</f>
        <v>30</v>
      </c>
      <c r="F462" s="11">
        <f>IF(J462="","", C462 * IFERROR(VLOOKUP(J462, SETUP!$A:$D, 4, FALSE), 0))</f>
        <v>20</v>
      </c>
      <c r="G462" s="11">
        <f t="shared" si="1"/>
        <v>20</v>
      </c>
      <c r="H462" s="22"/>
      <c r="I462" s="11"/>
      <c r="J462" s="17" t="str">
        <f>IF(TRIM(B462)="","",IF(ISNUMBER(SEARCH(" - ",B462)),TRIM(RIGHT(B462,LEN(B462)-FIND(" - ",B462)-2)),IFERROR(VLOOKUP(UPPER(TRIM(B462)), SETUP!$B$4:$C$11, 2, FALSE), UPPER(TRIM(B462)))))</f>
        <v>TONY</v>
      </c>
      <c r="K462" s="23">
        <f t="shared" si="2"/>
        <v>46069</v>
      </c>
      <c r="L462" s="17">
        <f t="shared" si="3"/>
        <v>46072</v>
      </c>
      <c r="M462" s="17" t="str">
        <f t="shared" si="4"/>
        <v>2026-02</v>
      </c>
    </row>
    <row r="463" ht="15.75" customHeight="1">
      <c r="A463" s="19">
        <v>46072.0</v>
      </c>
      <c r="B463" s="20" t="s">
        <v>21</v>
      </c>
      <c r="C463" s="20">
        <v>35.0</v>
      </c>
      <c r="D463" s="21"/>
      <c r="E463" s="11">
        <f>IF(J463="","", C463 * IFERROR(VLOOKUP(J463, SETUP!$A:$D, 3, FALSE), 0))</f>
        <v>21</v>
      </c>
      <c r="F463" s="11">
        <f>IF(J463="","", C463 * IFERROR(VLOOKUP(J463, SETUP!$A:$D, 4, FALSE), 0))</f>
        <v>14</v>
      </c>
      <c r="G463" s="11">
        <f t="shared" si="1"/>
        <v>14</v>
      </c>
      <c r="H463" s="22"/>
      <c r="I463" s="11"/>
      <c r="J463" s="17" t="str">
        <f>IF(TRIM(B463)="","",IF(ISNUMBER(SEARCH(" - ",B463)),TRIM(RIGHT(B463,LEN(B463)-FIND(" - ",B463)-2)),IFERROR(VLOOKUP(UPPER(TRIM(B463)), SETUP!$B$4:$C$11, 2, FALSE), UPPER(TRIM(B463)))))</f>
        <v>TONY</v>
      </c>
      <c r="K463" s="23">
        <f t="shared" si="2"/>
        <v>46069</v>
      </c>
      <c r="L463" s="17">
        <f t="shared" si="3"/>
        <v>46072</v>
      </c>
      <c r="M463" s="17" t="str">
        <f t="shared" si="4"/>
        <v>2026-02</v>
      </c>
    </row>
    <row r="464" ht="15.75" customHeight="1">
      <c r="A464" s="19">
        <v>46072.0</v>
      </c>
      <c r="B464" s="20" t="s">
        <v>21</v>
      </c>
      <c r="C464" s="20">
        <v>62.0</v>
      </c>
      <c r="D464" s="21"/>
      <c r="E464" s="11">
        <f>IF(J464="","", C464 * IFERROR(VLOOKUP(J464, SETUP!$A:$D, 3, FALSE), 0))</f>
        <v>37.2</v>
      </c>
      <c r="F464" s="11">
        <f>IF(J464="","", C464 * IFERROR(VLOOKUP(J464, SETUP!$A:$D, 4, FALSE), 0))</f>
        <v>24.8</v>
      </c>
      <c r="G464" s="11">
        <f t="shared" si="1"/>
        <v>24.8</v>
      </c>
      <c r="H464" s="22"/>
      <c r="I464" s="11"/>
      <c r="J464" s="17" t="str">
        <f>IF(TRIM(B464)="","",IF(ISNUMBER(SEARCH(" - ",B464)),TRIM(RIGHT(B464,LEN(B464)-FIND(" - ",B464)-2)),IFERROR(VLOOKUP(UPPER(TRIM(B464)), SETUP!$B$4:$C$11, 2, FALSE), UPPER(TRIM(B464)))))</f>
        <v>TONY</v>
      </c>
      <c r="K464" s="23">
        <f t="shared" si="2"/>
        <v>46069</v>
      </c>
      <c r="L464" s="17">
        <f t="shared" si="3"/>
        <v>46072</v>
      </c>
      <c r="M464" s="17" t="str">
        <f t="shared" si="4"/>
        <v>2026-02</v>
      </c>
    </row>
    <row r="465" ht="15.75" customHeight="1">
      <c r="A465" s="19">
        <v>46072.0</v>
      </c>
      <c r="B465" s="20" t="s">
        <v>21</v>
      </c>
      <c r="C465" s="20">
        <v>30.0</v>
      </c>
      <c r="D465" s="21"/>
      <c r="E465" s="11">
        <f>IF(J465="","", C465 * IFERROR(VLOOKUP(J465, SETUP!$A:$D, 3, FALSE), 0))</f>
        <v>18</v>
      </c>
      <c r="F465" s="11">
        <f>IF(J465="","", C465 * IFERROR(VLOOKUP(J465, SETUP!$A:$D, 4, FALSE), 0))</f>
        <v>12</v>
      </c>
      <c r="G465" s="11">
        <f t="shared" si="1"/>
        <v>12</v>
      </c>
      <c r="H465" s="22"/>
      <c r="I465" s="11"/>
      <c r="J465" s="17" t="str">
        <f>IF(TRIM(B465)="","",IF(ISNUMBER(SEARCH(" - ",B465)),TRIM(RIGHT(B465,LEN(B465)-FIND(" - ",B465)-2)),IFERROR(VLOOKUP(UPPER(TRIM(B465)), SETUP!$B$4:$C$11, 2, FALSE), UPPER(TRIM(B465)))))</f>
        <v>TONY</v>
      </c>
      <c r="K465" s="23">
        <f t="shared" si="2"/>
        <v>46069</v>
      </c>
      <c r="L465" s="17">
        <f t="shared" si="3"/>
        <v>46072</v>
      </c>
      <c r="M465" s="17" t="str">
        <f t="shared" si="4"/>
        <v>2026-02</v>
      </c>
    </row>
    <row r="466" ht="15.75" customHeight="1">
      <c r="A466" s="19">
        <v>46073.0</v>
      </c>
      <c r="B466" s="20" t="s">
        <v>16</v>
      </c>
      <c r="C466" s="20">
        <v>77.0</v>
      </c>
      <c r="D466" s="21"/>
      <c r="E466" s="11">
        <f>IF(J466="","", C466 * IFERROR(VLOOKUP(J466, SETUP!$A:$D, 3, FALSE), 0))</f>
        <v>0</v>
      </c>
      <c r="F466" s="11">
        <f>IF(J466="","", C466 * IFERROR(VLOOKUP(J466, SETUP!$A:$D, 4, FALSE), 0))</f>
        <v>77</v>
      </c>
      <c r="G466" s="11">
        <f t="shared" si="1"/>
        <v>77</v>
      </c>
      <c r="H466" s="22"/>
      <c r="I466" s="11"/>
      <c r="J466" s="17" t="str">
        <f>IF(TRIM(B466)="","",IF(ISNUMBER(SEARCH(" - ",B466)),TRIM(RIGHT(B466,LEN(B466)-FIND(" - ",B466)-2)),IFERROR(VLOOKUP(UPPER(TRIM(B466)), SETUP!$B$4:$C$11, 2, FALSE), UPPER(TRIM(B466)))))</f>
        <v>KEN</v>
      </c>
      <c r="K466" s="23">
        <f t="shared" si="2"/>
        <v>46069</v>
      </c>
      <c r="L466" s="17">
        <f t="shared" si="3"/>
        <v>46073</v>
      </c>
      <c r="M466" s="17" t="str">
        <f t="shared" si="4"/>
        <v>2026-02</v>
      </c>
    </row>
    <row r="467" ht="15.75" customHeight="1">
      <c r="A467" s="19">
        <v>46073.0</v>
      </c>
      <c r="B467" s="20" t="s">
        <v>16</v>
      </c>
      <c r="C467" s="20">
        <v>100.0</v>
      </c>
      <c r="D467" s="21"/>
      <c r="E467" s="11">
        <f>IF(J467="","", C467 * IFERROR(VLOOKUP(J467, SETUP!$A:$D, 3, FALSE), 0))</f>
        <v>0</v>
      </c>
      <c r="F467" s="11">
        <f>IF(J467="","", C467 * IFERROR(VLOOKUP(J467, SETUP!$A:$D, 4, FALSE), 0))</f>
        <v>100</v>
      </c>
      <c r="G467" s="11">
        <f t="shared" si="1"/>
        <v>100</v>
      </c>
      <c r="H467" s="22"/>
      <c r="I467" s="11"/>
      <c r="J467" s="17" t="str">
        <f>IF(TRIM(B467)="","",IF(ISNUMBER(SEARCH(" - ",B467)),TRIM(RIGHT(B467,LEN(B467)-FIND(" - ",B467)-2)),IFERROR(VLOOKUP(UPPER(TRIM(B467)), SETUP!$B$4:$C$11, 2, FALSE), UPPER(TRIM(B467)))))</f>
        <v>KEN</v>
      </c>
      <c r="K467" s="23">
        <f t="shared" si="2"/>
        <v>46069</v>
      </c>
      <c r="L467" s="17">
        <f t="shared" si="3"/>
        <v>46073</v>
      </c>
      <c r="M467" s="17" t="str">
        <f t="shared" si="4"/>
        <v>2026-02</v>
      </c>
    </row>
    <row r="468" ht="15.75" customHeight="1">
      <c r="A468" s="19">
        <v>46073.0</v>
      </c>
      <c r="B468" s="20" t="s">
        <v>17</v>
      </c>
      <c r="C468" s="20">
        <v>57.0</v>
      </c>
      <c r="D468" s="21"/>
      <c r="E468" s="11">
        <f>IF(J468="","", C468 * IFERROR(VLOOKUP(J468, SETUP!$A:$D, 3, FALSE), 0))</f>
        <v>34.2</v>
      </c>
      <c r="F468" s="11">
        <f>IF(J468="","", C468 * IFERROR(VLOOKUP(J468, SETUP!$A:$D, 4, FALSE), 0))</f>
        <v>22.8</v>
      </c>
      <c r="G468" s="11">
        <f t="shared" si="1"/>
        <v>22.8</v>
      </c>
      <c r="H468" s="22"/>
      <c r="I468" s="11"/>
      <c r="J468" s="17" t="str">
        <f>IF(TRIM(B468)="","",IF(ISNUMBER(SEARCH(" - ",B468)),TRIM(RIGHT(B468,LEN(B468)-FIND(" - ",B468)-2)),IFERROR(VLOOKUP(UPPER(TRIM(B468)), SETUP!$B$4:$C$11, 2, FALSE), UPPER(TRIM(B468)))))</f>
        <v>RYAN</v>
      </c>
      <c r="K468" s="23">
        <f t="shared" si="2"/>
        <v>46069</v>
      </c>
      <c r="L468" s="17">
        <f t="shared" si="3"/>
        <v>46073</v>
      </c>
      <c r="M468" s="17" t="str">
        <f t="shared" si="4"/>
        <v>2026-02</v>
      </c>
    </row>
    <row r="469" ht="15.75" customHeight="1">
      <c r="A469" s="19">
        <v>46073.0</v>
      </c>
      <c r="B469" s="20" t="s">
        <v>17</v>
      </c>
      <c r="C469" s="20">
        <v>67.0</v>
      </c>
      <c r="D469" s="21"/>
      <c r="E469" s="11">
        <f>IF(J469="","", C469 * IFERROR(VLOOKUP(J469, SETUP!$A:$D, 3, FALSE), 0))</f>
        <v>40.2</v>
      </c>
      <c r="F469" s="11">
        <f>IF(J469="","", C469 * IFERROR(VLOOKUP(J469, SETUP!$A:$D, 4, FALSE), 0))</f>
        <v>26.8</v>
      </c>
      <c r="G469" s="11">
        <f t="shared" si="1"/>
        <v>26.8</v>
      </c>
      <c r="H469" s="22"/>
      <c r="I469" s="11"/>
      <c r="J469" s="17" t="str">
        <f>IF(TRIM(B469)="","",IF(ISNUMBER(SEARCH(" - ",B469)),TRIM(RIGHT(B469,LEN(B469)-FIND(" - ",B469)-2)),IFERROR(VLOOKUP(UPPER(TRIM(B469)), SETUP!$B$4:$C$11, 2, FALSE), UPPER(TRIM(B469)))))</f>
        <v>RYAN</v>
      </c>
      <c r="K469" s="23">
        <f t="shared" si="2"/>
        <v>46069</v>
      </c>
      <c r="L469" s="17">
        <f t="shared" si="3"/>
        <v>46073</v>
      </c>
      <c r="M469" s="17" t="str">
        <f t="shared" si="4"/>
        <v>2026-02</v>
      </c>
    </row>
    <row r="470" ht="15.75" customHeight="1">
      <c r="A470" s="19">
        <v>46073.0</v>
      </c>
      <c r="B470" s="20" t="s">
        <v>17</v>
      </c>
      <c r="C470" s="20">
        <v>60.0</v>
      </c>
      <c r="D470" s="21"/>
      <c r="E470" s="11">
        <f>IF(J470="","", C470 * IFERROR(VLOOKUP(J470, SETUP!$A:$D, 3, FALSE), 0))</f>
        <v>36</v>
      </c>
      <c r="F470" s="11">
        <f>IF(J470="","", C470 * IFERROR(VLOOKUP(J470, SETUP!$A:$D, 4, FALSE), 0))</f>
        <v>24</v>
      </c>
      <c r="G470" s="11">
        <f t="shared" si="1"/>
        <v>24</v>
      </c>
      <c r="H470" s="22"/>
      <c r="I470" s="11"/>
      <c r="J470" s="17" t="str">
        <f>IF(TRIM(B470)="","",IF(ISNUMBER(SEARCH(" - ",B470)),TRIM(RIGHT(B470,LEN(B470)-FIND(" - ",B470)-2)),IFERROR(VLOOKUP(UPPER(TRIM(B470)), SETUP!$B$4:$C$11, 2, FALSE), UPPER(TRIM(B470)))))</f>
        <v>RYAN</v>
      </c>
      <c r="K470" s="23">
        <f t="shared" si="2"/>
        <v>46069</v>
      </c>
      <c r="L470" s="17">
        <f t="shared" si="3"/>
        <v>46073</v>
      </c>
      <c r="M470" s="17" t="str">
        <f t="shared" si="4"/>
        <v>2026-02</v>
      </c>
    </row>
    <row r="471" ht="15.75" customHeight="1">
      <c r="A471" s="19">
        <v>46073.0</v>
      </c>
      <c r="B471" s="20" t="s">
        <v>17</v>
      </c>
      <c r="C471" s="20">
        <v>82.0</v>
      </c>
      <c r="D471" s="21"/>
      <c r="E471" s="11">
        <f>IF(J471="","", C471 * IFERROR(VLOOKUP(J471, SETUP!$A:$D, 3, FALSE), 0))</f>
        <v>49.2</v>
      </c>
      <c r="F471" s="11">
        <f>IF(J471="","", C471 * IFERROR(VLOOKUP(J471, SETUP!$A:$D, 4, FALSE), 0))</f>
        <v>32.8</v>
      </c>
      <c r="G471" s="11">
        <f t="shared" si="1"/>
        <v>32.8</v>
      </c>
      <c r="H471" s="22"/>
      <c r="I471" s="11"/>
      <c r="J471" s="17" t="str">
        <f>IF(TRIM(B471)="","",IF(ISNUMBER(SEARCH(" - ",B471)),TRIM(RIGHT(B471,LEN(B471)-FIND(" - ",B471)-2)),IFERROR(VLOOKUP(UPPER(TRIM(B471)), SETUP!$B$4:$C$11, 2, FALSE), UPPER(TRIM(B471)))))</f>
        <v>RYAN</v>
      </c>
      <c r="K471" s="23">
        <f t="shared" si="2"/>
        <v>46069</v>
      </c>
      <c r="L471" s="17">
        <f t="shared" si="3"/>
        <v>46073</v>
      </c>
      <c r="M471" s="17" t="str">
        <f t="shared" si="4"/>
        <v>2026-02</v>
      </c>
    </row>
    <row r="472" ht="15.75" customHeight="1">
      <c r="A472" s="19">
        <v>46073.0</v>
      </c>
      <c r="B472" s="20" t="s">
        <v>17</v>
      </c>
      <c r="C472" s="20">
        <v>47.0</v>
      </c>
      <c r="D472" s="21"/>
      <c r="E472" s="11">
        <f>IF(J472="","", C472 * IFERROR(VLOOKUP(J472, SETUP!$A:$D, 3, FALSE), 0))</f>
        <v>28.2</v>
      </c>
      <c r="F472" s="11">
        <f>IF(J472="","", C472 * IFERROR(VLOOKUP(J472, SETUP!$A:$D, 4, FALSE), 0))</f>
        <v>18.8</v>
      </c>
      <c r="G472" s="11">
        <f t="shared" si="1"/>
        <v>18.8</v>
      </c>
      <c r="H472" s="22"/>
      <c r="I472" s="11"/>
      <c r="J472" s="17" t="str">
        <f>IF(TRIM(B472)="","",IF(ISNUMBER(SEARCH(" - ",B472)),TRIM(RIGHT(B472,LEN(B472)-FIND(" - ",B472)-2)),IFERROR(VLOOKUP(UPPER(TRIM(B472)), SETUP!$B$4:$C$11, 2, FALSE), UPPER(TRIM(B472)))))</f>
        <v>RYAN</v>
      </c>
      <c r="K472" s="23">
        <f t="shared" si="2"/>
        <v>46069</v>
      </c>
      <c r="L472" s="17">
        <f t="shared" si="3"/>
        <v>46073</v>
      </c>
      <c r="M472" s="17" t="str">
        <f t="shared" si="4"/>
        <v>2026-02</v>
      </c>
    </row>
    <row r="473" ht="15.75" customHeight="1">
      <c r="A473" s="19">
        <v>46073.0</v>
      </c>
      <c r="B473" s="20" t="s">
        <v>17</v>
      </c>
      <c r="C473" s="20">
        <v>64.0</v>
      </c>
      <c r="D473" s="21"/>
      <c r="E473" s="11">
        <f>IF(J473="","", C473 * IFERROR(VLOOKUP(J473, SETUP!$A:$D, 3, FALSE), 0))</f>
        <v>38.4</v>
      </c>
      <c r="F473" s="11">
        <f>IF(J473="","", C473 * IFERROR(VLOOKUP(J473, SETUP!$A:$D, 4, FALSE), 0))</f>
        <v>25.6</v>
      </c>
      <c r="G473" s="11">
        <f t="shared" si="1"/>
        <v>25.6</v>
      </c>
      <c r="H473" s="22"/>
      <c r="I473" s="11"/>
      <c r="J473" s="17" t="str">
        <f>IF(TRIM(B473)="","",IF(ISNUMBER(SEARCH(" - ",B473)),TRIM(RIGHT(B473,LEN(B473)-FIND(" - ",B473)-2)),IFERROR(VLOOKUP(UPPER(TRIM(B473)), SETUP!$B$4:$C$11, 2, FALSE), UPPER(TRIM(B473)))))</f>
        <v>RYAN</v>
      </c>
      <c r="K473" s="23">
        <f t="shared" si="2"/>
        <v>46069</v>
      </c>
      <c r="L473" s="17">
        <f t="shared" si="3"/>
        <v>46073</v>
      </c>
      <c r="M473" s="17" t="str">
        <f t="shared" si="4"/>
        <v>2026-02</v>
      </c>
    </row>
    <row r="474" ht="15.75" customHeight="1">
      <c r="A474" s="19">
        <v>46073.0</v>
      </c>
      <c r="B474" s="20" t="s">
        <v>17</v>
      </c>
      <c r="C474" s="20">
        <v>85.0</v>
      </c>
      <c r="D474" s="21"/>
      <c r="E474" s="11">
        <f>IF(J474="","", C474 * IFERROR(VLOOKUP(J474, SETUP!$A:$D, 3, FALSE), 0))</f>
        <v>51</v>
      </c>
      <c r="F474" s="11">
        <f>IF(J474="","", C474 * IFERROR(VLOOKUP(J474, SETUP!$A:$D, 4, FALSE), 0))</f>
        <v>34</v>
      </c>
      <c r="G474" s="11">
        <f t="shared" si="1"/>
        <v>34</v>
      </c>
      <c r="H474" s="22"/>
      <c r="I474" s="11"/>
      <c r="J474" s="17" t="str">
        <f>IF(TRIM(B474)="","",IF(ISNUMBER(SEARCH(" - ",B474)),TRIM(RIGHT(B474,LEN(B474)-FIND(" - ",B474)-2)),IFERROR(VLOOKUP(UPPER(TRIM(B474)), SETUP!$B$4:$C$11, 2, FALSE), UPPER(TRIM(B474)))))</f>
        <v>RYAN</v>
      </c>
      <c r="K474" s="23">
        <f t="shared" si="2"/>
        <v>46069</v>
      </c>
      <c r="L474" s="17">
        <f t="shared" si="3"/>
        <v>46073</v>
      </c>
      <c r="M474" s="17" t="str">
        <f t="shared" si="4"/>
        <v>2026-02</v>
      </c>
    </row>
    <row r="475" ht="15.75" customHeight="1">
      <c r="A475" s="19">
        <v>46073.0</v>
      </c>
      <c r="B475" s="20" t="s">
        <v>17</v>
      </c>
      <c r="C475" s="20">
        <v>97.0</v>
      </c>
      <c r="D475" s="21"/>
      <c r="E475" s="11">
        <f>IF(J475="","", C475 * IFERROR(VLOOKUP(J475, SETUP!$A:$D, 3, FALSE), 0))</f>
        <v>58.2</v>
      </c>
      <c r="F475" s="11">
        <f>IF(J475="","", C475 * IFERROR(VLOOKUP(J475, SETUP!$A:$D, 4, FALSE), 0))</f>
        <v>38.8</v>
      </c>
      <c r="G475" s="11">
        <f t="shared" si="1"/>
        <v>38.8</v>
      </c>
      <c r="H475" s="22"/>
      <c r="I475" s="11"/>
      <c r="J475" s="17" t="str">
        <f>IF(TRIM(B475)="","",IF(ISNUMBER(SEARCH(" - ",B475)),TRIM(RIGHT(B475,LEN(B475)-FIND(" - ",B475)-2)),IFERROR(VLOOKUP(UPPER(TRIM(B475)), SETUP!$B$4:$C$11, 2, FALSE), UPPER(TRIM(B475)))))</f>
        <v>RYAN</v>
      </c>
      <c r="K475" s="23">
        <f t="shared" si="2"/>
        <v>46069</v>
      </c>
      <c r="L475" s="17">
        <f t="shared" si="3"/>
        <v>46073</v>
      </c>
      <c r="M475" s="17" t="str">
        <f t="shared" si="4"/>
        <v>2026-02</v>
      </c>
    </row>
    <row r="476" ht="15.75" customHeight="1">
      <c r="A476" s="19">
        <v>46073.0</v>
      </c>
      <c r="B476" s="20" t="s">
        <v>17</v>
      </c>
      <c r="C476" s="20">
        <v>62.0</v>
      </c>
      <c r="D476" s="21"/>
      <c r="E476" s="11">
        <f>IF(J476="","", C476 * IFERROR(VLOOKUP(J476, SETUP!$A:$D, 3, FALSE), 0))</f>
        <v>37.2</v>
      </c>
      <c r="F476" s="11">
        <f>IF(J476="","", C476 * IFERROR(VLOOKUP(J476, SETUP!$A:$D, 4, FALSE), 0))</f>
        <v>24.8</v>
      </c>
      <c r="G476" s="11">
        <f t="shared" si="1"/>
        <v>24.8</v>
      </c>
      <c r="H476" s="22"/>
      <c r="I476" s="11"/>
      <c r="J476" s="17" t="str">
        <f>IF(TRIM(B476)="","",IF(ISNUMBER(SEARCH(" - ",B476)),TRIM(RIGHT(B476,LEN(B476)-FIND(" - ",B476)-2)),IFERROR(VLOOKUP(UPPER(TRIM(B476)), SETUP!$B$4:$C$11, 2, FALSE), UPPER(TRIM(B476)))))</f>
        <v>RYAN</v>
      </c>
      <c r="K476" s="23">
        <f t="shared" si="2"/>
        <v>46069</v>
      </c>
      <c r="L476" s="17">
        <f t="shared" si="3"/>
        <v>46073</v>
      </c>
      <c r="M476" s="17" t="str">
        <f t="shared" si="4"/>
        <v>2026-02</v>
      </c>
    </row>
    <row r="477" ht="15.75" customHeight="1">
      <c r="A477" s="19">
        <v>46073.0</v>
      </c>
      <c r="B477" s="20" t="s">
        <v>17</v>
      </c>
      <c r="C477" s="20">
        <v>47.0</v>
      </c>
      <c r="D477" s="21"/>
      <c r="E477" s="11">
        <f>IF(J477="","", C477 * IFERROR(VLOOKUP(J477, SETUP!$A:$D, 3, FALSE), 0))</f>
        <v>28.2</v>
      </c>
      <c r="F477" s="11">
        <f>IF(J477="","", C477 * IFERROR(VLOOKUP(J477, SETUP!$A:$D, 4, FALSE), 0))</f>
        <v>18.8</v>
      </c>
      <c r="G477" s="11">
        <f t="shared" si="1"/>
        <v>18.8</v>
      </c>
      <c r="H477" s="22"/>
      <c r="I477" s="11"/>
      <c r="J477" s="17" t="str">
        <f>IF(TRIM(B477)="","",IF(ISNUMBER(SEARCH(" - ",B477)),TRIM(RIGHT(B477,LEN(B477)-FIND(" - ",B477)-2)),IFERROR(VLOOKUP(UPPER(TRIM(B477)), SETUP!$B$4:$C$11, 2, FALSE), UPPER(TRIM(B477)))))</f>
        <v>RYAN</v>
      </c>
      <c r="K477" s="23">
        <f t="shared" si="2"/>
        <v>46069</v>
      </c>
      <c r="L477" s="17">
        <f t="shared" si="3"/>
        <v>46073</v>
      </c>
      <c r="M477" s="17" t="str">
        <f t="shared" si="4"/>
        <v>2026-02</v>
      </c>
    </row>
    <row r="478" ht="15.75" customHeight="1">
      <c r="A478" s="19">
        <v>46073.0</v>
      </c>
      <c r="B478" s="20" t="s">
        <v>18</v>
      </c>
      <c r="C478" s="20">
        <v>65.0</v>
      </c>
      <c r="D478" s="21"/>
      <c r="E478" s="11">
        <f>IF(J478="","", C478 * IFERROR(VLOOKUP(J478, SETUP!$A:$D, 3, FALSE), 0))</f>
        <v>32.5</v>
      </c>
      <c r="F478" s="11">
        <f>IF(J478="","", C478 * IFERROR(VLOOKUP(J478, SETUP!$A:$D, 4, FALSE), 0))</f>
        <v>32.5</v>
      </c>
      <c r="G478" s="11">
        <f t="shared" si="1"/>
        <v>32.5</v>
      </c>
      <c r="H478" s="22"/>
      <c r="I478" s="11"/>
      <c r="J478" s="17" t="str">
        <f>IF(TRIM(B478)="","",IF(ISNUMBER(SEARCH(" - ",B478)),TRIM(RIGHT(B478,LEN(B478)-FIND(" - ",B478)-2)),IFERROR(VLOOKUP(UPPER(TRIM(B478)), SETUP!$B$4:$C$11, 2, FALSE), UPPER(TRIM(B478)))))</f>
        <v>CRIS</v>
      </c>
      <c r="K478" s="23">
        <f t="shared" si="2"/>
        <v>46069</v>
      </c>
      <c r="L478" s="17">
        <f t="shared" si="3"/>
        <v>46073</v>
      </c>
      <c r="M478" s="17" t="str">
        <f t="shared" si="4"/>
        <v>2026-02</v>
      </c>
    </row>
    <row r="479" ht="15.75" customHeight="1">
      <c r="A479" s="19">
        <v>46073.0</v>
      </c>
      <c r="B479" s="20" t="s">
        <v>18</v>
      </c>
      <c r="C479" s="20">
        <v>40.0</v>
      </c>
      <c r="D479" s="21"/>
      <c r="E479" s="11">
        <f>IF(J479="","", C479 * IFERROR(VLOOKUP(J479, SETUP!$A:$D, 3, FALSE), 0))</f>
        <v>20</v>
      </c>
      <c r="F479" s="11">
        <f>IF(J479="","", C479 * IFERROR(VLOOKUP(J479, SETUP!$A:$D, 4, FALSE), 0))</f>
        <v>20</v>
      </c>
      <c r="G479" s="11">
        <f t="shared" si="1"/>
        <v>20</v>
      </c>
      <c r="H479" s="22"/>
      <c r="I479" s="11"/>
      <c r="J479" s="17" t="str">
        <f>IF(TRIM(B479)="","",IF(ISNUMBER(SEARCH(" - ",B479)),TRIM(RIGHT(B479,LEN(B479)-FIND(" - ",B479)-2)),IFERROR(VLOOKUP(UPPER(TRIM(B479)), SETUP!$B$4:$C$11, 2, FALSE), UPPER(TRIM(B479)))))</f>
        <v>CRIS</v>
      </c>
      <c r="K479" s="23">
        <f t="shared" si="2"/>
        <v>46069</v>
      </c>
      <c r="L479" s="17">
        <f t="shared" si="3"/>
        <v>46073</v>
      </c>
      <c r="M479" s="17" t="str">
        <f t="shared" si="4"/>
        <v>2026-02</v>
      </c>
    </row>
    <row r="480" ht="15.75" customHeight="1">
      <c r="A480" s="19">
        <v>46073.0</v>
      </c>
      <c r="B480" s="20" t="s">
        <v>18</v>
      </c>
      <c r="C480" s="20">
        <v>30.0</v>
      </c>
      <c r="D480" s="21"/>
      <c r="E480" s="11">
        <f>IF(J480="","", C480 * IFERROR(VLOOKUP(J480, SETUP!$A:$D, 3, FALSE), 0))</f>
        <v>15</v>
      </c>
      <c r="F480" s="11">
        <f>IF(J480="","", C480 * IFERROR(VLOOKUP(J480, SETUP!$A:$D, 4, FALSE), 0))</f>
        <v>15</v>
      </c>
      <c r="G480" s="11">
        <f t="shared" si="1"/>
        <v>15</v>
      </c>
      <c r="H480" s="22"/>
      <c r="I480" s="11"/>
      <c r="J480" s="17" t="str">
        <f>IF(TRIM(B480)="","",IF(ISNUMBER(SEARCH(" - ",B480)),TRIM(RIGHT(B480,LEN(B480)-FIND(" - ",B480)-2)),IFERROR(VLOOKUP(UPPER(TRIM(B480)), SETUP!$B$4:$C$11, 2, FALSE), UPPER(TRIM(B480)))))</f>
        <v>CRIS</v>
      </c>
      <c r="K480" s="23">
        <f t="shared" si="2"/>
        <v>46069</v>
      </c>
      <c r="L480" s="17">
        <f t="shared" si="3"/>
        <v>46073</v>
      </c>
      <c r="M480" s="17" t="str">
        <f t="shared" si="4"/>
        <v>2026-02</v>
      </c>
    </row>
    <row r="481" ht="15.75" customHeight="1">
      <c r="A481" s="19">
        <v>46073.0</v>
      </c>
      <c r="B481" s="20" t="s">
        <v>18</v>
      </c>
      <c r="C481" s="20">
        <v>30.0</v>
      </c>
      <c r="D481" s="21"/>
      <c r="E481" s="11">
        <f>IF(J481="","", C481 * IFERROR(VLOOKUP(J481, SETUP!$A:$D, 3, FALSE), 0))</f>
        <v>15</v>
      </c>
      <c r="F481" s="11">
        <f>IF(J481="","", C481 * IFERROR(VLOOKUP(J481, SETUP!$A:$D, 4, FALSE), 0))</f>
        <v>15</v>
      </c>
      <c r="G481" s="11">
        <f t="shared" si="1"/>
        <v>15</v>
      </c>
      <c r="H481" s="22"/>
      <c r="I481" s="11"/>
      <c r="J481" s="17" t="str">
        <f>IF(TRIM(B481)="","",IF(ISNUMBER(SEARCH(" - ",B481)),TRIM(RIGHT(B481,LEN(B481)-FIND(" - ",B481)-2)),IFERROR(VLOOKUP(UPPER(TRIM(B481)), SETUP!$B$4:$C$11, 2, FALSE), UPPER(TRIM(B481)))))</f>
        <v>CRIS</v>
      </c>
      <c r="K481" s="23">
        <f t="shared" si="2"/>
        <v>46069</v>
      </c>
      <c r="L481" s="17">
        <f t="shared" si="3"/>
        <v>46073</v>
      </c>
      <c r="M481" s="17" t="str">
        <f t="shared" si="4"/>
        <v>2026-02</v>
      </c>
    </row>
    <row r="482" ht="15.75" customHeight="1">
      <c r="A482" s="19">
        <v>46073.0</v>
      </c>
      <c r="B482" s="20" t="s">
        <v>18</v>
      </c>
      <c r="C482" s="20">
        <v>20.0</v>
      </c>
      <c r="D482" s="21"/>
      <c r="E482" s="11">
        <f>IF(J482="","", C482 * IFERROR(VLOOKUP(J482, SETUP!$A:$D, 3, FALSE), 0))</f>
        <v>10</v>
      </c>
      <c r="F482" s="11">
        <f>IF(J482="","", C482 * IFERROR(VLOOKUP(J482, SETUP!$A:$D, 4, FALSE), 0))</f>
        <v>10</v>
      </c>
      <c r="G482" s="11">
        <f t="shared" si="1"/>
        <v>10</v>
      </c>
      <c r="H482" s="22"/>
      <c r="I482" s="11"/>
      <c r="J482" s="17" t="str">
        <f>IF(TRIM(B482)="","",IF(ISNUMBER(SEARCH(" - ",B482)),TRIM(RIGHT(B482,LEN(B482)-FIND(" - ",B482)-2)),IFERROR(VLOOKUP(UPPER(TRIM(B482)), SETUP!$B$4:$C$11, 2, FALSE), UPPER(TRIM(B482)))))</f>
        <v>CRIS</v>
      </c>
      <c r="K482" s="23">
        <f t="shared" si="2"/>
        <v>46069</v>
      </c>
      <c r="L482" s="17">
        <f t="shared" si="3"/>
        <v>46073</v>
      </c>
      <c r="M482" s="17" t="str">
        <f t="shared" si="4"/>
        <v>2026-02</v>
      </c>
    </row>
    <row r="483" ht="15.75" customHeight="1">
      <c r="A483" s="19">
        <v>46073.0</v>
      </c>
      <c r="B483" s="20" t="s">
        <v>18</v>
      </c>
      <c r="C483" s="20">
        <v>10.0</v>
      </c>
      <c r="D483" s="21"/>
      <c r="E483" s="11">
        <f>IF(J483="","", C483 * IFERROR(VLOOKUP(J483, SETUP!$A:$D, 3, FALSE), 0))</f>
        <v>5</v>
      </c>
      <c r="F483" s="11">
        <f>IF(J483="","", C483 * IFERROR(VLOOKUP(J483, SETUP!$A:$D, 4, FALSE), 0))</f>
        <v>5</v>
      </c>
      <c r="G483" s="11">
        <f t="shared" si="1"/>
        <v>5</v>
      </c>
      <c r="H483" s="22"/>
      <c r="I483" s="11"/>
      <c r="J483" s="17" t="str">
        <f>IF(TRIM(B483)="","",IF(ISNUMBER(SEARCH(" - ",B483)),TRIM(RIGHT(B483,LEN(B483)-FIND(" - ",B483)-2)),IFERROR(VLOOKUP(UPPER(TRIM(B483)), SETUP!$B$4:$C$11, 2, FALSE), UPPER(TRIM(B483)))))</f>
        <v>CRIS</v>
      </c>
      <c r="K483" s="23">
        <f t="shared" si="2"/>
        <v>46069</v>
      </c>
      <c r="L483" s="17">
        <f t="shared" si="3"/>
        <v>46073</v>
      </c>
      <c r="M483" s="17" t="str">
        <f t="shared" si="4"/>
        <v>2026-02</v>
      </c>
    </row>
    <row r="484" ht="15.75" customHeight="1">
      <c r="A484" s="19">
        <v>46073.0</v>
      </c>
      <c r="B484" s="20" t="s">
        <v>18</v>
      </c>
      <c r="C484" s="20">
        <v>50.0</v>
      </c>
      <c r="D484" s="21"/>
      <c r="E484" s="11">
        <f>IF(J484="","", C484 * IFERROR(VLOOKUP(J484, SETUP!$A:$D, 3, FALSE), 0))</f>
        <v>25</v>
      </c>
      <c r="F484" s="11">
        <f>IF(J484="","", C484 * IFERROR(VLOOKUP(J484, SETUP!$A:$D, 4, FALSE), 0))</f>
        <v>25</v>
      </c>
      <c r="G484" s="11">
        <f t="shared" si="1"/>
        <v>25</v>
      </c>
      <c r="H484" s="22"/>
      <c r="I484" s="11"/>
      <c r="J484" s="17" t="str">
        <f>IF(TRIM(B484)="","",IF(ISNUMBER(SEARCH(" - ",B484)),TRIM(RIGHT(B484,LEN(B484)-FIND(" - ",B484)-2)),IFERROR(VLOOKUP(UPPER(TRIM(B484)), SETUP!$B$4:$C$11, 2, FALSE), UPPER(TRIM(B484)))))</f>
        <v>CRIS</v>
      </c>
      <c r="K484" s="23">
        <f t="shared" si="2"/>
        <v>46069</v>
      </c>
      <c r="L484" s="17">
        <f t="shared" si="3"/>
        <v>46073</v>
      </c>
      <c r="M484" s="17" t="str">
        <f t="shared" si="4"/>
        <v>2026-02</v>
      </c>
    </row>
    <row r="485" ht="15.75" customHeight="1">
      <c r="A485" s="19">
        <v>46073.0</v>
      </c>
      <c r="B485" s="20" t="s">
        <v>18</v>
      </c>
      <c r="C485" s="20">
        <v>30.0</v>
      </c>
      <c r="D485" s="21"/>
      <c r="E485" s="11">
        <f>IF(J485="","", C485 * IFERROR(VLOOKUP(J485, SETUP!$A:$D, 3, FALSE), 0))</f>
        <v>15</v>
      </c>
      <c r="F485" s="11">
        <f>IF(J485="","", C485 * IFERROR(VLOOKUP(J485, SETUP!$A:$D, 4, FALSE), 0))</f>
        <v>15</v>
      </c>
      <c r="G485" s="11">
        <f t="shared" si="1"/>
        <v>15</v>
      </c>
      <c r="H485" s="22"/>
      <c r="I485" s="11"/>
      <c r="J485" s="17" t="str">
        <f>IF(TRIM(B485)="","",IF(ISNUMBER(SEARCH(" - ",B485)),TRIM(RIGHT(B485,LEN(B485)-FIND(" - ",B485)-2)),IFERROR(VLOOKUP(UPPER(TRIM(B485)), SETUP!$B$4:$C$11, 2, FALSE), UPPER(TRIM(B485)))))</f>
        <v>CRIS</v>
      </c>
      <c r="K485" s="23">
        <f t="shared" si="2"/>
        <v>46069</v>
      </c>
      <c r="L485" s="17">
        <f t="shared" si="3"/>
        <v>46073</v>
      </c>
      <c r="M485" s="17" t="str">
        <f t="shared" si="4"/>
        <v>2026-02</v>
      </c>
    </row>
    <row r="486" ht="15.75" customHeight="1">
      <c r="A486" s="19">
        <v>46073.0</v>
      </c>
      <c r="B486" s="20" t="s">
        <v>18</v>
      </c>
      <c r="C486" s="20">
        <v>57.0</v>
      </c>
      <c r="D486" s="21"/>
      <c r="E486" s="11">
        <f>IF(J486="","", C486 * IFERROR(VLOOKUP(J486, SETUP!$A:$D, 3, FALSE), 0))</f>
        <v>28.5</v>
      </c>
      <c r="F486" s="11">
        <f>IF(J486="","", C486 * IFERROR(VLOOKUP(J486, SETUP!$A:$D, 4, FALSE), 0))</f>
        <v>28.5</v>
      </c>
      <c r="G486" s="11">
        <f t="shared" si="1"/>
        <v>28.5</v>
      </c>
      <c r="H486" s="22"/>
      <c r="I486" s="11"/>
      <c r="J486" s="17" t="str">
        <f>IF(TRIM(B486)="","",IF(ISNUMBER(SEARCH(" - ",B486)),TRIM(RIGHT(B486,LEN(B486)-FIND(" - ",B486)-2)),IFERROR(VLOOKUP(UPPER(TRIM(B486)), SETUP!$B$4:$C$11, 2, FALSE), UPPER(TRIM(B486)))))</f>
        <v>CRIS</v>
      </c>
      <c r="K486" s="23">
        <f t="shared" si="2"/>
        <v>46069</v>
      </c>
      <c r="L486" s="17">
        <f t="shared" si="3"/>
        <v>46073</v>
      </c>
      <c r="M486" s="17" t="str">
        <f t="shared" si="4"/>
        <v>2026-02</v>
      </c>
    </row>
    <row r="487" ht="15.75" customHeight="1">
      <c r="A487" s="19">
        <v>46073.0</v>
      </c>
      <c r="B487" s="20" t="s">
        <v>18</v>
      </c>
      <c r="C487" s="20">
        <v>60.0</v>
      </c>
      <c r="D487" s="21"/>
      <c r="E487" s="11">
        <f>IF(J487="","", C487 * IFERROR(VLOOKUP(J487, SETUP!$A:$D, 3, FALSE), 0))</f>
        <v>30</v>
      </c>
      <c r="F487" s="11">
        <f>IF(J487="","", C487 * IFERROR(VLOOKUP(J487, SETUP!$A:$D, 4, FALSE), 0))</f>
        <v>30</v>
      </c>
      <c r="G487" s="11">
        <f t="shared" si="1"/>
        <v>30</v>
      </c>
      <c r="H487" s="22"/>
      <c r="I487" s="11"/>
      <c r="J487" s="17" t="str">
        <f>IF(TRIM(B487)="","",IF(ISNUMBER(SEARCH(" - ",B487)),TRIM(RIGHT(B487,LEN(B487)-FIND(" - ",B487)-2)),IFERROR(VLOOKUP(UPPER(TRIM(B487)), SETUP!$B$4:$C$11, 2, FALSE), UPPER(TRIM(B487)))))</f>
        <v>CRIS</v>
      </c>
      <c r="K487" s="23">
        <f t="shared" si="2"/>
        <v>46069</v>
      </c>
      <c r="L487" s="17">
        <f t="shared" si="3"/>
        <v>46073</v>
      </c>
      <c r="M487" s="17" t="str">
        <f t="shared" si="4"/>
        <v>2026-02</v>
      </c>
    </row>
    <row r="488" ht="15.75" customHeight="1">
      <c r="A488" s="19">
        <v>46073.0</v>
      </c>
      <c r="B488" s="20" t="s">
        <v>19</v>
      </c>
      <c r="C488" s="20">
        <v>107.0</v>
      </c>
      <c r="D488" s="21"/>
      <c r="E488" s="11">
        <f>IF(J488="","", C488 * IFERROR(VLOOKUP(J488, SETUP!$A:$D, 3, FALSE), 0))</f>
        <v>0</v>
      </c>
      <c r="F488" s="11">
        <f>IF(J488="","", C488 * IFERROR(VLOOKUP(J488, SETUP!$A:$D, 4, FALSE), 0))</f>
        <v>107</v>
      </c>
      <c r="G488" s="11">
        <f t="shared" si="1"/>
        <v>107</v>
      </c>
      <c r="H488" s="22"/>
      <c r="I488" s="11"/>
      <c r="J488" s="17" t="str">
        <f>IF(TRIM(B488)="","",IF(ISNUMBER(SEARCH(" - ",B488)),TRIM(RIGHT(B488,LEN(B488)-FIND(" - ",B488)-2)),IFERROR(VLOOKUP(UPPER(TRIM(B488)), SETUP!$B$4:$C$11, 2, FALSE), UPPER(TRIM(B488)))))</f>
        <v>HANNI</v>
      </c>
      <c r="K488" s="23">
        <f t="shared" si="2"/>
        <v>46069</v>
      </c>
      <c r="L488" s="17">
        <f t="shared" si="3"/>
        <v>46073</v>
      </c>
      <c r="M488" s="17" t="str">
        <f t="shared" si="4"/>
        <v>2026-02</v>
      </c>
    </row>
    <row r="489" ht="15.75" customHeight="1">
      <c r="A489" s="19">
        <v>46073.0</v>
      </c>
      <c r="B489" s="20" t="s">
        <v>19</v>
      </c>
      <c r="C489" s="20">
        <v>52.0</v>
      </c>
      <c r="D489" s="21"/>
      <c r="E489" s="11">
        <f>IF(J489="","", C489 * IFERROR(VLOOKUP(J489, SETUP!$A:$D, 3, FALSE), 0))</f>
        <v>0</v>
      </c>
      <c r="F489" s="11">
        <f>IF(J489="","", C489 * IFERROR(VLOOKUP(J489, SETUP!$A:$D, 4, FALSE), 0))</f>
        <v>52</v>
      </c>
      <c r="G489" s="11">
        <f t="shared" si="1"/>
        <v>52</v>
      </c>
      <c r="H489" s="22"/>
      <c r="I489" s="11"/>
      <c r="J489" s="17" t="str">
        <f>IF(TRIM(B489)="","",IF(ISNUMBER(SEARCH(" - ",B489)),TRIM(RIGHT(B489,LEN(B489)-FIND(" - ",B489)-2)),IFERROR(VLOOKUP(UPPER(TRIM(B489)), SETUP!$B$4:$C$11, 2, FALSE), UPPER(TRIM(B489)))))</f>
        <v>HANNI</v>
      </c>
      <c r="K489" s="23">
        <f t="shared" si="2"/>
        <v>46069</v>
      </c>
      <c r="L489" s="17">
        <f t="shared" si="3"/>
        <v>46073</v>
      </c>
      <c r="M489" s="17" t="str">
        <f t="shared" si="4"/>
        <v>2026-02</v>
      </c>
    </row>
    <row r="490" ht="15.75" customHeight="1">
      <c r="A490" s="19">
        <v>46073.0</v>
      </c>
      <c r="B490" s="20" t="s">
        <v>19</v>
      </c>
      <c r="C490" s="20">
        <v>52.0</v>
      </c>
      <c r="D490" s="21"/>
      <c r="E490" s="11">
        <f>IF(J490="","", C490 * IFERROR(VLOOKUP(J490, SETUP!$A:$D, 3, FALSE), 0))</f>
        <v>0</v>
      </c>
      <c r="F490" s="11">
        <f>IF(J490="","", C490 * IFERROR(VLOOKUP(J490, SETUP!$A:$D, 4, FALSE), 0))</f>
        <v>52</v>
      </c>
      <c r="G490" s="11">
        <f t="shared" si="1"/>
        <v>52</v>
      </c>
      <c r="H490" s="22"/>
      <c r="I490" s="11"/>
      <c r="J490" s="17" t="str">
        <f>IF(TRIM(B490)="","",IF(ISNUMBER(SEARCH(" - ",B490)),TRIM(RIGHT(B490,LEN(B490)-FIND(" - ",B490)-2)),IFERROR(VLOOKUP(UPPER(TRIM(B490)), SETUP!$B$4:$C$11, 2, FALSE), UPPER(TRIM(B490)))))</f>
        <v>HANNI</v>
      </c>
      <c r="K490" s="23">
        <f t="shared" si="2"/>
        <v>46069</v>
      </c>
      <c r="L490" s="17">
        <f t="shared" si="3"/>
        <v>46073</v>
      </c>
      <c r="M490" s="17" t="str">
        <f t="shared" si="4"/>
        <v>2026-02</v>
      </c>
    </row>
    <row r="491" ht="15.75" customHeight="1">
      <c r="A491" s="19">
        <v>46073.0</v>
      </c>
      <c r="B491" s="20" t="s">
        <v>19</v>
      </c>
      <c r="C491" s="20">
        <v>65.0</v>
      </c>
      <c r="D491" s="21"/>
      <c r="E491" s="11">
        <f>IF(J491="","", C491 * IFERROR(VLOOKUP(J491, SETUP!$A:$D, 3, FALSE), 0))</f>
        <v>0</v>
      </c>
      <c r="F491" s="11">
        <f>IF(J491="","", C491 * IFERROR(VLOOKUP(J491, SETUP!$A:$D, 4, FALSE), 0))</f>
        <v>65</v>
      </c>
      <c r="G491" s="11">
        <f t="shared" si="1"/>
        <v>65</v>
      </c>
      <c r="H491" s="22"/>
      <c r="I491" s="11"/>
      <c r="J491" s="17" t="str">
        <f>IF(TRIM(B491)="","",IF(ISNUMBER(SEARCH(" - ",B491)),TRIM(RIGHT(B491,LEN(B491)-FIND(" - ",B491)-2)),IFERROR(VLOOKUP(UPPER(TRIM(B491)), SETUP!$B$4:$C$11, 2, FALSE), UPPER(TRIM(B491)))))</f>
        <v>HANNI</v>
      </c>
      <c r="K491" s="23">
        <f t="shared" si="2"/>
        <v>46069</v>
      </c>
      <c r="L491" s="17">
        <f t="shared" si="3"/>
        <v>46073</v>
      </c>
      <c r="M491" s="17" t="str">
        <f t="shared" si="4"/>
        <v>2026-02</v>
      </c>
    </row>
    <row r="492" ht="15.75" customHeight="1">
      <c r="A492" s="19">
        <v>46073.0</v>
      </c>
      <c r="B492" s="20" t="s">
        <v>20</v>
      </c>
      <c r="C492" s="20">
        <v>47.0</v>
      </c>
      <c r="D492" s="21"/>
      <c r="E492" s="11">
        <f>IF(J492="","", C492 * IFERROR(VLOOKUP(J492, SETUP!$A:$D, 3, FALSE), 0))</f>
        <v>28.2</v>
      </c>
      <c r="F492" s="11">
        <f>IF(J492="","", C492 * IFERROR(VLOOKUP(J492, SETUP!$A:$D, 4, FALSE), 0))</f>
        <v>18.8</v>
      </c>
      <c r="G492" s="11">
        <f t="shared" si="1"/>
        <v>18.8</v>
      </c>
      <c r="H492" s="22"/>
      <c r="I492" s="11"/>
      <c r="J492" s="17" t="str">
        <f>IF(TRIM(B492)="","",IF(ISNUMBER(SEARCH(" - ",B492)),TRIM(RIGHT(B492,LEN(B492)-FIND(" - ",B492)-2)),IFERROR(VLOOKUP(UPPER(TRIM(B492)), SETUP!$B$4:$C$11, 2, FALSE), UPPER(TRIM(B492)))))</f>
        <v>AMY</v>
      </c>
      <c r="K492" s="23">
        <f t="shared" si="2"/>
        <v>46069</v>
      </c>
      <c r="L492" s="17">
        <f t="shared" si="3"/>
        <v>46073</v>
      </c>
      <c r="M492" s="17" t="str">
        <f t="shared" si="4"/>
        <v>2026-02</v>
      </c>
    </row>
    <row r="493" ht="15.75" customHeight="1">
      <c r="A493" s="19">
        <v>46073.0</v>
      </c>
      <c r="B493" s="20" t="s">
        <v>20</v>
      </c>
      <c r="C493" s="20">
        <v>120.0</v>
      </c>
      <c r="D493" s="21"/>
      <c r="E493" s="11">
        <f>IF(J493="","", C493 * IFERROR(VLOOKUP(J493, SETUP!$A:$D, 3, FALSE), 0))</f>
        <v>72</v>
      </c>
      <c r="F493" s="11">
        <f>IF(J493="","", C493 * IFERROR(VLOOKUP(J493, SETUP!$A:$D, 4, FALSE), 0))</f>
        <v>48</v>
      </c>
      <c r="G493" s="11">
        <f t="shared" si="1"/>
        <v>48</v>
      </c>
      <c r="H493" s="22"/>
      <c r="I493" s="11"/>
      <c r="J493" s="17" t="str">
        <f>IF(TRIM(B493)="","",IF(ISNUMBER(SEARCH(" - ",B493)),TRIM(RIGHT(B493,LEN(B493)-FIND(" - ",B493)-2)),IFERROR(VLOOKUP(UPPER(TRIM(B493)), SETUP!$B$4:$C$11, 2, FALSE), UPPER(TRIM(B493)))))</f>
        <v>AMY</v>
      </c>
      <c r="K493" s="23">
        <f t="shared" si="2"/>
        <v>46069</v>
      </c>
      <c r="L493" s="17">
        <f t="shared" si="3"/>
        <v>46073</v>
      </c>
      <c r="M493" s="17" t="str">
        <f t="shared" si="4"/>
        <v>2026-02</v>
      </c>
    </row>
    <row r="494" ht="15.75" customHeight="1">
      <c r="A494" s="19">
        <v>46073.0</v>
      </c>
      <c r="B494" s="20" t="s">
        <v>20</v>
      </c>
      <c r="C494" s="20">
        <v>67.0</v>
      </c>
      <c r="D494" s="21"/>
      <c r="E494" s="11">
        <f>IF(J494="","", C494 * IFERROR(VLOOKUP(J494, SETUP!$A:$D, 3, FALSE), 0))</f>
        <v>40.2</v>
      </c>
      <c r="F494" s="11">
        <f>IF(J494="","", C494 * IFERROR(VLOOKUP(J494, SETUP!$A:$D, 4, FALSE), 0))</f>
        <v>26.8</v>
      </c>
      <c r="G494" s="11">
        <f t="shared" si="1"/>
        <v>26.8</v>
      </c>
      <c r="H494" s="22"/>
      <c r="I494" s="11"/>
      <c r="J494" s="17" t="str">
        <f>IF(TRIM(B494)="","",IF(ISNUMBER(SEARCH(" - ",B494)),TRIM(RIGHT(B494,LEN(B494)-FIND(" - ",B494)-2)),IFERROR(VLOOKUP(UPPER(TRIM(B494)), SETUP!$B$4:$C$11, 2, FALSE), UPPER(TRIM(B494)))))</f>
        <v>AMY</v>
      </c>
      <c r="K494" s="23">
        <f t="shared" si="2"/>
        <v>46069</v>
      </c>
      <c r="L494" s="17">
        <f t="shared" si="3"/>
        <v>46073</v>
      </c>
      <c r="M494" s="17" t="str">
        <f t="shared" si="4"/>
        <v>2026-02</v>
      </c>
    </row>
    <row r="495" ht="15.75" customHeight="1">
      <c r="A495" s="19">
        <v>46073.0</v>
      </c>
      <c r="B495" s="20" t="s">
        <v>20</v>
      </c>
      <c r="C495" s="20">
        <v>65.0</v>
      </c>
      <c r="D495" s="21"/>
      <c r="E495" s="11">
        <f>IF(J495="","", C495 * IFERROR(VLOOKUP(J495, SETUP!$A:$D, 3, FALSE), 0))</f>
        <v>39</v>
      </c>
      <c r="F495" s="11">
        <f>IF(J495="","", C495 * IFERROR(VLOOKUP(J495, SETUP!$A:$D, 4, FALSE), 0))</f>
        <v>26</v>
      </c>
      <c r="G495" s="11">
        <f t="shared" si="1"/>
        <v>26</v>
      </c>
      <c r="H495" s="22"/>
      <c r="I495" s="11"/>
      <c r="J495" s="17" t="str">
        <f>IF(TRIM(B495)="","",IF(ISNUMBER(SEARCH(" - ",B495)),TRIM(RIGHT(B495,LEN(B495)-FIND(" - ",B495)-2)),IFERROR(VLOOKUP(UPPER(TRIM(B495)), SETUP!$B$4:$C$11, 2, FALSE), UPPER(TRIM(B495)))))</f>
        <v>AMY</v>
      </c>
      <c r="K495" s="23">
        <f t="shared" si="2"/>
        <v>46069</v>
      </c>
      <c r="L495" s="17">
        <f t="shared" si="3"/>
        <v>46073</v>
      </c>
      <c r="M495" s="17" t="str">
        <f t="shared" si="4"/>
        <v>2026-02</v>
      </c>
    </row>
    <row r="496" ht="15.75" customHeight="1">
      <c r="A496" s="19">
        <v>46073.0</v>
      </c>
      <c r="B496" s="20" t="s">
        <v>20</v>
      </c>
      <c r="C496" s="20">
        <v>65.0</v>
      </c>
      <c r="D496" s="21"/>
      <c r="E496" s="11">
        <f>IF(J496="","", C496 * IFERROR(VLOOKUP(J496, SETUP!$A:$D, 3, FALSE), 0))</f>
        <v>39</v>
      </c>
      <c r="F496" s="11">
        <f>IF(J496="","", C496 * IFERROR(VLOOKUP(J496, SETUP!$A:$D, 4, FALSE), 0))</f>
        <v>26</v>
      </c>
      <c r="G496" s="11">
        <f t="shared" si="1"/>
        <v>26</v>
      </c>
      <c r="H496" s="22"/>
      <c r="I496" s="11"/>
      <c r="J496" s="17" t="str">
        <f>IF(TRIM(B496)="","",IF(ISNUMBER(SEARCH(" - ",B496)),TRIM(RIGHT(B496,LEN(B496)-FIND(" - ",B496)-2)),IFERROR(VLOOKUP(UPPER(TRIM(B496)), SETUP!$B$4:$C$11, 2, FALSE), UPPER(TRIM(B496)))))</f>
        <v>AMY</v>
      </c>
      <c r="K496" s="23">
        <f t="shared" si="2"/>
        <v>46069</v>
      </c>
      <c r="L496" s="17">
        <f t="shared" si="3"/>
        <v>46073</v>
      </c>
      <c r="M496" s="17" t="str">
        <f t="shared" si="4"/>
        <v>2026-02</v>
      </c>
    </row>
    <row r="497" ht="15.75" customHeight="1">
      <c r="A497" s="19">
        <v>46073.0</v>
      </c>
      <c r="B497" s="20" t="s">
        <v>20</v>
      </c>
      <c r="C497" s="20">
        <v>95.0</v>
      </c>
      <c r="D497" s="21"/>
      <c r="E497" s="11">
        <f>IF(J497="","", C497 * IFERROR(VLOOKUP(J497, SETUP!$A:$D, 3, FALSE), 0))</f>
        <v>57</v>
      </c>
      <c r="F497" s="11">
        <f>IF(J497="","", C497 * IFERROR(VLOOKUP(J497, SETUP!$A:$D, 4, FALSE), 0))</f>
        <v>38</v>
      </c>
      <c r="G497" s="11">
        <f t="shared" si="1"/>
        <v>38</v>
      </c>
      <c r="H497" s="22"/>
      <c r="I497" s="11"/>
      <c r="J497" s="17" t="str">
        <f>IF(TRIM(B497)="","",IF(ISNUMBER(SEARCH(" - ",B497)),TRIM(RIGHT(B497,LEN(B497)-FIND(" - ",B497)-2)),IFERROR(VLOOKUP(UPPER(TRIM(B497)), SETUP!$B$4:$C$11, 2, FALSE), UPPER(TRIM(B497)))))</f>
        <v>AMY</v>
      </c>
      <c r="K497" s="23">
        <f t="shared" si="2"/>
        <v>46069</v>
      </c>
      <c r="L497" s="17">
        <f t="shared" si="3"/>
        <v>46073</v>
      </c>
      <c r="M497" s="17" t="str">
        <f t="shared" si="4"/>
        <v>2026-02</v>
      </c>
    </row>
    <row r="498" ht="15.75" customHeight="1">
      <c r="A498" s="19">
        <v>46073.0</v>
      </c>
      <c r="B498" s="20" t="s">
        <v>20</v>
      </c>
      <c r="C498" s="20">
        <v>82.0</v>
      </c>
      <c r="D498" s="21"/>
      <c r="E498" s="11">
        <f>IF(J498="","", C498 * IFERROR(VLOOKUP(J498, SETUP!$A:$D, 3, FALSE), 0))</f>
        <v>49.2</v>
      </c>
      <c r="F498" s="11">
        <f>IF(J498="","", C498 * IFERROR(VLOOKUP(J498, SETUP!$A:$D, 4, FALSE), 0))</f>
        <v>32.8</v>
      </c>
      <c r="G498" s="11">
        <f t="shared" si="1"/>
        <v>32.8</v>
      </c>
      <c r="H498" s="22"/>
      <c r="I498" s="11"/>
      <c r="J498" s="17" t="str">
        <f>IF(TRIM(B498)="","",IF(ISNUMBER(SEARCH(" - ",B498)),TRIM(RIGHT(B498,LEN(B498)-FIND(" - ",B498)-2)),IFERROR(VLOOKUP(UPPER(TRIM(B498)), SETUP!$B$4:$C$11, 2, FALSE), UPPER(TRIM(B498)))))</f>
        <v>AMY</v>
      </c>
      <c r="K498" s="23">
        <f t="shared" si="2"/>
        <v>46069</v>
      </c>
      <c r="L498" s="17">
        <f t="shared" si="3"/>
        <v>46073</v>
      </c>
      <c r="M498" s="17" t="str">
        <f t="shared" si="4"/>
        <v>2026-02</v>
      </c>
    </row>
    <row r="499" ht="15.75" customHeight="1">
      <c r="A499" s="19">
        <v>46073.0</v>
      </c>
      <c r="B499" s="20" t="s">
        <v>20</v>
      </c>
      <c r="C499" s="20">
        <v>67.0</v>
      </c>
      <c r="D499" s="21"/>
      <c r="E499" s="11">
        <f>IF(J499="","", C499 * IFERROR(VLOOKUP(J499, SETUP!$A:$D, 3, FALSE), 0))</f>
        <v>40.2</v>
      </c>
      <c r="F499" s="11">
        <f>IF(J499="","", C499 * IFERROR(VLOOKUP(J499, SETUP!$A:$D, 4, FALSE), 0))</f>
        <v>26.8</v>
      </c>
      <c r="G499" s="11">
        <f t="shared" si="1"/>
        <v>26.8</v>
      </c>
      <c r="H499" s="22"/>
      <c r="I499" s="11"/>
      <c r="J499" s="17" t="str">
        <f>IF(TRIM(B499)="","",IF(ISNUMBER(SEARCH(" - ",B499)),TRIM(RIGHT(B499,LEN(B499)-FIND(" - ",B499)-2)),IFERROR(VLOOKUP(UPPER(TRIM(B499)), SETUP!$B$4:$C$11, 2, FALSE), UPPER(TRIM(B499)))))</f>
        <v>AMY</v>
      </c>
      <c r="K499" s="23">
        <f t="shared" si="2"/>
        <v>46069</v>
      </c>
      <c r="L499" s="17">
        <f t="shared" si="3"/>
        <v>46073</v>
      </c>
      <c r="M499" s="17" t="str">
        <f t="shared" si="4"/>
        <v>2026-02</v>
      </c>
    </row>
    <row r="500" ht="15.75" customHeight="1">
      <c r="A500" s="19">
        <v>46073.0</v>
      </c>
      <c r="B500" s="20" t="s">
        <v>20</v>
      </c>
      <c r="C500" s="20">
        <v>67.0</v>
      </c>
      <c r="D500" s="21"/>
      <c r="E500" s="11">
        <f>IF(J500="","", C500 * IFERROR(VLOOKUP(J500, SETUP!$A:$D, 3, FALSE), 0))</f>
        <v>40.2</v>
      </c>
      <c r="F500" s="11">
        <f>IF(J500="","", C500 * IFERROR(VLOOKUP(J500, SETUP!$A:$D, 4, FALSE), 0))</f>
        <v>26.8</v>
      </c>
      <c r="G500" s="11">
        <f t="shared" si="1"/>
        <v>26.8</v>
      </c>
      <c r="H500" s="22"/>
      <c r="I500" s="11"/>
      <c r="J500" s="17" t="str">
        <f>IF(TRIM(B500)="","",IF(ISNUMBER(SEARCH(" - ",B500)),TRIM(RIGHT(B500,LEN(B500)-FIND(" - ",B500)-2)),IFERROR(VLOOKUP(UPPER(TRIM(B500)), SETUP!$B$4:$C$11, 2, FALSE), UPPER(TRIM(B500)))))</f>
        <v>AMY</v>
      </c>
      <c r="K500" s="23">
        <f t="shared" si="2"/>
        <v>46069</v>
      </c>
      <c r="L500" s="17">
        <f t="shared" si="3"/>
        <v>46073</v>
      </c>
      <c r="M500" s="17" t="str">
        <f t="shared" si="4"/>
        <v>2026-02</v>
      </c>
    </row>
    <row r="501" ht="15.75" customHeight="1">
      <c r="A501" s="19">
        <v>46073.0</v>
      </c>
      <c r="B501" s="20" t="s">
        <v>21</v>
      </c>
      <c r="C501" s="20">
        <v>77.0</v>
      </c>
      <c r="D501" s="21"/>
      <c r="E501" s="11">
        <f>IF(J501="","", C501 * IFERROR(VLOOKUP(J501, SETUP!$A:$D, 3, FALSE), 0))</f>
        <v>46.2</v>
      </c>
      <c r="F501" s="11">
        <f>IF(J501="","", C501 * IFERROR(VLOOKUP(J501, SETUP!$A:$D, 4, FALSE), 0))</f>
        <v>30.8</v>
      </c>
      <c r="G501" s="11">
        <f t="shared" si="1"/>
        <v>30.8</v>
      </c>
      <c r="H501" s="22"/>
      <c r="I501" s="11"/>
      <c r="J501" s="17" t="str">
        <f>IF(TRIM(B501)="","",IF(ISNUMBER(SEARCH(" - ",B501)),TRIM(RIGHT(B501,LEN(B501)-FIND(" - ",B501)-2)),IFERROR(VLOOKUP(UPPER(TRIM(B501)), SETUP!$B$4:$C$11, 2, FALSE), UPPER(TRIM(B501)))))</f>
        <v>TONY</v>
      </c>
      <c r="K501" s="23">
        <f t="shared" si="2"/>
        <v>46069</v>
      </c>
      <c r="L501" s="17">
        <f t="shared" si="3"/>
        <v>46073</v>
      </c>
      <c r="M501" s="17" t="str">
        <f t="shared" si="4"/>
        <v>2026-02</v>
      </c>
    </row>
    <row r="502" ht="15.75" customHeight="1">
      <c r="A502" s="19">
        <v>46073.0</v>
      </c>
      <c r="B502" s="20" t="s">
        <v>21</v>
      </c>
      <c r="C502" s="20">
        <v>47.0</v>
      </c>
      <c r="D502" s="21"/>
      <c r="E502" s="11">
        <f>IF(J502="","", C502 * IFERROR(VLOOKUP(J502, SETUP!$A:$D, 3, FALSE), 0))</f>
        <v>28.2</v>
      </c>
      <c r="F502" s="11">
        <f>IF(J502="","", C502 * IFERROR(VLOOKUP(J502, SETUP!$A:$D, 4, FALSE), 0))</f>
        <v>18.8</v>
      </c>
      <c r="G502" s="11">
        <f t="shared" si="1"/>
        <v>18.8</v>
      </c>
      <c r="H502" s="22"/>
      <c r="I502" s="11"/>
      <c r="J502" s="17" t="str">
        <f>IF(TRIM(B502)="","",IF(ISNUMBER(SEARCH(" - ",B502)),TRIM(RIGHT(B502,LEN(B502)-FIND(" - ",B502)-2)),IFERROR(VLOOKUP(UPPER(TRIM(B502)), SETUP!$B$4:$C$11, 2, FALSE), UPPER(TRIM(B502)))))</f>
        <v>TONY</v>
      </c>
      <c r="K502" s="23">
        <f t="shared" si="2"/>
        <v>46069</v>
      </c>
      <c r="L502" s="17">
        <f t="shared" si="3"/>
        <v>46073</v>
      </c>
      <c r="M502" s="17" t="str">
        <f t="shared" si="4"/>
        <v>2026-02</v>
      </c>
    </row>
    <row r="503" ht="15.75" customHeight="1">
      <c r="A503" s="19">
        <v>46073.0</v>
      </c>
      <c r="B503" s="20" t="s">
        <v>21</v>
      </c>
      <c r="C503" s="20">
        <v>112.0</v>
      </c>
      <c r="D503" s="21"/>
      <c r="E503" s="11">
        <f>IF(J503="","", C503 * IFERROR(VLOOKUP(J503, SETUP!$A:$D, 3, FALSE), 0))</f>
        <v>67.2</v>
      </c>
      <c r="F503" s="11">
        <f>IF(J503="","", C503 * IFERROR(VLOOKUP(J503, SETUP!$A:$D, 4, FALSE), 0))</f>
        <v>44.8</v>
      </c>
      <c r="G503" s="11">
        <f t="shared" si="1"/>
        <v>44.8</v>
      </c>
      <c r="H503" s="22"/>
      <c r="I503" s="11"/>
      <c r="J503" s="17" t="str">
        <f>IF(TRIM(B503)="","",IF(ISNUMBER(SEARCH(" - ",B503)),TRIM(RIGHT(B503,LEN(B503)-FIND(" - ",B503)-2)),IFERROR(VLOOKUP(UPPER(TRIM(B503)), SETUP!$B$4:$C$11, 2, FALSE), UPPER(TRIM(B503)))))</f>
        <v>TONY</v>
      </c>
      <c r="K503" s="23">
        <f t="shared" si="2"/>
        <v>46069</v>
      </c>
      <c r="L503" s="17">
        <f t="shared" si="3"/>
        <v>46073</v>
      </c>
      <c r="M503" s="17" t="str">
        <f t="shared" si="4"/>
        <v>2026-02</v>
      </c>
    </row>
    <row r="504" ht="15.75" customHeight="1">
      <c r="A504" s="19">
        <v>46073.0</v>
      </c>
      <c r="B504" s="20" t="s">
        <v>21</v>
      </c>
      <c r="C504" s="20">
        <v>62.0</v>
      </c>
      <c r="D504" s="21"/>
      <c r="E504" s="11">
        <f>IF(J504="","", C504 * IFERROR(VLOOKUP(J504, SETUP!$A:$D, 3, FALSE), 0))</f>
        <v>37.2</v>
      </c>
      <c r="F504" s="11">
        <f>IF(J504="","", C504 * IFERROR(VLOOKUP(J504, SETUP!$A:$D, 4, FALSE), 0))</f>
        <v>24.8</v>
      </c>
      <c r="G504" s="11">
        <f t="shared" si="1"/>
        <v>24.8</v>
      </c>
      <c r="H504" s="22"/>
      <c r="I504" s="11"/>
      <c r="J504" s="17" t="str">
        <f>IF(TRIM(B504)="","",IF(ISNUMBER(SEARCH(" - ",B504)),TRIM(RIGHT(B504,LEN(B504)-FIND(" - ",B504)-2)),IFERROR(VLOOKUP(UPPER(TRIM(B504)), SETUP!$B$4:$C$11, 2, FALSE), UPPER(TRIM(B504)))))</f>
        <v>TONY</v>
      </c>
      <c r="K504" s="23">
        <f t="shared" si="2"/>
        <v>46069</v>
      </c>
      <c r="L504" s="17">
        <f t="shared" si="3"/>
        <v>46073</v>
      </c>
      <c r="M504" s="17" t="str">
        <f t="shared" si="4"/>
        <v>2026-02</v>
      </c>
    </row>
    <row r="505" ht="15.75" customHeight="1">
      <c r="A505" s="19">
        <v>46073.0</v>
      </c>
      <c r="B505" s="20" t="s">
        <v>21</v>
      </c>
      <c r="C505" s="20">
        <v>77.0</v>
      </c>
      <c r="D505" s="21"/>
      <c r="E505" s="11">
        <f>IF(J505="","", C505 * IFERROR(VLOOKUP(J505, SETUP!$A:$D, 3, FALSE), 0))</f>
        <v>46.2</v>
      </c>
      <c r="F505" s="11">
        <f>IF(J505="","", C505 * IFERROR(VLOOKUP(J505, SETUP!$A:$D, 4, FALSE), 0))</f>
        <v>30.8</v>
      </c>
      <c r="G505" s="11">
        <f t="shared" si="1"/>
        <v>30.8</v>
      </c>
      <c r="H505" s="22"/>
      <c r="I505" s="11"/>
      <c r="J505" s="17" t="str">
        <f>IF(TRIM(B505)="","",IF(ISNUMBER(SEARCH(" - ",B505)),TRIM(RIGHT(B505,LEN(B505)-FIND(" - ",B505)-2)),IFERROR(VLOOKUP(UPPER(TRIM(B505)), SETUP!$B$4:$C$11, 2, FALSE), UPPER(TRIM(B505)))))</f>
        <v>TONY</v>
      </c>
      <c r="K505" s="23">
        <f t="shared" si="2"/>
        <v>46069</v>
      </c>
      <c r="L505" s="17">
        <f t="shared" si="3"/>
        <v>46073</v>
      </c>
      <c r="M505" s="17" t="str">
        <f t="shared" si="4"/>
        <v>2026-02</v>
      </c>
    </row>
    <row r="506" ht="15.75" customHeight="1">
      <c r="A506" s="19">
        <v>46073.0</v>
      </c>
      <c r="B506" s="20" t="s">
        <v>21</v>
      </c>
      <c r="C506" s="20">
        <v>67.0</v>
      </c>
      <c r="D506" s="21"/>
      <c r="E506" s="11">
        <f>IF(J506="","", C506 * IFERROR(VLOOKUP(J506, SETUP!$A:$D, 3, FALSE), 0))</f>
        <v>40.2</v>
      </c>
      <c r="F506" s="11">
        <f>IF(J506="","", C506 * IFERROR(VLOOKUP(J506, SETUP!$A:$D, 4, FALSE), 0))</f>
        <v>26.8</v>
      </c>
      <c r="G506" s="11">
        <f t="shared" si="1"/>
        <v>26.8</v>
      </c>
      <c r="H506" s="22"/>
      <c r="I506" s="11"/>
      <c r="J506" s="17" t="str">
        <f>IF(TRIM(B506)="","",IF(ISNUMBER(SEARCH(" - ",B506)),TRIM(RIGHT(B506,LEN(B506)-FIND(" - ",B506)-2)),IFERROR(VLOOKUP(UPPER(TRIM(B506)), SETUP!$B$4:$C$11, 2, FALSE), UPPER(TRIM(B506)))))</f>
        <v>TONY</v>
      </c>
      <c r="K506" s="23">
        <f t="shared" si="2"/>
        <v>46069</v>
      </c>
      <c r="L506" s="17">
        <f t="shared" si="3"/>
        <v>46073</v>
      </c>
      <c r="M506" s="17" t="str">
        <f t="shared" si="4"/>
        <v>2026-02</v>
      </c>
    </row>
    <row r="507" ht="15.75" customHeight="1">
      <c r="A507" s="19">
        <v>46073.0</v>
      </c>
      <c r="B507" s="20" t="s">
        <v>21</v>
      </c>
      <c r="C507" s="20">
        <v>65.0</v>
      </c>
      <c r="D507" s="21"/>
      <c r="E507" s="11">
        <f>IF(J507="","", C507 * IFERROR(VLOOKUP(J507, SETUP!$A:$D, 3, FALSE), 0))</f>
        <v>39</v>
      </c>
      <c r="F507" s="11">
        <f>IF(J507="","", C507 * IFERROR(VLOOKUP(J507, SETUP!$A:$D, 4, FALSE), 0))</f>
        <v>26</v>
      </c>
      <c r="G507" s="11">
        <f t="shared" si="1"/>
        <v>26</v>
      </c>
      <c r="H507" s="22"/>
      <c r="I507" s="11"/>
      <c r="J507" s="17" t="str">
        <f>IF(TRIM(B507)="","",IF(ISNUMBER(SEARCH(" - ",B507)),TRIM(RIGHT(B507,LEN(B507)-FIND(" - ",B507)-2)),IFERROR(VLOOKUP(UPPER(TRIM(B507)), SETUP!$B$4:$C$11, 2, FALSE), UPPER(TRIM(B507)))))</f>
        <v>TONY</v>
      </c>
      <c r="K507" s="23">
        <f t="shared" si="2"/>
        <v>46069</v>
      </c>
      <c r="L507" s="17">
        <f t="shared" si="3"/>
        <v>46073</v>
      </c>
      <c r="M507" s="17" t="str">
        <f t="shared" si="4"/>
        <v>2026-02</v>
      </c>
    </row>
    <row r="508" ht="15.75" customHeight="1">
      <c r="A508" s="19">
        <v>46073.0</v>
      </c>
      <c r="B508" s="20" t="s">
        <v>21</v>
      </c>
      <c r="C508" s="20">
        <v>47.0</v>
      </c>
      <c r="D508" s="21"/>
      <c r="E508" s="11">
        <f>IF(J508="","", C508 * IFERROR(VLOOKUP(J508, SETUP!$A:$D, 3, FALSE), 0))</f>
        <v>28.2</v>
      </c>
      <c r="F508" s="11">
        <f>IF(J508="","", C508 * IFERROR(VLOOKUP(J508, SETUP!$A:$D, 4, FALSE), 0))</f>
        <v>18.8</v>
      </c>
      <c r="G508" s="11">
        <f t="shared" si="1"/>
        <v>18.8</v>
      </c>
      <c r="H508" s="22"/>
      <c r="I508" s="11"/>
      <c r="J508" s="17" t="str">
        <f>IF(TRIM(B508)="","",IF(ISNUMBER(SEARCH(" - ",B508)),TRIM(RIGHT(B508,LEN(B508)-FIND(" - ",B508)-2)),IFERROR(VLOOKUP(UPPER(TRIM(B508)), SETUP!$B$4:$C$11, 2, FALSE), UPPER(TRIM(B508)))))</f>
        <v>TONY</v>
      </c>
      <c r="K508" s="23">
        <f t="shared" si="2"/>
        <v>46069</v>
      </c>
      <c r="L508" s="17">
        <f t="shared" si="3"/>
        <v>46073</v>
      </c>
      <c r="M508" s="17" t="str">
        <f t="shared" si="4"/>
        <v>2026-02</v>
      </c>
    </row>
    <row r="509" ht="15.75" customHeight="1">
      <c r="A509" s="19">
        <v>46073.0</v>
      </c>
      <c r="B509" s="20" t="s">
        <v>21</v>
      </c>
      <c r="C509" s="20">
        <v>77.0</v>
      </c>
      <c r="D509" s="21"/>
      <c r="E509" s="11">
        <f>IF(J509="","", C509 * IFERROR(VLOOKUP(J509, SETUP!$A:$D, 3, FALSE), 0))</f>
        <v>46.2</v>
      </c>
      <c r="F509" s="11">
        <f>IF(J509="","", C509 * IFERROR(VLOOKUP(J509, SETUP!$A:$D, 4, FALSE), 0))</f>
        <v>30.8</v>
      </c>
      <c r="G509" s="11">
        <f t="shared" si="1"/>
        <v>30.8</v>
      </c>
      <c r="H509" s="22"/>
      <c r="I509" s="11"/>
      <c r="J509" s="17" t="str">
        <f>IF(TRIM(B509)="","",IF(ISNUMBER(SEARCH(" - ",B509)),TRIM(RIGHT(B509,LEN(B509)-FIND(" - ",B509)-2)),IFERROR(VLOOKUP(UPPER(TRIM(B509)), SETUP!$B$4:$C$11, 2, FALSE), UPPER(TRIM(B509)))))</f>
        <v>TONY</v>
      </c>
      <c r="K509" s="23">
        <f t="shared" si="2"/>
        <v>46069</v>
      </c>
      <c r="L509" s="17">
        <f t="shared" si="3"/>
        <v>46073</v>
      </c>
      <c r="M509" s="17" t="str">
        <f t="shared" si="4"/>
        <v>2026-02</v>
      </c>
    </row>
    <row r="510" ht="15.75" customHeight="1">
      <c r="A510" s="19">
        <v>46074.0</v>
      </c>
      <c r="B510" s="20" t="s">
        <v>16</v>
      </c>
      <c r="C510" s="20">
        <v>52.0</v>
      </c>
      <c r="D510" s="21"/>
      <c r="E510" s="11">
        <f>IF(J510="","", C510 * IFERROR(VLOOKUP(J510, SETUP!$A:$D, 3, FALSE), 0))</f>
        <v>0</v>
      </c>
      <c r="F510" s="11">
        <f>IF(J510="","", C510 * IFERROR(VLOOKUP(J510, SETUP!$A:$D, 4, FALSE), 0))</f>
        <v>52</v>
      </c>
      <c r="G510" s="11">
        <f t="shared" si="1"/>
        <v>52</v>
      </c>
      <c r="H510" s="22"/>
      <c r="I510" s="11"/>
      <c r="J510" s="17" t="str">
        <f>IF(TRIM(B510)="","",IF(ISNUMBER(SEARCH(" - ",B510)),TRIM(RIGHT(B510,LEN(B510)-FIND(" - ",B510)-2)),IFERROR(VLOOKUP(UPPER(TRIM(B510)), SETUP!$B$4:$C$11, 2, FALSE), UPPER(TRIM(B510)))))</f>
        <v>KEN</v>
      </c>
      <c r="K510" s="23">
        <f t="shared" si="2"/>
        <v>46069</v>
      </c>
      <c r="L510" s="17">
        <f t="shared" si="3"/>
        <v>46074</v>
      </c>
      <c r="M510" s="17" t="str">
        <f t="shared" si="4"/>
        <v>2026-02</v>
      </c>
    </row>
    <row r="511" ht="15.75" customHeight="1">
      <c r="A511" s="19">
        <v>46074.0</v>
      </c>
      <c r="B511" s="20" t="s">
        <v>16</v>
      </c>
      <c r="C511" s="20">
        <v>45.0</v>
      </c>
      <c r="D511" s="21"/>
      <c r="E511" s="11">
        <f>IF(J511="","", C511 * IFERROR(VLOOKUP(J511, SETUP!$A:$D, 3, FALSE), 0))</f>
        <v>0</v>
      </c>
      <c r="F511" s="11">
        <f>IF(J511="","", C511 * IFERROR(VLOOKUP(J511, SETUP!$A:$D, 4, FALSE), 0))</f>
        <v>45</v>
      </c>
      <c r="G511" s="11">
        <f t="shared" si="1"/>
        <v>45</v>
      </c>
      <c r="H511" s="22"/>
      <c r="I511" s="11"/>
      <c r="J511" s="17" t="str">
        <f>IF(TRIM(B511)="","",IF(ISNUMBER(SEARCH(" - ",B511)),TRIM(RIGHT(B511,LEN(B511)-FIND(" - ",B511)-2)),IFERROR(VLOOKUP(UPPER(TRIM(B511)), SETUP!$B$4:$C$11, 2, FALSE), UPPER(TRIM(B511)))))</f>
        <v>KEN</v>
      </c>
      <c r="K511" s="23">
        <f t="shared" si="2"/>
        <v>46069</v>
      </c>
      <c r="L511" s="17">
        <f t="shared" si="3"/>
        <v>46074</v>
      </c>
      <c r="M511" s="17" t="str">
        <f t="shared" si="4"/>
        <v>2026-02</v>
      </c>
    </row>
    <row r="512" ht="15.75" customHeight="1">
      <c r="A512" s="19">
        <v>46074.0</v>
      </c>
      <c r="B512" s="20" t="s">
        <v>17</v>
      </c>
      <c r="C512" s="20">
        <v>67.0</v>
      </c>
      <c r="D512" s="21"/>
      <c r="E512" s="11">
        <f>IF(J512="","", C512 * IFERROR(VLOOKUP(J512, SETUP!$A:$D, 3, FALSE), 0))</f>
        <v>40.2</v>
      </c>
      <c r="F512" s="11">
        <f>IF(J512="","", C512 * IFERROR(VLOOKUP(J512, SETUP!$A:$D, 4, FALSE), 0))</f>
        <v>26.8</v>
      </c>
      <c r="G512" s="11">
        <f t="shared" si="1"/>
        <v>26.8</v>
      </c>
      <c r="H512" s="22"/>
      <c r="I512" s="11"/>
      <c r="J512" s="17" t="str">
        <f>IF(TRIM(B512)="","",IF(ISNUMBER(SEARCH(" - ",B512)),TRIM(RIGHT(B512,LEN(B512)-FIND(" - ",B512)-2)),IFERROR(VLOOKUP(UPPER(TRIM(B512)), SETUP!$B$4:$C$11, 2, FALSE), UPPER(TRIM(B512)))))</f>
        <v>RYAN</v>
      </c>
      <c r="K512" s="23">
        <f t="shared" si="2"/>
        <v>46069</v>
      </c>
      <c r="L512" s="17">
        <f t="shared" si="3"/>
        <v>46074</v>
      </c>
      <c r="M512" s="17" t="str">
        <f t="shared" si="4"/>
        <v>2026-02</v>
      </c>
    </row>
    <row r="513" ht="15.75" customHeight="1">
      <c r="A513" s="19">
        <v>46074.0</v>
      </c>
      <c r="B513" s="20" t="s">
        <v>17</v>
      </c>
      <c r="C513" s="20">
        <v>40.0</v>
      </c>
      <c r="D513" s="21"/>
      <c r="E513" s="11">
        <f>IF(J513="","", C513 * IFERROR(VLOOKUP(J513, SETUP!$A:$D, 3, FALSE), 0))</f>
        <v>24</v>
      </c>
      <c r="F513" s="11">
        <f>IF(J513="","", C513 * IFERROR(VLOOKUP(J513, SETUP!$A:$D, 4, FALSE), 0))</f>
        <v>16</v>
      </c>
      <c r="G513" s="11">
        <f t="shared" si="1"/>
        <v>16</v>
      </c>
      <c r="H513" s="22"/>
      <c r="I513" s="11"/>
      <c r="J513" s="17" t="str">
        <f>IF(TRIM(B513)="","",IF(ISNUMBER(SEARCH(" - ",B513)),TRIM(RIGHT(B513,LEN(B513)-FIND(" - ",B513)-2)),IFERROR(VLOOKUP(UPPER(TRIM(B513)), SETUP!$B$4:$C$11, 2, FALSE), UPPER(TRIM(B513)))))</f>
        <v>RYAN</v>
      </c>
      <c r="K513" s="23">
        <f t="shared" si="2"/>
        <v>46069</v>
      </c>
      <c r="L513" s="17">
        <f t="shared" si="3"/>
        <v>46074</v>
      </c>
      <c r="M513" s="17" t="str">
        <f t="shared" si="4"/>
        <v>2026-02</v>
      </c>
    </row>
    <row r="514" ht="15.75" customHeight="1">
      <c r="A514" s="19">
        <v>46074.0</v>
      </c>
      <c r="B514" s="20" t="s">
        <v>17</v>
      </c>
      <c r="C514" s="20">
        <v>102.0</v>
      </c>
      <c r="D514" s="21"/>
      <c r="E514" s="11">
        <f>IF(J514="","", C514 * IFERROR(VLOOKUP(J514, SETUP!$A:$D, 3, FALSE), 0))</f>
        <v>61.2</v>
      </c>
      <c r="F514" s="11">
        <f>IF(J514="","", C514 * IFERROR(VLOOKUP(J514, SETUP!$A:$D, 4, FALSE), 0))</f>
        <v>40.8</v>
      </c>
      <c r="G514" s="11">
        <f t="shared" si="1"/>
        <v>40.8</v>
      </c>
      <c r="H514" s="22"/>
      <c r="I514" s="11"/>
      <c r="J514" s="17" t="str">
        <f>IF(TRIM(B514)="","",IF(ISNUMBER(SEARCH(" - ",B514)),TRIM(RIGHT(B514,LEN(B514)-FIND(" - ",B514)-2)),IFERROR(VLOOKUP(UPPER(TRIM(B514)), SETUP!$B$4:$C$11, 2, FALSE), UPPER(TRIM(B514)))))</f>
        <v>RYAN</v>
      </c>
      <c r="K514" s="23">
        <f t="shared" si="2"/>
        <v>46069</v>
      </c>
      <c r="L514" s="17">
        <f t="shared" si="3"/>
        <v>46074</v>
      </c>
      <c r="M514" s="17" t="str">
        <f t="shared" si="4"/>
        <v>2026-02</v>
      </c>
    </row>
    <row r="515" ht="15.75" customHeight="1">
      <c r="A515" s="19">
        <v>46074.0</v>
      </c>
      <c r="B515" s="20" t="s">
        <v>17</v>
      </c>
      <c r="C515" s="20">
        <v>35.0</v>
      </c>
      <c r="D515" s="21"/>
      <c r="E515" s="11">
        <f>IF(J515="","", C515 * IFERROR(VLOOKUP(J515, SETUP!$A:$D, 3, FALSE), 0))</f>
        <v>21</v>
      </c>
      <c r="F515" s="11">
        <f>IF(J515="","", C515 * IFERROR(VLOOKUP(J515, SETUP!$A:$D, 4, FALSE), 0))</f>
        <v>14</v>
      </c>
      <c r="G515" s="11">
        <f t="shared" si="1"/>
        <v>14</v>
      </c>
      <c r="H515" s="22"/>
      <c r="I515" s="11"/>
      <c r="J515" s="17" t="str">
        <f>IF(TRIM(B515)="","",IF(ISNUMBER(SEARCH(" - ",B515)),TRIM(RIGHT(B515,LEN(B515)-FIND(" - ",B515)-2)),IFERROR(VLOOKUP(UPPER(TRIM(B515)), SETUP!$B$4:$C$11, 2, FALSE), UPPER(TRIM(B515)))))</f>
        <v>RYAN</v>
      </c>
      <c r="K515" s="23">
        <f t="shared" si="2"/>
        <v>46069</v>
      </c>
      <c r="L515" s="17">
        <f t="shared" si="3"/>
        <v>46074</v>
      </c>
      <c r="M515" s="17" t="str">
        <f t="shared" si="4"/>
        <v>2026-02</v>
      </c>
    </row>
    <row r="516" ht="15.75" customHeight="1">
      <c r="A516" s="19">
        <v>46074.0</v>
      </c>
      <c r="B516" s="20" t="s">
        <v>17</v>
      </c>
      <c r="C516" s="20">
        <v>82.0</v>
      </c>
      <c r="D516" s="21"/>
      <c r="E516" s="11">
        <f>IF(J516="","", C516 * IFERROR(VLOOKUP(J516, SETUP!$A:$D, 3, FALSE), 0))</f>
        <v>49.2</v>
      </c>
      <c r="F516" s="11">
        <f>IF(J516="","", C516 * IFERROR(VLOOKUP(J516, SETUP!$A:$D, 4, FALSE), 0))</f>
        <v>32.8</v>
      </c>
      <c r="G516" s="11">
        <f t="shared" si="1"/>
        <v>32.8</v>
      </c>
      <c r="H516" s="22"/>
      <c r="I516" s="11"/>
      <c r="J516" s="17" t="str">
        <f>IF(TRIM(B516)="","",IF(ISNUMBER(SEARCH(" - ",B516)),TRIM(RIGHT(B516,LEN(B516)-FIND(" - ",B516)-2)),IFERROR(VLOOKUP(UPPER(TRIM(B516)), SETUP!$B$4:$C$11, 2, FALSE), UPPER(TRIM(B516)))))</f>
        <v>RYAN</v>
      </c>
      <c r="K516" s="23">
        <f t="shared" si="2"/>
        <v>46069</v>
      </c>
      <c r="L516" s="17">
        <f t="shared" si="3"/>
        <v>46074</v>
      </c>
      <c r="M516" s="17" t="str">
        <f t="shared" si="4"/>
        <v>2026-02</v>
      </c>
    </row>
    <row r="517" ht="15.75" customHeight="1">
      <c r="A517" s="19">
        <v>46074.0</v>
      </c>
      <c r="B517" s="20" t="s">
        <v>17</v>
      </c>
      <c r="C517" s="20">
        <v>50.0</v>
      </c>
      <c r="D517" s="21"/>
      <c r="E517" s="11">
        <f>IF(J517="","", C517 * IFERROR(VLOOKUP(J517, SETUP!$A:$D, 3, FALSE), 0))</f>
        <v>30</v>
      </c>
      <c r="F517" s="11">
        <f>IF(J517="","", C517 * IFERROR(VLOOKUP(J517, SETUP!$A:$D, 4, FALSE), 0))</f>
        <v>20</v>
      </c>
      <c r="G517" s="11">
        <f t="shared" si="1"/>
        <v>20</v>
      </c>
      <c r="H517" s="22"/>
      <c r="I517" s="11"/>
      <c r="J517" s="17" t="str">
        <f>IF(TRIM(B517)="","",IF(ISNUMBER(SEARCH(" - ",B517)),TRIM(RIGHT(B517,LEN(B517)-FIND(" - ",B517)-2)),IFERROR(VLOOKUP(UPPER(TRIM(B517)), SETUP!$B$4:$C$11, 2, FALSE), UPPER(TRIM(B517)))))</f>
        <v>RYAN</v>
      </c>
      <c r="K517" s="23">
        <f t="shared" si="2"/>
        <v>46069</v>
      </c>
      <c r="L517" s="17">
        <f t="shared" si="3"/>
        <v>46074</v>
      </c>
      <c r="M517" s="17" t="str">
        <f t="shared" si="4"/>
        <v>2026-02</v>
      </c>
    </row>
    <row r="518" ht="15.75" customHeight="1">
      <c r="A518" s="19">
        <v>46074.0</v>
      </c>
      <c r="B518" s="20" t="s">
        <v>17</v>
      </c>
      <c r="C518" s="20">
        <v>77.0</v>
      </c>
      <c r="D518" s="21"/>
      <c r="E518" s="11">
        <f>IF(J518="","", C518 * IFERROR(VLOOKUP(J518, SETUP!$A:$D, 3, FALSE), 0))</f>
        <v>46.2</v>
      </c>
      <c r="F518" s="11">
        <f>IF(J518="","", C518 * IFERROR(VLOOKUP(J518, SETUP!$A:$D, 4, FALSE), 0))</f>
        <v>30.8</v>
      </c>
      <c r="G518" s="11">
        <f t="shared" si="1"/>
        <v>30.8</v>
      </c>
      <c r="H518" s="22"/>
      <c r="I518" s="11"/>
      <c r="J518" s="17" t="str">
        <f>IF(TRIM(B518)="","",IF(ISNUMBER(SEARCH(" - ",B518)),TRIM(RIGHT(B518,LEN(B518)-FIND(" - ",B518)-2)),IFERROR(VLOOKUP(UPPER(TRIM(B518)), SETUP!$B$4:$C$11, 2, FALSE), UPPER(TRIM(B518)))))</f>
        <v>RYAN</v>
      </c>
      <c r="K518" s="23">
        <f t="shared" si="2"/>
        <v>46069</v>
      </c>
      <c r="L518" s="17">
        <f t="shared" si="3"/>
        <v>46074</v>
      </c>
      <c r="M518" s="17" t="str">
        <f t="shared" si="4"/>
        <v>2026-02</v>
      </c>
    </row>
    <row r="519" ht="15.75" customHeight="1">
      <c r="A519" s="19">
        <v>46074.0</v>
      </c>
      <c r="B519" s="20" t="s">
        <v>17</v>
      </c>
      <c r="C519" s="20">
        <v>70.0</v>
      </c>
      <c r="D519" s="21"/>
      <c r="E519" s="11">
        <f>IF(J519="","", C519 * IFERROR(VLOOKUP(J519, SETUP!$A:$D, 3, FALSE), 0))</f>
        <v>42</v>
      </c>
      <c r="F519" s="11">
        <f>IF(J519="","", C519 * IFERROR(VLOOKUP(J519, SETUP!$A:$D, 4, FALSE), 0))</f>
        <v>28</v>
      </c>
      <c r="G519" s="11">
        <f t="shared" si="1"/>
        <v>28</v>
      </c>
      <c r="H519" s="22"/>
      <c r="I519" s="11"/>
      <c r="J519" s="17" t="str">
        <f>IF(TRIM(B519)="","",IF(ISNUMBER(SEARCH(" - ",B519)),TRIM(RIGHT(B519,LEN(B519)-FIND(" - ",B519)-2)),IFERROR(VLOOKUP(UPPER(TRIM(B519)), SETUP!$B$4:$C$11, 2, FALSE), UPPER(TRIM(B519)))))</f>
        <v>RYAN</v>
      </c>
      <c r="K519" s="23">
        <f t="shared" si="2"/>
        <v>46069</v>
      </c>
      <c r="L519" s="17">
        <f t="shared" si="3"/>
        <v>46074</v>
      </c>
      <c r="M519" s="17" t="str">
        <f t="shared" si="4"/>
        <v>2026-02</v>
      </c>
    </row>
    <row r="520" ht="15.75" customHeight="1">
      <c r="A520" s="19">
        <v>46074.0</v>
      </c>
      <c r="B520" s="20" t="s">
        <v>17</v>
      </c>
      <c r="C520" s="20">
        <v>50.0</v>
      </c>
      <c r="D520" s="21"/>
      <c r="E520" s="11">
        <f>IF(J520="","", C520 * IFERROR(VLOOKUP(J520, SETUP!$A:$D, 3, FALSE), 0))</f>
        <v>30</v>
      </c>
      <c r="F520" s="11">
        <f>IF(J520="","", C520 * IFERROR(VLOOKUP(J520, SETUP!$A:$D, 4, FALSE), 0))</f>
        <v>20</v>
      </c>
      <c r="G520" s="11">
        <f t="shared" si="1"/>
        <v>20</v>
      </c>
      <c r="H520" s="22"/>
      <c r="I520" s="11"/>
      <c r="J520" s="17" t="str">
        <f>IF(TRIM(B520)="","",IF(ISNUMBER(SEARCH(" - ",B520)),TRIM(RIGHT(B520,LEN(B520)-FIND(" - ",B520)-2)),IFERROR(VLOOKUP(UPPER(TRIM(B520)), SETUP!$B$4:$C$11, 2, FALSE), UPPER(TRIM(B520)))))</f>
        <v>RYAN</v>
      </c>
      <c r="K520" s="23">
        <f t="shared" si="2"/>
        <v>46069</v>
      </c>
      <c r="L520" s="17">
        <f t="shared" si="3"/>
        <v>46074</v>
      </c>
      <c r="M520" s="17" t="str">
        <f t="shared" si="4"/>
        <v>2026-02</v>
      </c>
    </row>
    <row r="521" ht="15.75" customHeight="1">
      <c r="A521" s="19">
        <v>46074.0</v>
      </c>
      <c r="B521" s="20" t="s">
        <v>18</v>
      </c>
      <c r="C521" s="20">
        <v>105.0</v>
      </c>
      <c r="D521" s="21"/>
      <c r="E521" s="11">
        <f>IF(J521="","", C521 * IFERROR(VLOOKUP(J521, SETUP!$A:$D, 3, FALSE), 0))</f>
        <v>52.5</v>
      </c>
      <c r="F521" s="11">
        <f>IF(J521="","", C521 * IFERROR(VLOOKUP(J521, SETUP!$A:$D, 4, FALSE), 0))</f>
        <v>52.5</v>
      </c>
      <c r="G521" s="11">
        <f t="shared" si="1"/>
        <v>52.5</v>
      </c>
      <c r="H521" s="22"/>
      <c r="I521" s="11"/>
      <c r="J521" s="17" t="str">
        <f>IF(TRIM(B521)="","",IF(ISNUMBER(SEARCH(" - ",B521)),TRIM(RIGHT(B521,LEN(B521)-FIND(" - ",B521)-2)),IFERROR(VLOOKUP(UPPER(TRIM(B521)), SETUP!$B$4:$C$11, 2, FALSE), UPPER(TRIM(B521)))))</f>
        <v>CRIS</v>
      </c>
      <c r="K521" s="23">
        <f t="shared" si="2"/>
        <v>46069</v>
      </c>
      <c r="L521" s="17">
        <f t="shared" si="3"/>
        <v>46074</v>
      </c>
      <c r="M521" s="17" t="str">
        <f t="shared" si="4"/>
        <v>2026-02</v>
      </c>
    </row>
    <row r="522" ht="15.75" customHeight="1">
      <c r="A522" s="19">
        <v>46074.0</v>
      </c>
      <c r="B522" s="20" t="s">
        <v>18</v>
      </c>
      <c r="C522" s="20">
        <v>50.0</v>
      </c>
      <c r="D522" s="21"/>
      <c r="E522" s="11">
        <f>IF(J522="","", C522 * IFERROR(VLOOKUP(J522, SETUP!$A:$D, 3, FALSE), 0))</f>
        <v>25</v>
      </c>
      <c r="F522" s="11">
        <f>IF(J522="","", C522 * IFERROR(VLOOKUP(J522, SETUP!$A:$D, 4, FALSE), 0))</f>
        <v>25</v>
      </c>
      <c r="G522" s="11">
        <f t="shared" si="1"/>
        <v>25</v>
      </c>
      <c r="H522" s="22"/>
      <c r="I522" s="11"/>
      <c r="J522" s="17" t="str">
        <f>IF(TRIM(B522)="","",IF(ISNUMBER(SEARCH(" - ",B522)),TRIM(RIGHT(B522,LEN(B522)-FIND(" - ",B522)-2)),IFERROR(VLOOKUP(UPPER(TRIM(B522)), SETUP!$B$4:$C$11, 2, FALSE), UPPER(TRIM(B522)))))</f>
        <v>CRIS</v>
      </c>
      <c r="K522" s="23">
        <f t="shared" si="2"/>
        <v>46069</v>
      </c>
      <c r="L522" s="17">
        <f t="shared" si="3"/>
        <v>46074</v>
      </c>
      <c r="M522" s="17" t="str">
        <f t="shared" si="4"/>
        <v>2026-02</v>
      </c>
    </row>
    <row r="523" ht="15.75" customHeight="1">
      <c r="A523" s="19">
        <v>46074.0</v>
      </c>
      <c r="B523" s="20" t="s">
        <v>18</v>
      </c>
      <c r="C523" s="20">
        <v>50.0</v>
      </c>
      <c r="D523" s="21"/>
      <c r="E523" s="11">
        <f>IF(J523="","", C523 * IFERROR(VLOOKUP(J523, SETUP!$A:$D, 3, FALSE), 0))</f>
        <v>25</v>
      </c>
      <c r="F523" s="11">
        <f>IF(J523="","", C523 * IFERROR(VLOOKUP(J523, SETUP!$A:$D, 4, FALSE), 0))</f>
        <v>25</v>
      </c>
      <c r="G523" s="11">
        <f t="shared" si="1"/>
        <v>25</v>
      </c>
      <c r="H523" s="22"/>
      <c r="I523" s="11"/>
      <c r="J523" s="17" t="str">
        <f>IF(TRIM(B523)="","",IF(ISNUMBER(SEARCH(" - ",B523)),TRIM(RIGHT(B523,LEN(B523)-FIND(" - ",B523)-2)),IFERROR(VLOOKUP(UPPER(TRIM(B523)), SETUP!$B$4:$C$11, 2, FALSE), UPPER(TRIM(B523)))))</f>
        <v>CRIS</v>
      </c>
      <c r="K523" s="23">
        <f t="shared" si="2"/>
        <v>46069</v>
      </c>
      <c r="L523" s="17">
        <f t="shared" si="3"/>
        <v>46074</v>
      </c>
      <c r="M523" s="17" t="str">
        <f t="shared" si="4"/>
        <v>2026-02</v>
      </c>
    </row>
    <row r="524" ht="15.75" customHeight="1">
      <c r="A524" s="19">
        <v>46074.0</v>
      </c>
      <c r="B524" s="20" t="s">
        <v>18</v>
      </c>
      <c r="C524" s="20">
        <v>50.0</v>
      </c>
      <c r="D524" s="21"/>
      <c r="E524" s="11">
        <f>IF(J524="","", C524 * IFERROR(VLOOKUP(J524, SETUP!$A:$D, 3, FALSE), 0))</f>
        <v>25</v>
      </c>
      <c r="F524" s="11">
        <f>IF(J524="","", C524 * IFERROR(VLOOKUP(J524, SETUP!$A:$D, 4, FALSE), 0))</f>
        <v>25</v>
      </c>
      <c r="G524" s="11">
        <f t="shared" si="1"/>
        <v>25</v>
      </c>
      <c r="H524" s="22"/>
      <c r="I524" s="11"/>
      <c r="J524" s="17" t="str">
        <f>IF(TRIM(B524)="","",IF(ISNUMBER(SEARCH(" - ",B524)),TRIM(RIGHT(B524,LEN(B524)-FIND(" - ",B524)-2)),IFERROR(VLOOKUP(UPPER(TRIM(B524)), SETUP!$B$4:$C$11, 2, FALSE), UPPER(TRIM(B524)))))</f>
        <v>CRIS</v>
      </c>
      <c r="K524" s="23">
        <f t="shared" si="2"/>
        <v>46069</v>
      </c>
      <c r="L524" s="17">
        <f t="shared" si="3"/>
        <v>46074</v>
      </c>
      <c r="M524" s="17" t="str">
        <f t="shared" si="4"/>
        <v>2026-02</v>
      </c>
    </row>
    <row r="525" ht="15.75" customHeight="1">
      <c r="A525" s="19">
        <v>46074.0</v>
      </c>
      <c r="B525" s="20" t="s">
        <v>18</v>
      </c>
      <c r="C525" s="20">
        <v>50.0</v>
      </c>
      <c r="D525" s="21"/>
      <c r="E525" s="11">
        <f>IF(J525="","", C525 * IFERROR(VLOOKUP(J525, SETUP!$A:$D, 3, FALSE), 0))</f>
        <v>25</v>
      </c>
      <c r="F525" s="11">
        <f>IF(J525="","", C525 * IFERROR(VLOOKUP(J525, SETUP!$A:$D, 4, FALSE), 0))</f>
        <v>25</v>
      </c>
      <c r="G525" s="11">
        <f t="shared" si="1"/>
        <v>25</v>
      </c>
      <c r="H525" s="22"/>
      <c r="I525" s="11"/>
      <c r="J525" s="17" t="str">
        <f>IF(TRIM(B525)="","",IF(ISNUMBER(SEARCH(" - ",B525)),TRIM(RIGHT(B525,LEN(B525)-FIND(" - ",B525)-2)),IFERROR(VLOOKUP(UPPER(TRIM(B525)), SETUP!$B$4:$C$11, 2, FALSE), UPPER(TRIM(B525)))))</f>
        <v>CRIS</v>
      </c>
      <c r="K525" s="23">
        <f t="shared" si="2"/>
        <v>46069</v>
      </c>
      <c r="L525" s="17">
        <f t="shared" si="3"/>
        <v>46074</v>
      </c>
      <c r="M525" s="17" t="str">
        <f t="shared" si="4"/>
        <v>2026-02</v>
      </c>
    </row>
    <row r="526" ht="15.75" customHeight="1">
      <c r="A526" s="19">
        <v>46074.0</v>
      </c>
      <c r="B526" s="20" t="s">
        <v>18</v>
      </c>
      <c r="C526" s="20">
        <v>30.0</v>
      </c>
      <c r="D526" s="21"/>
      <c r="E526" s="11">
        <f>IF(J526="","", C526 * IFERROR(VLOOKUP(J526, SETUP!$A:$D, 3, FALSE), 0))</f>
        <v>15</v>
      </c>
      <c r="F526" s="11">
        <f>IF(J526="","", C526 * IFERROR(VLOOKUP(J526, SETUP!$A:$D, 4, FALSE), 0))</f>
        <v>15</v>
      </c>
      <c r="G526" s="11">
        <f t="shared" si="1"/>
        <v>15</v>
      </c>
      <c r="H526" s="22"/>
      <c r="I526" s="11"/>
      <c r="J526" s="17" t="str">
        <f>IF(TRIM(B526)="","",IF(ISNUMBER(SEARCH(" - ",B526)),TRIM(RIGHT(B526,LEN(B526)-FIND(" - ",B526)-2)),IFERROR(VLOOKUP(UPPER(TRIM(B526)), SETUP!$B$4:$C$11, 2, FALSE), UPPER(TRIM(B526)))))</f>
        <v>CRIS</v>
      </c>
      <c r="K526" s="23">
        <f t="shared" si="2"/>
        <v>46069</v>
      </c>
      <c r="L526" s="17">
        <f t="shared" si="3"/>
        <v>46074</v>
      </c>
      <c r="M526" s="17" t="str">
        <f t="shared" si="4"/>
        <v>2026-02</v>
      </c>
    </row>
    <row r="527" ht="15.75" customHeight="1">
      <c r="A527" s="19">
        <v>46074.0</v>
      </c>
      <c r="B527" s="20" t="s">
        <v>19</v>
      </c>
      <c r="C527" s="20">
        <v>47.0</v>
      </c>
      <c r="D527" s="21"/>
      <c r="E527" s="11">
        <f>IF(J527="","", C527 * IFERROR(VLOOKUP(J527, SETUP!$A:$D, 3, FALSE), 0))</f>
        <v>0</v>
      </c>
      <c r="F527" s="11">
        <f>IF(J527="","", C527 * IFERROR(VLOOKUP(J527, SETUP!$A:$D, 4, FALSE), 0))</f>
        <v>47</v>
      </c>
      <c r="G527" s="11">
        <f t="shared" si="1"/>
        <v>47</v>
      </c>
      <c r="H527" s="22"/>
      <c r="I527" s="11"/>
      <c r="J527" s="17" t="str">
        <f>IF(TRIM(B527)="","",IF(ISNUMBER(SEARCH(" - ",B527)),TRIM(RIGHT(B527,LEN(B527)-FIND(" - ",B527)-2)),IFERROR(VLOOKUP(UPPER(TRIM(B527)), SETUP!$B$4:$C$11, 2, FALSE), UPPER(TRIM(B527)))))</f>
        <v>HANNI</v>
      </c>
      <c r="K527" s="23">
        <f t="shared" si="2"/>
        <v>46069</v>
      </c>
      <c r="L527" s="17">
        <f t="shared" si="3"/>
        <v>46074</v>
      </c>
      <c r="M527" s="17" t="str">
        <f t="shared" si="4"/>
        <v>2026-02</v>
      </c>
    </row>
    <row r="528" ht="15.75" customHeight="1">
      <c r="A528" s="19">
        <v>46074.0</v>
      </c>
      <c r="B528" s="20" t="s">
        <v>20</v>
      </c>
      <c r="C528" s="20">
        <v>57.0</v>
      </c>
      <c r="D528" s="21"/>
      <c r="E528" s="11">
        <f>IF(J528="","", C528 * IFERROR(VLOOKUP(J528, SETUP!$A:$D, 3, FALSE), 0))</f>
        <v>34.2</v>
      </c>
      <c r="F528" s="11">
        <f>IF(J528="","", C528 * IFERROR(VLOOKUP(J528, SETUP!$A:$D, 4, FALSE), 0))</f>
        <v>22.8</v>
      </c>
      <c r="G528" s="11">
        <f t="shared" si="1"/>
        <v>22.8</v>
      </c>
      <c r="H528" s="22"/>
      <c r="I528" s="11"/>
      <c r="J528" s="17" t="str">
        <f>IF(TRIM(B528)="","",IF(ISNUMBER(SEARCH(" - ",B528)),TRIM(RIGHT(B528,LEN(B528)-FIND(" - ",B528)-2)),IFERROR(VLOOKUP(UPPER(TRIM(B528)), SETUP!$B$4:$C$11, 2, FALSE), UPPER(TRIM(B528)))))</f>
        <v>AMY</v>
      </c>
      <c r="K528" s="23">
        <f t="shared" si="2"/>
        <v>46069</v>
      </c>
      <c r="L528" s="17">
        <f t="shared" si="3"/>
        <v>46074</v>
      </c>
      <c r="M528" s="17" t="str">
        <f t="shared" si="4"/>
        <v>2026-02</v>
      </c>
    </row>
    <row r="529" ht="15.75" customHeight="1">
      <c r="A529" s="19">
        <v>46074.0</v>
      </c>
      <c r="B529" s="20" t="s">
        <v>20</v>
      </c>
      <c r="C529" s="20">
        <v>85.0</v>
      </c>
      <c r="D529" s="21"/>
      <c r="E529" s="11">
        <f>IF(J529="","", C529 * IFERROR(VLOOKUP(J529, SETUP!$A:$D, 3, FALSE), 0))</f>
        <v>51</v>
      </c>
      <c r="F529" s="11">
        <f>IF(J529="","", C529 * IFERROR(VLOOKUP(J529, SETUP!$A:$D, 4, FALSE), 0))</f>
        <v>34</v>
      </c>
      <c r="G529" s="11">
        <f t="shared" si="1"/>
        <v>34</v>
      </c>
      <c r="H529" s="22"/>
      <c r="I529" s="11"/>
      <c r="J529" s="17" t="str">
        <f>IF(TRIM(B529)="","",IF(ISNUMBER(SEARCH(" - ",B529)),TRIM(RIGHT(B529,LEN(B529)-FIND(" - ",B529)-2)),IFERROR(VLOOKUP(UPPER(TRIM(B529)), SETUP!$B$4:$C$11, 2, FALSE), UPPER(TRIM(B529)))))</f>
        <v>AMY</v>
      </c>
      <c r="K529" s="23">
        <f t="shared" si="2"/>
        <v>46069</v>
      </c>
      <c r="L529" s="17">
        <f t="shared" si="3"/>
        <v>46074</v>
      </c>
      <c r="M529" s="17" t="str">
        <f t="shared" si="4"/>
        <v>2026-02</v>
      </c>
    </row>
    <row r="530" ht="15.75" customHeight="1">
      <c r="A530" s="19">
        <v>46074.0</v>
      </c>
      <c r="B530" s="20" t="s">
        <v>20</v>
      </c>
      <c r="C530" s="20">
        <v>80.0</v>
      </c>
      <c r="D530" s="21"/>
      <c r="E530" s="11">
        <f>IF(J530="","", C530 * IFERROR(VLOOKUP(J530, SETUP!$A:$D, 3, FALSE), 0))</f>
        <v>48</v>
      </c>
      <c r="F530" s="11">
        <f>IF(J530="","", C530 * IFERROR(VLOOKUP(J530, SETUP!$A:$D, 4, FALSE), 0))</f>
        <v>32</v>
      </c>
      <c r="G530" s="11">
        <f t="shared" si="1"/>
        <v>32</v>
      </c>
      <c r="H530" s="22"/>
      <c r="I530" s="11"/>
      <c r="J530" s="17" t="str">
        <f>IF(TRIM(B530)="","",IF(ISNUMBER(SEARCH(" - ",B530)),TRIM(RIGHT(B530,LEN(B530)-FIND(" - ",B530)-2)),IFERROR(VLOOKUP(UPPER(TRIM(B530)), SETUP!$B$4:$C$11, 2, FALSE), UPPER(TRIM(B530)))))</f>
        <v>AMY</v>
      </c>
      <c r="K530" s="23">
        <f t="shared" si="2"/>
        <v>46069</v>
      </c>
      <c r="L530" s="17">
        <f t="shared" si="3"/>
        <v>46074</v>
      </c>
      <c r="M530" s="17" t="str">
        <f t="shared" si="4"/>
        <v>2026-02</v>
      </c>
    </row>
    <row r="531" ht="15.75" customHeight="1">
      <c r="A531" s="19">
        <v>46074.0</v>
      </c>
      <c r="B531" s="20" t="s">
        <v>20</v>
      </c>
      <c r="C531" s="20">
        <v>100.0</v>
      </c>
      <c r="D531" s="21"/>
      <c r="E531" s="11">
        <f>IF(J531="","", C531 * IFERROR(VLOOKUP(J531, SETUP!$A:$D, 3, FALSE), 0))</f>
        <v>60</v>
      </c>
      <c r="F531" s="11">
        <f>IF(J531="","", C531 * IFERROR(VLOOKUP(J531, SETUP!$A:$D, 4, FALSE), 0))</f>
        <v>40</v>
      </c>
      <c r="G531" s="11">
        <f t="shared" si="1"/>
        <v>40</v>
      </c>
      <c r="H531" s="22"/>
      <c r="I531" s="11"/>
      <c r="J531" s="17" t="str">
        <f>IF(TRIM(B531)="","",IF(ISNUMBER(SEARCH(" - ",B531)),TRIM(RIGHT(B531,LEN(B531)-FIND(" - ",B531)-2)),IFERROR(VLOOKUP(UPPER(TRIM(B531)), SETUP!$B$4:$C$11, 2, FALSE), UPPER(TRIM(B531)))))</f>
        <v>AMY</v>
      </c>
      <c r="K531" s="23">
        <f t="shared" si="2"/>
        <v>46069</v>
      </c>
      <c r="L531" s="17">
        <f t="shared" si="3"/>
        <v>46074</v>
      </c>
      <c r="M531" s="17" t="str">
        <f t="shared" si="4"/>
        <v>2026-02</v>
      </c>
    </row>
    <row r="532" ht="15.75" customHeight="1">
      <c r="A532" s="19">
        <v>46074.0</v>
      </c>
      <c r="B532" s="20" t="s">
        <v>20</v>
      </c>
      <c r="C532" s="20">
        <v>35.0</v>
      </c>
      <c r="D532" s="21"/>
      <c r="E532" s="11">
        <f>IF(J532="","", C532 * IFERROR(VLOOKUP(J532, SETUP!$A:$D, 3, FALSE), 0))</f>
        <v>21</v>
      </c>
      <c r="F532" s="11">
        <f>IF(J532="","", C532 * IFERROR(VLOOKUP(J532, SETUP!$A:$D, 4, FALSE), 0))</f>
        <v>14</v>
      </c>
      <c r="G532" s="11">
        <f t="shared" si="1"/>
        <v>14</v>
      </c>
      <c r="H532" s="22"/>
      <c r="I532" s="11"/>
      <c r="J532" s="17" t="str">
        <f>IF(TRIM(B532)="","",IF(ISNUMBER(SEARCH(" - ",B532)),TRIM(RIGHT(B532,LEN(B532)-FIND(" - ",B532)-2)),IFERROR(VLOOKUP(UPPER(TRIM(B532)), SETUP!$B$4:$C$11, 2, FALSE), UPPER(TRIM(B532)))))</f>
        <v>AMY</v>
      </c>
      <c r="K532" s="23">
        <f t="shared" si="2"/>
        <v>46069</v>
      </c>
      <c r="L532" s="17">
        <f t="shared" si="3"/>
        <v>46074</v>
      </c>
      <c r="M532" s="17" t="str">
        <f t="shared" si="4"/>
        <v>2026-02</v>
      </c>
    </row>
    <row r="533" ht="15.75" customHeight="1">
      <c r="A533" s="19">
        <v>46074.0</v>
      </c>
      <c r="B533" s="20" t="s">
        <v>20</v>
      </c>
      <c r="C533" s="20">
        <v>67.0</v>
      </c>
      <c r="D533" s="21"/>
      <c r="E533" s="11">
        <f>IF(J533="","", C533 * IFERROR(VLOOKUP(J533, SETUP!$A:$D, 3, FALSE), 0))</f>
        <v>40.2</v>
      </c>
      <c r="F533" s="11">
        <f>IF(J533="","", C533 * IFERROR(VLOOKUP(J533, SETUP!$A:$D, 4, FALSE), 0))</f>
        <v>26.8</v>
      </c>
      <c r="G533" s="11">
        <f t="shared" si="1"/>
        <v>26.8</v>
      </c>
      <c r="H533" s="22"/>
      <c r="I533" s="11"/>
      <c r="J533" s="17" t="str">
        <f>IF(TRIM(B533)="","",IF(ISNUMBER(SEARCH(" - ",B533)),TRIM(RIGHT(B533,LEN(B533)-FIND(" - ",B533)-2)),IFERROR(VLOOKUP(UPPER(TRIM(B533)), SETUP!$B$4:$C$11, 2, FALSE), UPPER(TRIM(B533)))))</f>
        <v>AMY</v>
      </c>
      <c r="K533" s="23">
        <f t="shared" si="2"/>
        <v>46069</v>
      </c>
      <c r="L533" s="17">
        <f t="shared" si="3"/>
        <v>46074</v>
      </c>
      <c r="M533" s="17" t="str">
        <f t="shared" si="4"/>
        <v>2026-02</v>
      </c>
    </row>
    <row r="534" ht="15.75" customHeight="1">
      <c r="A534" s="19">
        <v>46074.0</v>
      </c>
      <c r="B534" s="20" t="s">
        <v>20</v>
      </c>
      <c r="C534" s="20">
        <v>82.0</v>
      </c>
      <c r="D534" s="21"/>
      <c r="E534" s="11">
        <f>IF(J534="","", C534 * IFERROR(VLOOKUP(J534, SETUP!$A:$D, 3, FALSE), 0))</f>
        <v>49.2</v>
      </c>
      <c r="F534" s="11">
        <f>IF(J534="","", C534 * IFERROR(VLOOKUP(J534, SETUP!$A:$D, 4, FALSE), 0))</f>
        <v>32.8</v>
      </c>
      <c r="G534" s="11">
        <f t="shared" si="1"/>
        <v>32.8</v>
      </c>
      <c r="H534" s="22"/>
      <c r="I534" s="11"/>
      <c r="J534" s="17" t="str">
        <f>IF(TRIM(B534)="","",IF(ISNUMBER(SEARCH(" - ",B534)),TRIM(RIGHT(B534,LEN(B534)-FIND(" - ",B534)-2)),IFERROR(VLOOKUP(UPPER(TRIM(B534)), SETUP!$B$4:$C$11, 2, FALSE), UPPER(TRIM(B534)))))</f>
        <v>AMY</v>
      </c>
      <c r="K534" s="23">
        <f t="shared" si="2"/>
        <v>46069</v>
      </c>
      <c r="L534" s="17">
        <f t="shared" si="3"/>
        <v>46074</v>
      </c>
      <c r="M534" s="17" t="str">
        <f t="shared" si="4"/>
        <v>2026-02</v>
      </c>
    </row>
    <row r="535" ht="15.75" customHeight="1">
      <c r="A535" s="19">
        <v>46074.0</v>
      </c>
      <c r="B535" s="20" t="s">
        <v>21</v>
      </c>
      <c r="C535" s="20">
        <v>57.0</v>
      </c>
      <c r="D535" s="21"/>
      <c r="E535" s="11">
        <f>IF(J535="","", C535 * IFERROR(VLOOKUP(J535, SETUP!$A:$D, 3, FALSE), 0))</f>
        <v>34.2</v>
      </c>
      <c r="F535" s="11">
        <f>IF(J535="","", C535 * IFERROR(VLOOKUP(J535, SETUP!$A:$D, 4, FALSE), 0))</f>
        <v>22.8</v>
      </c>
      <c r="G535" s="11">
        <f t="shared" si="1"/>
        <v>22.8</v>
      </c>
      <c r="H535" s="22"/>
      <c r="I535" s="11"/>
      <c r="J535" s="17" t="str">
        <f>IF(TRIM(B535)="","",IF(ISNUMBER(SEARCH(" - ",B535)),TRIM(RIGHT(B535,LEN(B535)-FIND(" - ",B535)-2)),IFERROR(VLOOKUP(UPPER(TRIM(B535)), SETUP!$B$4:$C$11, 2, FALSE), UPPER(TRIM(B535)))))</f>
        <v>TONY</v>
      </c>
      <c r="K535" s="23">
        <f t="shared" si="2"/>
        <v>46069</v>
      </c>
      <c r="L535" s="17">
        <f t="shared" si="3"/>
        <v>46074</v>
      </c>
      <c r="M535" s="17" t="str">
        <f t="shared" si="4"/>
        <v>2026-02</v>
      </c>
    </row>
    <row r="536" ht="15.75" customHeight="1">
      <c r="A536" s="19">
        <v>46074.0</v>
      </c>
      <c r="B536" s="20" t="s">
        <v>21</v>
      </c>
      <c r="C536" s="20">
        <v>112.0</v>
      </c>
      <c r="D536" s="21"/>
      <c r="E536" s="11">
        <f>IF(J536="","", C536 * IFERROR(VLOOKUP(J536, SETUP!$A:$D, 3, FALSE), 0))</f>
        <v>67.2</v>
      </c>
      <c r="F536" s="11">
        <f>IF(J536="","", C536 * IFERROR(VLOOKUP(J536, SETUP!$A:$D, 4, FALSE), 0))</f>
        <v>44.8</v>
      </c>
      <c r="G536" s="11">
        <f t="shared" si="1"/>
        <v>44.8</v>
      </c>
      <c r="H536" s="22"/>
      <c r="I536" s="11"/>
      <c r="J536" s="17" t="str">
        <f>IF(TRIM(B536)="","",IF(ISNUMBER(SEARCH(" - ",B536)),TRIM(RIGHT(B536,LEN(B536)-FIND(" - ",B536)-2)),IFERROR(VLOOKUP(UPPER(TRIM(B536)), SETUP!$B$4:$C$11, 2, FALSE), UPPER(TRIM(B536)))))</f>
        <v>TONY</v>
      </c>
      <c r="K536" s="23">
        <f t="shared" si="2"/>
        <v>46069</v>
      </c>
      <c r="L536" s="17">
        <f t="shared" si="3"/>
        <v>46074</v>
      </c>
      <c r="M536" s="17" t="str">
        <f t="shared" si="4"/>
        <v>2026-02</v>
      </c>
    </row>
    <row r="537" ht="15.75" customHeight="1">
      <c r="A537" s="19">
        <v>46074.0</v>
      </c>
      <c r="B537" s="20" t="s">
        <v>21</v>
      </c>
      <c r="C537" s="20">
        <v>47.0</v>
      </c>
      <c r="D537" s="21"/>
      <c r="E537" s="11">
        <f>IF(J537="","", C537 * IFERROR(VLOOKUP(J537, SETUP!$A:$D, 3, FALSE), 0))</f>
        <v>28.2</v>
      </c>
      <c r="F537" s="11">
        <f>IF(J537="","", C537 * IFERROR(VLOOKUP(J537, SETUP!$A:$D, 4, FALSE), 0))</f>
        <v>18.8</v>
      </c>
      <c r="G537" s="11">
        <f t="shared" si="1"/>
        <v>18.8</v>
      </c>
      <c r="H537" s="22"/>
      <c r="I537" s="11"/>
      <c r="J537" s="17" t="str">
        <f>IF(TRIM(B537)="","",IF(ISNUMBER(SEARCH(" - ",B537)),TRIM(RIGHT(B537,LEN(B537)-FIND(" - ",B537)-2)),IFERROR(VLOOKUP(UPPER(TRIM(B537)), SETUP!$B$4:$C$11, 2, FALSE), UPPER(TRIM(B537)))))</f>
        <v>TONY</v>
      </c>
      <c r="K537" s="23">
        <f t="shared" si="2"/>
        <v>46069</v>
      </c>
      <c r="L537" s="17">
        <f t="shared" si="3"/>
        <v>46074</v>
      </c>
      <c r="M537" s="17" t="str">
        <f t="shared" si="4"/>
        <v>2026-02</v>
      </c>
    </row>
    <row r="538" ht="15.75" customHeight="1">
      <c r="A538" s="19">
        <v>46074.0</v>
      </c>
      <c r="B538" s="20" t="s">
        <v>21</v>
      </c>
      <c r="C538" s="20">
        <v>50.0</v>
      </c>
      <c r="D538" s="21"/>
      <c r="E538" s="11">
        <f>IF(J538="","", C538 * IFERROR(VLOOKUP(J538, SETUP!$A:$D, 3, FALSE), 0))</f>
        <v>30</v>
      </c>
      <c r="F538" s="11">
        <f>IF(J538="","", C538 * IFERROR(VLOOKUP(J538, SETUP!$A:$D, 4, FALSE), 0))</f>
        <v>20</v>
      </c>
      <c r="G538" s="11">
        <f t="shared" si="1"/>
        <v>20</v>
      </c>
      <c r="H538" s="22"/>
      <c r="I538" s="11"/>
      <c r="J538" s="17" t="str">
        <f>IF(TRIM(B538)="","",IF(ISNUMBER(SEARCH(" - ",B538)),TRIM(RIGHT(B538,LEN(B538)-FIND(" - ",B538)-2)),IFERROR(VLOOKUP(UPPER(TRIM(B538)), SETUP!$B$4:$C$11, 2, FALSE), UPPER(TRIM(B538)))))</f>
        <v>TONY</v>
      </c>
      <c r="K538" s="23">
        <f t="shared" si="2"/>
        <v>46069</v>
      </c>
      <c r="L538" s="17">
        <f t="shared" si="3"/>
        <v>46074</v>
      </c>
      <c r="M538" s="17" t="str">
        <f t="shared" si="4"/>
        <v>2026-02</v>
      </c>
    </row>
    <row r="539" ht="15.75" customHeight="1">
      <c r="A539" s="19">
        <v>46074.0</v>
      </c>
      <c r="B539" s="20" t="s">
        <v>21</v>
      </c>
      <c r="C539" s="20">
        <v>107.0</v>
      </c>
      <c r="D539" s="21"/>
      <c r="E539" s="11">
        <f>IF(J539="","", C539 * IFERROR(VLOOKUP(J539, SETUP!$A:$D, 3, FALSE), 0))</f>
        <v>64.2</v>
      </c>
      <c r="F539" s="11">
        <f>IF(J539="","", C539 * IFERROR(VLOOKUP(J539, SETUP!$A:$D, 4, FALSE), 0))</f>
        <v>42.8</v>
      </c>
      <c r="G539" s="11">
        <f t="shared" si="1"/>
        <v>42.8</v>
      </c>
      <c r="H539" s="22"/>
      <c r="I539" s="11"/>
      <c r="J539" s="17" t="str">
        <f>IF(TRIM(B539)="","",IF(ISNUMBER(SEARCH(" - ",B539)),TRIM(RIGHT(B539,LEN(B539)-FIND(" - ",B539)-2)),IFERROR(VLOOKUP(UPPER(TRIM(B539)), SETUP!$B$4:$C$11, 2, FALSE), UPPER(TRIM(B539)))))</f>
        <v>TONY</v>
      </c>
      <c r="K539" s="23">
        <f t="shared" si="2"/>
        <v>46069</v>
      </c>
      <c r="L539" s="17">
        <f t="shared" si="3"/>
        <v>46074</v>
      </c>
      <c r="M539" s="17" t="str">
        <f t="shared" si="4"/>
        <v>2026-02</v>
      </c>
    </row>
    <row r="540" ht="15.75" customHeight="1">
      <c r="A540" s="19">
        <v>46074.0</v>
      </c>
      <c r="B540" s="20" t="s">
        <v>21</v>
      </c>
      <c r="C540" s="20">
        <v>57.0</v>
      </c>
      <c r="D540" s="21"/>
      <c r="E540" s="11">
        <f>IF(J540="","", C540 * IFERROR(VLOOKUP(J540, SETUP!$A:$D, 3, FALSE), 0))</f>
        <v>34.2</v>
      </c>
      <c r="F540" s="11">
        <f>IF(J540="","", C540 * IFERROR(VLOOKUP(J540, SETUP!$A:$D, 4, FALSE), 0))</f>
        <v>22.8</v>
      </c>
      <c r="G540" s="11">
        <f t="shared" si="1"/>
        <v>22.8</v>
      </c>
      <c r="H540" s="22"/>
      <c r="I540" s="11"/>
      <c r="J540" s="17" t="str">
        <f>IF(TRIM(B540)="","",IF(ISNUMBER(SEARCH(" - ",B540)),TRIM(RIGHT(B540,LEN(B540)-FIND(" - ",B540)-2)),IFERROR(VLOOKUP(UPPER(TRIM(B540)), SETUP!$B$4:$C$11, 2, FALSE), UPPER(TRIM(B540)))))</f>
        <v>TONY</v>
      </c>
      <c r="K540" s="23">
        <f t="shared" si="2"/>
        <v>46069</v>
      </c>
      <c r="L540" s="17">
        <f t="shared" si="3"/>
        <v>46074</v>
      </c>
      <c r="M540" s="17" t="str">
        <f t="shared" si="4"/>
        <v>2026-02</v>
      </c>
    </row>
    <row r="541" ht="15.75" customHeight="1">
      <c r="A541" s="19">
        <v>46074.0</v>
      </c>
      <c r="B541" s="20" t="s">
        <v>21</v>
      </c>
      <c r="C541" s="20">
        <v>77.0</v>
      </c>
      <c r="D541" s="21"/>
      <c r="E541" s="11">
        <f>IF(J541="","", C541 * IFERROR(VLOOKUP(J541, SETUP!$A:$D, 3, FALSE), 0))</f>
        <v>46.2</v>
      </c>
      <c r="F541" s="11">
        <f>IF(J541="","", C541 * IFERROR(VLOOKUP(J541, SETUP!$A:$D, 4, FALSE), 0))</f>
        <v>30.8</v>
      </c>
      <c r="G541" s="11">
        <f t="shared" si="1"/>
        <v>30.8</v>
      </c>
      <c r="H541" s="22"/>
      <c r="I541" s="11"/>
      <c r="J541" s="17" t="str">
        <f>IF(TRIM(B541)="","",IF(ISNUMBER(SEARCH(" - ",B541)),TRIM(RIGHT(B541,LEN(B541)-FIND(" - ",B541)-2)),IFERROR(VLOOKUP(UPPER(TRIM(B541)), SETUP!$B$4:$C$11, 2, FALSE), UPPER(TRIM(B541)))))</f>
        <v>TONY</v>
      </c>
      <c r="K541" s="23">
        <f t="shared" si="2"/>
        <v>46069</v>
      </c>
      <c r="L541" s="17">
        <f t="shared" si="3"/>
        <v>46074</v>
      </c>
      <c r="M541" s="17" t="str">
        <f t="shared" si="4"/>
        <v>2026-02</v>
      </c>
    </row>
    <row r="542" ht="15.75" customHeight="1">
      <c r="A542" s="19">
        <v>46075.0</v>
      </c>
      <c r="B542" s="20" t="s">
        <v>17</v>
      </c>
      <c r="C542" s="20">
        <v>130.0</v>
      </c>
      <c r="D542" s="21"/>
      <c r="E542" s="11">
        <f>IF(J542="","", C542 * IFERROR(VLOOKUP(J542, SETUP!$A:$D, 3, FALSE), 0))</f>
        <v>78</v>
      </c>
      <c r="F542" s="11">
        <f>IF(J542="","", C542 * IFERROR(VLOOKUP(J542, SETUP!$A:$D, 4, FALSE), 0))</f>
        <v>52</v>
      </c>
      <c r="G542" s="11">
        <f t="shared" si="1"/>
        <v>52</v>
      </c>
      <c r="H542" s="22"/>
      <c r="I542" s="11"/>
      <c r="J542" s="17" t="str">
        <f>IF(TRIM(B542)="","",IF(ISNUMBER(SEARCH(" - ",B542)),TRIM(RIGHT(B542,LEN(B542)-FIND(" - ",B542)-2)),IFERROR(VLOOKUP(UPPER(TRIM(B542)), SETUP!$B$4:$C$11, 2, FALSE), UPPER(TRIM(B542)))))</f>
        <v>RYAN</v>
      </c>
      <c r="K542" s="23">
        <f t="shared" si="2"/>
        <v>46069</v>
      </c>
      <c r="L542" s="17">
        <f t="shared" si="3"/>
        <v>46075</v>
      </c>
      <c r="M542" s="17" t="str">
        <f t="shared" si="4"/>
        <v>2026-02</v>
      </c>
    </row>
    <row r="543" ht="15.75" customHeight="1">
      <c r="A543" s="19">
        <v>46075.0</v>
      </c>
      <c r="B543" s="20" t="s">
        <v>17</v>
      </c>
      <c r="C543" s="20">
        <v>139.0</v>
      </c>
      <c r="D543" s="21"/>
      <c r="E543" s="11">
        <f>IF(J543="","", C543 * IFERROR(VLOOKUP(J543, SETUP!$A:$D, 3, FALSE), 0))</f>
        <v>83.4</v>
      </c>
      <c r="F543" s="11">
        <f>IF(J543="","", C543 * IFERROR(VLOOKUP(J543, SETUP!$A:$D, 4, FALSE), 0))</f>
        <v>55.6</v>
      </c>
      <c r="G543" s="11">
        <f t="shared" si="1"/>
        <v>55.6</v>
      </c>
      <c r="H543" s="22"/>
      <c r="I543" s="11"/>
      <c r="J543" s="17" t="str">
        <f>IF(TRIM(B543)="","",IF(ISNUMBER(SEARCH(" - ",B543)),TRIM(RIGHT(B543,LEN(B543)-FIND(" - ",B543)-2)),IFERROR(VLOOKUP(UPPER(TRIM(B543)), SETUP!$B$4:$C$11, 2, FALSE), UPPER(TRIM(B543)))))</f>
        <v>RYAN</v>
      </c>
      <c r="K543" s="23">
        <f t="shared" si="2"/>
        <v>46069</v>
      </c>
      <c r="L543" s="17">
        <f t="shared" si="3"/>
        <v>46075</v>
      </c>
      <c r="M543" s="17" t="str">
        <f t="shared" si="4"/>
        <v>2026-02</v>
      </c>
    </row>
    <row r="544" ht="15.75" customHeight="1">
      <c r="A544" s="19">
        <v>46075.0</v>
      </c>
      <c r="B544" s="20" t="s">
        <v>17</v>
      </c>
      <c r="C544" s="20">
        <v>50.0</v>
      </c>
      <c r="D544" s="21"/>
      <c r="E544" s="11">
        <f>IF(J544="","", C544 * IFERROR(VLOOKUP(J544, SETUP!$A:$D, 3, FALSE), 0))</f>
        <v>30</v>
      </c>
      <c r="F544" s="11">
        <f>IF(J544="","", C544 * IFERROR(VLOOKUP(J544, SETUP!$A:$D, 4, FALSE), 0))</f>
        <v>20</v>
      </c>
      <c r="G544" s="11">
        <f t="shared" si="1"/>
        <v>20</v>
      </c>
      <c r="H544" s="22"/>
      <c r="I544" s="11"/>
      <c r="J544" s="17" t="str">
        <f>IF(TRIM(B544)="","",IF(ISNUMBER(SEARCH(" - ",B544)),TRIM(RIGHT(B544,LEN(B544)-FIND(" - ",B544)-2)),IFERROR(VLOOKUP(UPPER(TRIM(B544)), SETUP!$B$4:$C$11, 2, FALSE), UPPER(TRIM(B544)))))</f>
        <v>RYAN</v>
      </c>
      <c r="K544" s="23">
        <f t="shared" si="2"/>
        <v>46069</v>
      </c>
      <c r="L544" s="17">
        <f t="shared" si="3"/>
        <v>46075</v>
      </c>
      <c r="M544" s="17" t="str">
        <f t="shared" si="4"/>
        <v>2026-02</v>
      </c>
    </row>
    <row r="545" ht="15.75" customHeight="1">
      <c r="A545" s="19">
        <v>46075.0</v>
      </c>
      <c r="B545" s="20" t="s">
        <v>17</v>
      </c>
      <c r="C545" s="20">
        <v>57.0</v>
      </c>
      <c r="D545" s="21"/>
      <c r="E545" s="11">
        <f>IF(J545="","", C545 * IFERROR(VLOOKUP(J545, SETUP!$A:$D, 3, FALSE), 0))</f>
        <v>34.2</v>
      </c>
      <c r="F545" s="11">
        <f>IF(J545="","", C545 * IFERROR(VLOOKUP(J545, SETUP!$A:$D, 4, FALSE), 0))</f>
        <v>22.8</v>
      </c>
      <c r="G545" s="11">
        <f t="shared" si="1"/>
        <v>22.8</v>
      </c>
      <c r="H545" s="22"/>
      <c r="I545" s="11"/>
      <c r="J545" s="17" t="str">
        <f>IF(TRIM(B545)="","",IF(ISNUMBER(SEARCH(" - ",B545)),TRIM(RIGHT(B545,LEN(B545)-FIND(" - ",B545)-2)),IFERROR(VLOOKUP(UPPER(TRIM(B545)), SETUP!$B$4:$C$11, 2, FALSE), UPPER(TRIM(B545)))))</f>
        <v>RYAN</v>
      </c>
      <c r="K545" s="23">
        <f t="shared" si="2"/>
        <v>46069</v>
      </c>
      <c r="L545" s="17">
        <f t="shared" si="3"/>
        <v>46075</v>
      </c>
      <c r="M545" s="17" t="str">
        <f t="shared" si="4"/>
        <v>2026-02</v>
      </c>
    </row>
    <row r="546" ht="15.75" customHeight="1">
      <c r="A546" s="19">
        <v>46075.0</v>
      </c>
      <c r="B546" s="20" t="s">
        <v>17</v>
      </c>
      <c r="C546" s="20">
        <v>107.0</v>
      </c>
      <c r="D546" s="21"/>
      <c r="E546" s="11">
        <f>IF(J546="","", C546 * IFERROR(VLOOKUP(J546, SETUP!$A:$D, 3, FALSE), 0))</f>
        <v>64.2</v>
      </c>
      <c r="F546" s="11">
        <f>IF(J546="","", C546 * IFERROR(VLOOKUP(J546, SETUP!$A:$D, 4, FALSE), 0))</f>
        <v>42.8</v>
      </c>
      <c r="G546" s="11">
        <f t="shared" si="1"/>
        <v>42.8</v>
      </c>
      <c r="H546" s="22"/>
      <c r="I546" s="11"/>
      <c r="J546" s="17" t="str">
        <f>IF(TRIM(B546)="","",IF(ISNUMBER(SEARCH(" - ",B546)),TRIM(RIGHT(B546,LEN(B546)-FIND(" - ",B546)-2)),IFERROR(VLOOKUP(UPPER(TRIM(B546)), SETUP!$B$4:$C$11, 2, FALSE), UPPER(TRIM(B546)))))</f>
        <v>RYAN</v>
      </c>
      <c r="K546" s="23">
        <f t="shared" si="2"/>
        <v>46069</v>
      </c>
      <c r="L546" s="17">
        <f t="shared" si="3"/>
        <v>46075</v>
      </c>
      <c r="M546" s="17" t="str">
        <f t="shared" si="4"/>
        <v>2026-02</v>
      </c>
    </row>
    <row r="547" ht="15.75" customHeight="1">
      <c r="A547" s="19">
        <v>46075.0</v>
      </c>
      <c r="B547" s="20" t="s">
        <v>18</v>
      </c>
      <c r="C547" s="20">
        <v>65.0</v>
      </c>
      <c r="D547" s="21"/>
      <c r="E547" s="11">
        <f>IF(J547="","", C547 * IFERROR(VLOOKUP(J547, SETUP!$A:$D, 3, FALSE), 0))</f>
        <v>32.5</v>
      </c>
      <c r="F547" s="11">
        <f>IF(J547="","", C547 * IFERROR(VLOOKUP(J547, SETUP!$A:$D, 4, FALSE), 0))</f>
        <v>32.5</v>
      </c>
      <c r="G547" s="11">
        <f t="shared" si="1"/>
        <v>32.5</v>
      </c>
      <c r="H547" s="22"/>
      <c r="I547" s="11"/>
      <c r="J547" s="17" t="str">
        <f>IF(TRIM(B547)="","",IF(ISNUMBER(SEARCH(" - ",B547)),TRIM(RIGHT(B547,LEN(B547)-FIND(" - ",B547)-2)),IFERROR(VLOOKUP(UPPER(TRIM(B547)), SETUP!$B$4:$C$11, 2, FALSE), UPPER(TRIM(B547)))))</f>
        <v>CRIS</v>
      </c>
      <c r="K547" s="23">
        <f t="shared" si="2"/>
        <v>46069</v>
      </c>
      <c r="L547" s="17">
        <f t="shared" si="3"/>
        <v>46075</v>
      </c>
      <c r="M547" s="17" t="str">
        <f t="shared" si="4"/>
        <v>2026-02</v>
      </c>
    </row>
    <row r="548" ht="15.75" customHeight="1">
      <c r="A548" s="19">
        <v>46075.0</v>
      </c>
      <c r="B548" s="20" t="s">
        <v>18</v>
      </c>
      <c r="C548" s="20">
        <v>70.0</v>
      </c>
      <c r="D548" s="21"/>
      <c r="E548" s="11">
        <f>IF(J548="","", C548 * IFERROR(VLOOKUP(J548, SETUP!$A:$D, 3, FALSE), 0))</f>
        <v>35</v>
      </c>
      <c r="F548" s="11">
        <f>IF(J548="","", C548 * IFERROR(VLOOKUP(J548, SETUP!$A:$D, 4, FALSE), 0))</f>
        <v>35</v>
      </c>
      <c r="G548" s="11">
        <f t="shared" si="1"/>
        <v>35</v>
      </c>
      <c r="H548" s="22"/>
      <c r="I548" s="11"/>
      <c r="J548" s="17" t="str">
        <f>IF(TRIM(B548)="","",IF(ISNUMBER(SEARCH(" - ",B548)),TRIM(RIGHT(B548,LEN(B548)-FIND(" - ",B548)-2)),IFERROR(VLOOKUP(UPPER(TRIM(B548)), SETUP!$B$4:$C$11, 2, FALSE), UPPER(TRIM(B548)))))</f>
        <v>CRIS</v>
      </c>
      <c r="K548" s="23">
        <f t="shared" si="2"/>
        <v>46069</v>
      </c>
      <c r="L548" s="17">
        <f t="shared" si="3"/>
        <v>46075</v>
      </c>
      <c r="M548" s="17" t="str">
        <f t="shared" si="4"/>
        <v>2026-02</v>
      </c>
    </row>
    <row r="549" ht="15.75" customHeight="1">
      <c r="A549" s="19">
        <v>46075.0</v>
      </c>
      <c r="B549" s="20" t="s">
        <v>18</v>
      </c>
      <c r="C549" s="20">
        <v>10.0</v>
      </c>
      <c r="D549" s="21"/>
      <c r="E549" s="11">
        <f>IF(J549="","", C549 * IFERROR(VLOOKUP(J549, SETUP!$A:$D, 3, FALSE), 0))</f>
        <v>5</v>
      </c>
      <c r="F549" s="11">
        <f>IF(J549="","", C549 * IFERROR(VLOOKUP(J549, SETUP!$A:$D, 4, FALSE), 0))</f>
        <v>5</v>
      </c>
      <c r="G549" s="11">
        <f t="shared" si="1"/>
        <v>5</v>
      </c>
      <c r="H549" s="22"/>
      <c r="I549" s="11"/>
      <c r="J549" s="17" t="str">
        <f>IF(TRIM(B549)="","",IF(ISNUMBER(SEARCH(" - ",B549)),TRIM(RIGHT(B549,LEN(B549)-FIND(" - ",B549)-2)),IFERROR(VLOOKUP(UPPER(TRIM(B549)), SETUP!$B$4:$C$11, 2, FALSE), UPPER(TRIM(B549)))))</f>
        <v>CRIS</v>
      </c>
      <c r="K549" s="23">
        <f t="shared" si="2"/>
        <v>46069</v>
      </c>
      <c r="L549" s="17">
        <f t="shared" si="3"/>
        <v>46075</v>
      </c>
      <c r="M549" s="17" t="str">
        <f t="shared" si="4"/>
        <v>2026-02</v>
      </c>
    </row>
    <row r="550" ht="15.75" customHeight="1">
      <c r="A550" s="19">
        <v>46075.0</v>
      </c>
      <c r="B550" s="20" t="s">
        <v>18</v>
      </c>
      <c r="C550" s="20">
        <v>90.0</v>
      </c>
      <c r="D550" s="21"/>
      <c r="E550" s="11">
        <f>IF(J550="","", C550 * IFERROR(VLOOKUP(J550, SETUP!$A:$D, 3, FALSE), 0))</f>
        <v>45</v>
      </c>
      <c r="F550" s="11">
        <f>IF(J550="","", C550 * IFERROR(VLOOKUP(J550, SETUP!$A:$D, 4, FALSE), 0))</f>
        <v>45</v>
      </c>
      <c r="G550" s="11">
        <f t="shared" si="1"/>
        <v>45</v>
      </c>
      <c r="H550" s="22"/>
      <c r="I550" s="11"/>
      <c r="J550" s="17" t="str">
        <f>IF(TRIM(B550)="","",IF(ISNUMBER(SEARCH(" - ",B550)),TRIM(RIGHT(B550,LEN(B550)-FIND(" - ",B550)-2)),IFERROR(VLOOKUP(UPPER(TRIM(B550)), SETUP!$B$4:$C$11, 2, FALSE), UPPER(TRIM(B550)))))</f>
        <v>CRIS</v>
      </c>
      <c r="K550" s="23">
        <f t="shared" si="2"/>
        <v>46069</v>
      </c>
      <c r="L550" s="17">
        <f t="shared" si="3"/>
        <v>46075</v>
      </c>
      <c r="M550" s="17" t="str">
        <f t="shared" si="4"/>
        <v>2026-02</v>
      </c>
    </row>
    <row r="551" ht="15.75" customHeight="1">
      <c r="A551" s="19">
        <v>46075.0</v>
      </c>
      <c r="B551" s="20" t="s">
        <v>18</v>
      </c>
      <c r="C551" s="20">
        <v>50.0</v>
      </c>
      <c r="D551" s="21"/>
      <c r="E551" s="11">
        <f>IF(J551="","", C551 * IFERROR(VLOOKUP(J551, SETUP!$A:$D, 3, FALSE), 0))</f>
        <v>25</v>
      </c>
      <c r="F551" s="11">
        <f>IF(J551="","", C551 * IFERROR(VLOOKUP(J551, SETUP!$A:$D, 4, FALSE), 0))</f>
        <v>25</v>
      </c>
      <c r="G551" s="11">
        <f t="shared" si="1"/>
        <v>25</v>
      </c>
      <c r="H551" s="22"/>
      <c r="I551" s="11"/>
      <c r="J551" s="17" t="str">
        <f>IF(TRIM(B551)="","",IF(ISNUMBER(SEARCH(" - ",B551)),TRIM(RIGHT(B551,LEN(B551)-FIND(" - ",B551)-2)),IFERROR(VLOOKUP(UPPER(TRIM(B551)), SETUP!$B$4:$C$11, 2, FALSE), UPPER(TRIM(B551)))))</f>
        <v>CRIS</v>
      </c>
      <c r="K551" s="23">
        <f t="shared" si="2"/>
        <v>46069</v>
      </c>
      <c r="L551" s="17">
        <f t="shared" si="3"/>
        <v>46075</v>
      </c>
      <c r="M551" s="17" t="str">
        <f t="shared" si="4"/>
        <v>2026-02</v>
      </c>
    </row>
    <row r="552" ht="15.75" customHeight="1">
      <c r="A552" s="19">
        <v>46075.0</v>
      </c>
      <c r="B552" s="20" t="s">
        <v>19</v>
      </c>
      <c r="C552" s="20">
        <v>67.0</v>
      </c>
      <c r="D552" s="21"/>
      <c r="E552" s="11">
        <f>IF(J552="","", C552 * IFERROR(VLOOKUP(J552, SETUP!$A:$D, 3, FALSE), 0))</f>
        <v>0</v>
      </c>
      <c r="F552" s="11">
        <f>IF(J552="","", C552 * IFERROR(VLOOKUP(J552, SETUP!$A:$D, 4, FALSE), 0))</f>
        <v>67</v>
      </c>
      <c r="G552" s="11">
        <f t="shared" si="1"/>
        <v>67</v>
      </c>
      <c r="H552" s="22"/>
      <c r="I552" s="11"/>
      <c r="J552" s="17" t="str">
        <f>IF(TRIM(B552)="","",IF(ISNUMBER(SEARCH(" - ",B552)),TRIM(RIGHT(B552,LEN(B552)-FIND(" - ",B552)-2)),IFERROR(VLOOKUP(UPPER(TRIM(B552)), SETUP!$B$4:$C$11, 2, FALSE), UPPER(TRIM(B552)))))</f>
        <v>HANNI</v>
      </c>
      <c r="K552" s="23">
        <f t="shared" si="2"/>
        <v>46069</v>
      </c>
      <c r="L552" s="17">
        <f t="shared" si="3"/>
        <v>46075</v>
      </c>
      <c r="M552" s="17" t="str">
        <f t="shared" si="4"/>
        <v>2026-02</v>
      </c>
    </row>
    <row r="553" ht="15.75" customHeight="1">
      <c r="A553" s="19">
        <v>46075.0</v>
      </c>
      <c r="B553" s="20" t="s">
        <v>19</v>
      </c>
      <c r="C553" s="20">
        <v>47.0</v>
      </c>
      <c r="D553" s="21"/>
      <c r="E553" s="11">
        <f>IF(J553="","", C553 * IFERROR(VLOOKUP(J553, SETUP!$A:$D, 3, FALSE), 0))</f>
        <v>0</v>
      </c>
      <c r="F553" s="11">
        <f>IF(J553="","", C553 * IFERROR(VLOOKUP(J553, SETUP!$A:$D, 4, FALSE), 0))</f>
        <v>47</v>
      </c>
      <c r="G553" s="11">
        <f t="shared" si="1"/>
        <v>47</v>
      </c>
      <c r="H553" s="22"/>
      <c r="I553" s="11"/>
      <c r="J553" s="17" t="str">
        <f>IF(TRIM(B553)="","",IF(ISNUMBER(SEARCH(" - ",B553)),TRIM(RIGHT(B553,LEN(B553)-FIND(" - ",B553)-2)),IFERROR(VLOOKUP(UPPER(TRIM(B553)), SETUP!$B$4:$C$11, 2, FALSE), UPPER(TRIM(B553)))))</f>
        <v>HANNI</v>
      </c>
      <c r="K553" s="23">
        <f t="shared" si="2"/>
        <v>46069</v>
      </c>
      <c r="L553" s="17">
        <f t="shared" si="3"/>
        <v>46075</v>
      </c>
      <c r="M553" s="17" t="str">
        <f t="shared" si="4"/>
        <v>2026-02</v>
      </c>
    </row>
    <row r="554" ht="15.75" customHeight="1">
      <c r="A554" s="19">
        <v>46075.0</v>
      </c>
      <c r="B554" s="20" t="s">
        <v>20</v>
      </c>
      <c r="C554" s="20">
        <v>65.0</v>
      </c>
      <c r="D554" s="21"/>
      <c r="E554" s="11">
        <f>IF(J554="","", C554 * IFERROR(VLOOKUP(J554, SETUP!$A:$D, 3, FALSE), 0))</f>
        <v>39</v>
      </c>
      <c r="F554" s="11">
        <f>IF(J554="","", C554 * IFERROR(VLOOKUP(J554, SETUP!$A:$D, 4, FALSE), 0))</f>
        <v>26</v>
      </c>
      <c r="G554" s="11">
        <f t="shared" si="1"/>
        <v>26</v>
      </c>
      <c r="H554" s="22"/>
      <c r="I554" s="11"/>
      <c r="J554" s="17" t="str">
        <f>IF(TRIM(B554)="","",IF(ISNUMBER(SEARCH(" - ",B554)),TRIM(RIGHT(B554,LEN(B554)-FIND(" - ",B554)-2)),IFERROR(VLOOKUP(UPPER(TRIM(B554)), SETUP!$B$4:$C$11, 2, FALSE), UPPER(TRIM(B554)))))</f>
        <v>AMY</v>
      </c>
      <c r="K554" s="23">
        <f t="shared" si="2"/>
        <v>46069</v>
      </c>
      <c r="L554" s="17">
        <f t="shared" si="3"/>
        <v>46075</v>
      </c>
      <c r="M554" s="17" t="str">
        <f t="shared" si="4"/>
        <v>2026-02</v>
      </c>
    </row>
    <row r="555" ht="15.75" customHeight="1">
      <c r="A555" s="19">
        <v>46075.0</v>
      </c>
      <c r="B555" s="20" t="s">
        <v>20</v>
      </c>
      <c r="C555" s="20">
        <v>97.0</v>
      </c>
      <c r="D555" s="21"/>
      <c r="E555" s="11">
        <f>IF(J555="","", C555 * IFERROR(VLOOKUP(J555, SETUP!$A:$D, 3, FALSE), 0))</f>
        <v>58.2</v>
      </c>
      <c r="F555" s="11">
        <f>IF(J555="","", C555 * IFERROR(VLOOKUP(J555, SETUP!$A:$D, 4, FALSE), 0))</f>
        <v>38.8</v>
      </c>
      <c r="G555" s="11">
        <f t="shared" si="1"/>
        <v>38.8</v>
      </c>
      <c r="H555" s="22"/>
      <c r="I555" s="11"/>
      <c r="J555" s="17" t="str">
        <f>IF(TRIM(B555)="","",IF(ISNUMBER(SEARCH(" - ",B555)),TRIM(RIGHT(B555,LEN(B555)-FIND(" - ",B555)-2)),IFERROR(VLOOKUP(UPPER(TRIM(B555)), SETUP!$B$4:$C$11, 2, FALSE), UPPER(TRIM(B555)))))</f>
        <v>AMY</v>
      </c>
      <c r="K555" s="23">
        <f t="shared" si="2"/>
        <v>46069</v>
      </c>
      <c r="L555" s="17">
        <f t="shared" si="3"/>
        <v>46075</v>
      </c>
      <c r="M555" s="17" t="str">
        <f t="shared" si="4"/>
        <v>2026-02</v>
      </c>
    </row>
    <row r="556" ht="15.75" customHeight="1">
      <c r="A556" s="19">
        <v>46075.0</v>
      </c>
      <c r="B556" s="20" t="s">
        <v>20</v>
      </c>
      <c r="C556" s="20">
        <v>62.0</v>
      </c>
      <c r="D556" s="21"/>
      <c r="E556" s="11">
        <f>IF(J556="","", C556 * IFERROR(VLOOKUP(J556, SETUP!$A:$D, 3, FALSE), 0))</f>
        <v>37.2</v>
      </c>
      <c r="F556" s="11">
        <f>IF(J556="","", C556 * IFERROR(VLOOKUP(J556, SETUP!$A:$D, 4, FALSE), 0))</f>
        <v>24.8</v>
      </c>
      <c r="G556" s="11">
        <f t="shared" si="1"/>
        <v>24.8</v>
      </c>
      <c r="H556" s="22"/>
      <c r="I556" s="11"/>
      <c r="J556" s="17" t="str">
        <f>IF(TRIM(B556)="","",IF(ISNUMBER(SEARCH(" - ",B556)),TRIM(RIGHT(B556,LEN(B556)-FIND(" - ",B556)-2)),IFERROR(VLOOKUP(UPPER(TRIM(B556)), SETUP!$B$4:$C$11, 2, FALSE), UPPER(TRIM(B556)))))</f>
        <v>AMY</v>
      </c>
      <c r="K556" s="23">
        <f t="shared" si="2"/>
        <v>46069</v>
      </c>
      <c r="L556" s="17">
        <f t="shared" si="3"/>
        <v>46075</v>
      </c>
      <c r="M556" s="17" t="str">
        <f t="shared" si="4"/>
        <v>2026-02</v>
      </c>
    </row>
    <row r="557" ht="15.75" customHeight="1">
      <c r="A557" s="19">
        <v>46075.0</v>
      </c>
      <c r="B557" s="20" t="s">
        <v>20</v>
      </c>
      <c r="C557" s="20">
        <v>62.0</v>
      </c>
      <c r="D557" s="21"/>
      <c r="E557" s="11">
        <f>IF(J557="","", C557 * IFERROR(VLOOKUP(J557, SETUP!$A:$D, 3, FALSE), 0))</f>
        <v>37.2</v>
      </c>
      <c r="F557" s="11">
        <f>IF(J557="","", C557 * IFERROR(VLOOKUP(J557, SETUP!$A:$D, 4, FALSE), 0))</f>
        <v>24.8</v>
      </c>
      <c r="G557" s="11">
        <f t="shared" si="1"/>
        <v>24.8</v>
      </c>
      <c r="H557" s="22"/>
      <c r="I557" s="11"/>
      <c r="J557" s="17" t="str">
        <f>IF(TRIM(B557)="","",IF(ISNUMBER(SEARCH(" - ",B557)),TRIM(RIGHT(B557,LEN(B557)-FIND(" - ",B557)-2)),IFERROR(VLOOKUP(UPPER(TRIM(B557)), SETUP!$B$4:$C$11, 2, FALSE), UPPER(TRIM(B557)))))</f>
        <v>AMY</v>
      </c>
      <c r="K557" s="23">
        <f t="shared" si="2"/>
        <v>46069</v>
      </c>
      <c r="L557" s="17">
        <f t="shared" si="3"/>
        <v>46075</v>
      </c>
      <c r="M557" s="17" t="str">
        <f t="shared" si="4"/>
        <v>2026-02</v>
      </c>
    </row>
    <row r="558" ht="15.75" customHeight="1">
      <c r="A558" s="19">
        <v>46075.0</v>
      </c>
      <c r="B558" s="20" t="s">
        <v>20</v>
      </c>
      <c r="C558" s="20">
        <v>62.0</v>
      </c>
      <c r="D558" s="21"/>
      <c r="E558" s="11">
        <f>IF(J558="","", C558 * IFERROR(VLOOKUP(J558, SETUP!$A:$D, 3, FALSE), 0))</f>
        <v>37.2</v>
      </c>
      <c r="F558" s="11">
        <f>IF(J558="","", C558 * IFERROR(VLOOKUP(J558, SETUP!$A:$D, 4, FALSE), 0))</f>
        <v>24.8</v>
      </c>
      <c r="G558" s="11">
        <f t="shared" si="1"/>
        <v>24.8</v>
      </c>
      <c r="H558" s="22"/>
      <c r="I558" s="11"/>
      <c r="J558" s="17" t="str">
        <f>IF(TRIM(B558)="","",IF(ISNUMBER(SEARCH(" - ",B558)),TRIM(RIGHT(B558,LEN(B558)-FIND(" - ",B558)-2)),IFERROR(VLOOKUP(UPPER(TRIM(B558)), SETUP!$B$4:$C$11, 2, FALSE), UPPER(TRIM(B558)))))</f>
        <v>AMY</v>
      </c>
      <c r="K558" s="23">
        <f t="shared" si="2"/>
        <v>46069</v>
      </c>
      <c r="L558" s="17">
        <f t="shared" si="3"/>
        <v>46075</v>
      </c>
      <c r="M558" s="17" t="str">
        <f t="shared" si="4"/>
        <v>2026-02</v>
      </c>
    </row>
    <row r="559" ht="15.75" customHeight="1">
      <c r="A559" s="19">
        <v>46075.0</v>
      </c>
      <c r="B559" s="20" t="s">
        <v>20</v>
      </c>
      <c r="C559" s="20">
        <v>52.0</v>
      </c>
      <c r="D559" s="21"/>
      <c r="E559" s="11">
        <f>IF(J559="","", C559 * IFERROR(VLOOKUP(J559, SETUP!$A:$D, 3, FALSE), 0))</f>
        <v>31.2</v>
      </c>
      <c r="F559" s="11">
        <f>IF(J559="","", C559 * IFERROR(VLOOKUP(J559, SETUP!$A:$D, 4, FALSE), 0))</f>
        <v>20.8</v>
      </c>
      <c r="G559" s="11">
        <f t="shared" si="1"/>
        <v>20.8</v>
      </c>
      <c r="H559" s="22"/>
      <c r="I559" s="11"/>
      <c r="J559" s="17" t="str">
        <f>IF(TRIM(B559)="","",IF(ISNUMBER(SEARCH(" - ",B559)),TRIM(RIGHT(B559,LEN(B559)-FIND(" - ",B559)-2)),IFERROR(VLOOKUP(UPPER(TRIM(B559)), SETUP!$B$4:$C$11, 2, FALSE), UPPER(TRIM(B559)))))</f>
        <v>AMY</v>
      </c>
      <c r="K559" s="23">
        <f t="shared" si="2"/>
        <v>46069</v>
      </c>
      <c r="L559" s="17">
        <f t="shared" si="3"/>
        <v>46075</v>
      </c>
      <c r="M559" s="17" t="str">
        <f t="shared" si="4"/>
        <v>2026-02</v>
      </c>
    </row>
    <row r="560" ht="15.75" customHeight="1">
      <c r="A560" s="19">
        <v>46075.0</v>
      </c>
      <c r="B560" s="20" t="s">
        <v>20</v>
      </c>
      <c r="C560" s="20">
        <v>50.0</v>
      </c>
      <c r="D560" s="21"/>
      <c r="E560" s="11">
        <f>IF(J560="","", C560 * IFERROR(VLOOKUP(J560, SETUP!$A:$D, 3, FALSE), 0))</f>
        <v>30</v>
      </c>
      <c r="F560" s="11">
        <f>IF(J560="","", C560 * IFERROR(VLOOKUP(J560, SETUP!$A:$D, 4, FALSE), 0))</f>
        <v>20</v>
      </c>
      <c r="G560" s="11">
        <f t="shared" si="1"/>
        <v>20</v>
      </c>
      <c r="H560" s="22"/>
      <c r="I560" s="11"/>
      <c r="J560" s="17" t="str">
        <f>IF(TRIM(B560)="","",IF(ISNUMBER(SEARCH(" - ",B560)),TRIM(RIGHT(B560,LEN(B560)-FIND(" - ",B560)-2)),IFERROR(VLOOKUP(UPPER(TRIM(B560)), SETUP!$B$4:$C$11, 2, FALSE), UPPER(TRIM(B560)))))</f>
        <v>AMY</v>
      </c>
      <c r="K560" s="23">
        <f t="shared" si="2"/>
        <v>46069</v>
      </c>
      <c r="L560" s="17">
        <f t="shared" si="3"/>
        <v>46075</v>
      </c>
      <c r="M560" s="17" t="str">
        <f t="shared" si="4"/>
        <v>2026-02</v>
      </c>
    </row>
    <row r="561" ht="15.75" customHeight="1">
      <c r="A561" s="19">
        <v>46075.0</v>
      </c>
      <c r="B561" s="20" t="s">
        <v>21</v>
      </c>
      <c r="C561" s="20">
        <v>73.0</v>
      </c>
      <c r="D561" s="21"/>
      <c r="E561" s="11">
        <f>IF(J561="","", C561 * IFERROR(VLOOKUP(J561, SETUP!$A:$D, 3, FALSE), 0))</f>
        <v>43.8</v>
      </c>
      <c r="F561" s="11">
        <f>IF(J561="","", C561 * IFERROR(VLOOKUP(J561, SETUP!$A:$D, 4, FALSE), 0))</f>
        <v>29.2</v>
      </c>
      <c r="G561" s="11">
        <f t="shared" si="1"/>
        <v>29.2</v>
      </c>
      <c r="H561" s="22"/>
      <c r="I561" s="11"/>
      <c r="J561" s="17" t="str">
        <f>IF(TRIM(B561)="","",IF(ISNUMBER(SEARCH(" - ",B561)),TRIM(RIGHT(B561,LEN(B561)-FIND(" - ",B561)-2)),IFERROR(VLOOKUP(UPPER(TRIM(B561)), SETUP!$B$4:$C$11, 2, FALSE), UPPER(TRIM(B561)))))</f>
        <v>TONY</v>
      </c>
      <c r="K561" s="23">
        <f t="shared" si="2"/>
        <v>46069</v>
      </c>
      <c r="L561" s="17">
        <f t="shared" si="3"/>
        <v>46075</v>
      </c>
      <c r="M561" s="17" t="str">
        <f t="shared" si="4"/>
        <v>2026-02</v>
      </c>
    </row>
    <row r="562" ht="15.75" customHeight="1">
      <c r="A562" s="19">
        <v>46075.0</v>
      </c>
      <c r="B562" s="20" t="s">
        <v>21</v>
      </c>
      <c r="C562" s="20">
        <v>125.0</v>
      </c>
      <c r="D562" s="21"/>
      <c r="E562" s="11">
        <f>IF(J562="","", C562 * IFERROR(VLOOKUP(J562, SETUP!$A:$D, 3, FALSE), 0))</f>
        <v>75</v>
      </c>
      <c r="F562" s="11">
        <f>IF(J562="","", C562 * IFERROR(VLOOKUP(J562, SETUP!$A:$D, 4, FALSE), 0))</f>
        <v>50</v>
      </c>
      <c r="G562" s="11">
        <f t="shared" si="1"/>
        <v>50</v>
      </c>
      <c r="H562" s="22"/>
      <c r="I562" s="11"/>
      <c r="J562" s="17" t="str">
        <f>IF(TRIM(B562)="","",IF(ISNUMBER(SEARCH(" - ",B562)),TRIM(RIGHT(B562,LEN(B562)-FIND(" - ",B562)-2)),IFERROR(VLOOKUP(UPPER(TRIM(B562)), SETUP!$B$4:$C$11, 2, FALSE), UPPER(TRIM(B562)))))</f>
        <v>TONY</v>
      </c>
      <c r="K562" s="23">
        <f t="shared" si="2"/>
        <v>46069</v>
      </c>
      <c r="L562" s="17">
        <f t="shared" si="3"/>
        <v>46075</v>
      </c>
      <c r="M562" s="17" t="str">
        <f t="shared" si="4"/>
        <v>2026-02</v>
      </c>
    </row>
    <row r="563" ht="15.75" customHeight="1">
      <c r="A563" s="19">
        <v>46075.0</v>
      </c>
      <c r="B563" s="20" t="s">
        <v>21</v>
      </c>
      <c r="C563" s="20">
        <v>107.0</v>
      </c>
      <c r="D563" s="21"/>
      <c r="E563" s="11">
        <f>IF(J563="","", C563 * IFERROR(VLOOKUP(J563, SETUP!$A:$D, 3, FALSE), 0))</f>
        <v>64.2</v>
      </c>
      <c r="F563" s="11">
        <f>IF(J563="","", C563 * IFERROR(VLOOKUP(J563, SETUP!$A:$D, 4, FALSE), 0))</f>
        <v>42.8</v>
      </c>
      <c r="G563" s="11">
        <f t="shared" si="1"/>
        <v>42.8</v>
      </c>
      <c r="H563" s="22"/>
      <c r="I563" s="11"/>
      <c r="J563" s="17" t="str">
        <f>IF(TRIM(B563)="","",IF(ISNUMBER(SEARCH(" - ",B563)),TRIM(RIGHT(B563,LEN(B563)-FIND(" - ",B563)-2)),IFERROR(VLOOKUP(UPPER(TRIM(B563)), SETUP!$B$4:$C$11, 2, FALSE), UPPER(TRIM(B563)))))</f>
        <v>TONY</v>
      </c>
      <c r="K563" s="23">
        <f t="shared" si="2"/>
        <v>46069</v>
      </c>
      <c r="L563" s="17">
        <f t="shared" si="3"/>
        <v>46075</v>
      </c>
      <c r="M563" s="17" t="str">
        <f t="shared" si="4"/>
        <v>2026-02</v>
      </c>
    </row>
    <row r="564" ht="15.75" customHeight="1">
      <c r="A564" s="19">
        <v>46075.0</v>
      </c>
      <c r="B564" s="20" t="s">
        <v>21</v>
      </c>
      <c r="C564" s="20">
        <v>72.0</v>
      </c>
      <c r="D564" s="21"/>
      <c r="E564" s="11">
        <f>IF(J564="","", C564 * IFERROR(VLOOKUP(J564, SETUP!$A:$D, 3, FALSE), 0))</f>
        <v>43.2</v>
      </c>
      <c r="F564" s="11">
        <f>IF(J564="","", C564 * IFERROR(VLOOKUP(J564, SETUP!$A:$D, 4, FALSE), 0))</f>
        <v>28.8</v>
      </c>
      <c r="G564" s="11">
        <f t="shared" si="1"/>
        <v>28.8</v>
      </c>
      <c r="H564" s="22"/>
      <c r="I564" s="11"/>
      <c r="J564" s="17" t="str">
        <f>IF(TRIM(B564)="","",IF(ISNUMBER(SEARCH(" - ",B564)),TRIM(RIGHT(B564,LEN(B564)-FIND(" - ",B564)-2)),IFERROR(VLOOKUP(UPPER(TRIM(B564)), SETUP!$B$4:$C$11, 2, FALSE), UPPER(TRIM(B564)))))</f>
        <v>TONY</v>
      </c>
      <c r="K564" s="23">
        <f t="shared" si="2"/>
        <v>46069</v>
      </c>
      <c r="L564" s="17">
        <f t="shared" si="3"/>
        <v>46075</v>
      </c>
      <c r="M564" s="17" t="str">
        <f t="shared" si="4"/>
        <v>2026-02</v>
      </c>
    </row>
    <row r="565" ht="15.75" customHeight="1">
      <c r="A565" s="19">
        <v>46075.0</v>
      </c>
      <c r="B565" s="20" t="s">
        <v>21</v>
      </c>
      <c r="C565" s="20">
        <v>62.0</v>
      </c>
      <c r="D565" s="21"/>
      <c r="E565" s="11">
        <f>IF(J565="","", C565 * IFERROR(VLOOKUP(J565, SETUP!$A:$D, 3, FALSE), 0))</f>
        <v>37.2</v>
      </c>
      <c r="F565" s="11">
        <f>IF(J565="","", C565 * IFERROR(VLOOKUP(J565, SETUP!$A:$D, 4, FALSE), 0))</f>
        <v>24.8</v>
      </c>
      <c r="G565" s="11">
        <f t="shared" si="1"/>
        <v>24.8</v>
      </c>
      <c r="H565" s="22"/>
      <c r="I565" s="11"/>
      <c r="J565" s="17" t="str">
        <f>IF(TRIM(B565)="","",IF(ISNUMBER(SEARCH(" - ",B565)),TRIM(RIGHT(B565,LEN(B565)-FIND(" - ",B565)-2)),IFERROR(VLOOKUP(UPPER(TRIM(B565)), SETUP!$B$4:$C$11, 2, FALSE), UPPER(TRIM(B565)))))</f>
        <v>TONY</v>
      </c>
      <c r="K565" s="23">
        <f t="shared" si="2"/>
        <v>46069</v>
      </c>
      <c r="L565" s="17">
        <f t="shared" si="3"/>
        <v>46075</v>
      </c>
      <c r="M565" s="17" t="str">
        <f t="shared" si="4"/>
        <v>2026-02</v>
      </c>
    </row>
    <row r="566" ht="15.75" customHeight="1">
      <c r="A566" s="19">
        <v>46075.0</v>
      </c>
      <c r="B566" s="20" t="s">
        <v>21</v>
      </c>
      <c r="C566" s="20">
        <v>67.0</v>
      </c>
      <c r="D566" s="21"/>
      <c r="E566" s="11">
        <f>IF(J566="","", C566 * IFERROR(VLOOKUP(J566, SETUP!$A:$D, 3, FALSE), 0))</f>
        <v>40.2</v>
      </c>
      <c r="F566" s="11">
        <f>IF(J566="","", C566 * IFERROR(VLOOKUP(J566, SETUP!$A:$D, 4, FALSE), 0))</f>
        <v>26.8</v>
      </c>
      <c r="G566" s="11">
        <f t="shared" si="1"/>
        <v>26.8</v>
      </c>
      <c r="H566" s="22"/>
      <c r="I566" s="11"/>
      <c r="J566" s="17" t="str">
        <f>IF(TRIM(B566)="","",IF(ISNUMBER(SEARCH(" - ",B566)),TRIM(RIGHT(B566,LEN(B566)-FIND(" - ",B566)-2)),IFERROR(VLOOKUP(UPPER(TRIM(B566)), SETUP!$B$4:$C$11, 2, FALSE), UPPER(TRIM(B566)))))</f>
        <v>TONY</v>
      </c>
      <c r="K566" s="23">
        <f t="shared" si="2"/>
        <v>46069</v>
      </c>
      <c r="L566" s="17">
        <f t="shared" si="3"/>
        <v>46075</v>
      </c>
      <c r="M566" s="17" t="str">
        <f t="shared" si="4"/>
        <v>2026-02</v>
      </c>
    </row>
    <row r="567" ht="15.75" customHeight="1">
      <c r="A567" s="19">
        <v>46076.0</v>
      </c>
      <c r="B567" s="20" t="s">
        <v>16</v>
      </c>
      <c r="C567" s="20">
        <v>35.0</v>
      </c>
      <c r="D567" s="21"/>
      <c r="E567" s="11">
        <f>IF(J567="","", C567 * IFERROR(VLOOKUP(J567, SETUP!$A:$D, 3, FALSE), 0))</f>
        <v>0</v>
      </c>
      <c r="F567" s="11">
        <f>IF(J567="","", C567 * IFERROR(VLOOKUP(J567, SETUP!$A:$D, 4, FALSE), 0))</f>
        <v>35</v>
      </c>
      <c r="G567" s="11">
        <f t="shared" si="1"/>
        <v>35</v>
      </c>
      <c r="H567" s="22"/>
      <c r="I567" s="11"/>
      <c r="J567" s="17" t="str">
        <f>IF(TRIM(B567)="","",IF(ISNUMBER(SEARCH(" - ",B567)),TRIM(RIGHT(B567,LEN(B567)-FIND(" - ",B567)-2)),IFERROR(VLOOKUP(UPPER(TRIM(B567)), SETUP!$B$4:$C$11, 2, FALSE), UPPER(TRIM(B567)))))</f>
        <v>KEN</v>
      </c>
      <c r="K567" s="23">
        <f t="shared" si="2"/>
        <v>46076</v>
      </c>
      <c r="L567" s="17">
        <f t="shared" si="3"/>
        <v>46076</v>
      </c>
      <c r="M567" s="17" t="str">
        <f t="shared" si="4"/>
        <v>2026-02</v>
      </c>
    </row>
    <row r="568" ht="15.75" customHeight="1">
      <c r="A568" s="19">
        <v>46076.0</v>
      </c>
      <c r="B568" s="20" t="s">
        <v>17</v>
      </c>
      <c r="C568" s="20">
        <v>67.0</v>
      </c>
      <c r="D568" s="21"/>
      <c r="E568" s="11">
        <f>IF(J568="","", C568 * IFERROR(VLOOKUP(J568, SETUP!$A:$D, 3, FALSE), 0))</f>
        <v>40.2</v>
      </c>
      <c r="F568" s="11">
        <f>IF(J568="","", C568 * IFERROR(VLOOKUP(J568, SETUP!$A:$D, 4, FALSE), 0))</f>
        <v>26.8</v>
      </c>
      <c r="G568" s="11">
        <f t="shared" si="1"/>
        <v>26.8</v>
      </c>
      <c r="H568" s="22"/>
      <c r="I568" s="11"/>
      <c r="J568" s="17" t="str">
        <f>IF(TRIM(B568)="","",IF(ISNUMBER(SEARCH(" - ",B568)),TRIM(RIGHT(B568,LEN(B568)-FIND(" - ",B568)-2)),IFERROR(VLOOKUP(UPPER(TRIM(B568)), SETUP!$B$4:$C$11, 2, FALSE), UPPER(TRIM(B568)))))</f>
        <v>RYAN</v>
      </c>
      <c r="K568" s="23">
        <f t="shared" si="2"/>
        <v>46076</v>
      </c>
      <c r="L568" s="17">
        <f t="shared" si="3"/>
        <v>46076</v>
      </c>
      <c r="M568" s="17" t="str">
        <f t="shared" si="4"/>
        <v>2026-02</v>
      </c>
    </row>
    <row r="569" ht="15.75" customHeight="1">
      <c r="A569" s="19">
        <v>46076.0</v>
      </c>
      <c r="B569" s="20" t="s">
        <v>17</v>
      </c>
      <c r="C569" s="20">
        <v>132.0</v>
      </c>
      <c r="D569" s="21"/>
      <c r="E569" s="11">
        <f>IF(J569="","", C569 * IFERROR(VLOOKUP(J569, SETUP!$A:$D, 3, FALSE), 0))</f>
        <v>79.2</v>
      </c>
      <c r="F569" s="11">
        <f>IF(J569="","", C569 * IFERROR(VLOOKUP(J569, SETUP!$A:$D, 4, FALSE), 0))</f>
        <v>52.8</v>
      </c>
      <c r="G569" s="11">
        <f t="shared" si="1"/>
        <v>52.8</v>
      </c>
      <c r="H569" s="22"/>
      <c r="I569" s="11"/>
      <c r="J569" s="17" t="str">
        <f>IF(TRIM(B569)="","",IF(ISNUMBER(SEARCH(" - ",B569)),TRIM(RIGHT(B569,LEN(B569)-FIND(" - ",B569)-2)),IFERROR(VLOOKUP(UPPER(TRIM(B569)), SETUP!$B$4:$C$11, 2, FALSE), UPPER(TRIM(B569)))))</f>
        <v>RYAN</v>
      </c>
      <c r="K569" s="23">
        <f t="shared" si="2"/>
        <v>46076</v>
      </c>
      <c r="L569" s="17">
        <f t="shared" si="3"/>
        <v>46076</v>
      </c>
      <c r="M569" s="17" t="str">
        <f t="shared" si="4"/>
        <v>2026-02</v>
      </c>
    </row>
    <row r="570" ht="15.75" customHeight="1">
      <c r="A570" s="19">
        <v>46076.0</v>
      </c>
      <c r="B570" s="20" t="s">
        <v>17</v>
      </c>
      <c r="C570" s="20">
        <v>112.0</v>
      </c>
      <c r="D570" s="21"/>
      <c r="E570" s="11">
        <f>IF(J570="","", C570 * IFERROR(VLOOKUP(J570, SETUP!$A:$D, 3, FALSE), 0))</f>
        <v>67.2</v>
      </c>
      <c r="F570" s="11">
        <f>IF(J570="","", C570 * IFERROR(VLOOKUP(J570, SETUP!$A:$D, 4, FALSE), 0))</f>
        <v>44.8</v>
      </c>
      <c r="G570" s="11">
        <f t="shared" si="1"/>
        <v>44.8</v>
      </c>
      <c r="H570" s="22"/>
      <c r="I570" s="11"/>
      <c r="J570" s="17" t="str">
        <f>IF(TRIM(B570)="","",IF(ISNUMBER(SEARCH(" - ",B570)),TRIM(RIGHT(B570,LEN(B570)-FIND(" - ",B570)-2)),IFERROR(VLOOKUP(UPPER(TRIM(B570)), SETUP!$B$4:$C$11, 2, FALSE), UPPER(TRIM(B570)))))</f>
        <v>RYAN</v>
      </c>
      <c r="K570" s="23">
        <f t="shared" si="2"/>
        <v>46076</v>
      </c>
      <c r="L570" s="17">
        <f t="shared" si="3"/>
        <v>46076</v>
      </c>
      <c r="M570" s="17" t="str">
        <f t="shared" si="4"/>
        <v>2026-02</v>
      </c>
    </row>
    <row r="571" ht="15.75" customHeight="1">
      <c r="A571" s="19">
        <v>46076.0</v>
      </c>
      <c r="B571" s="20" t="s">
        <v>17</v>
      </c>
      <c r="C571" s="20">
        <v>67.0</v>
      </c>
      <c r="D571" s="21"/>
      <c r="E571" s="11">
        <f>IF(J571="","", C571 * IFERROR(VLOOKUP(J571, SETUP!$A:$D, 3, FALSE), 0))</f>
        <v>40.2</v>
      </c>
      <c r="F571" s="11">
        <f>IF(J571="","", C571 * IFERROR(VLOOKUP(J571, SETUP!$A:$D, 4, FALSE), 0))</f>
        <v>26.8</v>
      </c>
      <c r="G571" s="11">
        <f t="shared" si="1"/>
        <v>26.8</v>
      </c>
      <c r="H571" s="22"/>
      <c r="I571" s="11"/>
      <c r="J571" s="17" t="str">
        <f>IF(TRIM(B571)="","",IF(ISNUMBER(SEARCH(" - ",B571)),TRIM(RIGHT(B571,LEN(B571)-FIND(" - ",B571)-2)),IFERROR(VLOOKUP(UPPER(TRIM(B571)), SETUP!$B$4:$C$11, 2, FALSE), UPPER(TRIM(B571)))))</f>
        <v>RYAN</v>
      </c>
      <c r="K571" s="23">
        <f t="shared" si="2"/>
        <v>46076</v>
      </c>
      <c r="L571" s="17">
        <f t="shared" si="3"/>
        <v>46076</v>
      </c>
      <c r="M571" s="17" t="str">
        <f t="shared" si="4"/>
        <v>2026-02</v>
      </c>
    </row>
    <row r="572" ht="15.75" customHeight="1">
      <c r="A572" s="19">
        <v>46076.0</v>
      </c>
      <c r="B572" s="20" t="s">
        <v>17</v>
      </c>
      <c r="C572" s="20">
        <v>57.0</v>
      </c>
      <c r="D572" s="21"/>
      <c r="E572" s="11">
        <f>IF(J572="","", C572 * IFERROR(VLOOKUP(J572, SETUP!$A:$D, 3, FALSE), 0))</f>
        <v>34.2</v>
      </c>
      <c r="F572" s="11">
        <f>IF(J572="","", C572 * IFERROR(VLOOKUP(J572, SETUP!$A:$D, 4, FALSE), 0))</f>
        <v>22.8</v>
      </c>
      <c r="G572" s="11">
        <f t="shared" si="1"/>
        <v>22.8</v>
      </c>
      <c r="H572" s="22"/>
      <c r="I572" s="11"/>
      <c r="J572" s="17" t="str">
        <f>IF(TRIM(B572)="","",IF(ISNUMBER(SEARCH(" - ",B572)),TRIM(RIGHT(B572,LEN(B572)-FIND(" - ",B572)-2)),IFERROR(VLOOKUP(UPPER(TRIM(B572)), SETUP!$B$4:$C$11, 2, FALSE), UPPER(TRIM(B572)))))</f>
        <v>RYAN</v>
      </c>
      <c r="K572" s="23">
        <f t="shared" si="2"/>
        <v>46076</v>
      </c>
      <c r="L572" s="17">
        <f t="shared" si="3"/>
        <v>46076</v>
      </c>
      <c r="M572" s="17" t="str">
        <f t="shared" si="4"/>
        <v>2026-02</v>
      </c>
    </row>
    <row r="573" ht="15.75" customHeight="1">
      <c r="A573" s="19">
        <v>46076.0</v>
      </c>
      <c r="B573" s="20" t="s">
        <v>18</v>
      </c>
      <c r="C573" s="20">
        <v>20.0</v>
      </c>
      <c r="D573" s="21"/>
      <c r="E573" s="11">
        <f>IF(J573="","", C573 * IFERROR(VLOOKUP(J573, SETUP!$A:$D, 3, FALSE), 0))</f>
        <v>10</v>
      </c>
      <c r="F573" s="11">
        <f>IF(J573="","", C573 * IFERROR(VLOOKUP(J573, SETUP!$A:$D, 4, FALSE), 0))</f>
        <v>10</v>
      </c>
      <c r="G573" s="11">
        <f t="shared" si="1"/>
        <v>10</v>
      </c>
      <c r="H573" s="22"/>
      <c r="I573" s="11"/>
      <c r="J573" s="17" t="str">
        <f>IF(TRIM(B573)="","",IF(ISNUMBER(SEARCH(" - ",B573)),TRIM(RIGHT(B573,LEN(B573)-FIND(" - ",B573)-2)),IFERROR(VLOOKUP(UPPER(TRIM(B573)), SETUP!$B$4:$C$11, 2, FALSE), UPPER(TRIM(B573)))))</f>
        <v>CRIS</v>
      </c>
      <c r="K573" s="23">
        <f t="shared" si="2"/>
        <v>46076</v>
      </c>
      <c r="L573" s="17">
        <f t="shared" si="3"/>
        <v>46076</v>
      </c>
      <c r="M573" s="17" t="str">
        <f t="shared" si="4"/>
        <v>2026-02</v>
      </c>
    </row>
    <row r="574" ht="15.75" customHeight="1">
      <c r="A574" s="19">
        <v>46076.0</v>
      </c>
      <c r="B574" s="20" t="s">
        <v>18</v>
      </c>
      <c r="C574" s="20">
        <v>45.0</v>
      </c>
      <c r="D574" s="21"/>
      <c r="E574" s="11">
        <f>IF(J574="","", C574 * IFERROR(VLOOKUP(J574, SETUP!$A:$D, 3, FALSE), 0))</f>
        <v>22.5</v>
      </c>
      <c r="F574" s="11">
        <f>IF(J574="","", C574 * IFERROR(VLOOKUP(J574, SETUP!$A:$D, 4, FALSE), 0))</f>
        <v>22.5</v>
      </c>
      <c r="G574" s="11">
        <f t="shared" si="1"/>
        <v>22.5</v>
      </c>
      <c r="H574" s="22"/>
      <c r="I574" s="11"/>
      <c r="J574" s="17" t="str">
        <f>IF(TRIM(B574)="","",IF(ISNUMBER(SEARCH(" - ",B574)),TRIM(RIGHT(B574,LEN(B574)-FIND(" - ",B574)-2)),IFERROR(VLOOKUP(UPPER(TRIM(B574)), SETUP!$B$4:$C$11, 2, FALSE), UPPER(TRIM(B574)))))</f>
        <v>CRIS</v>
      </c>
      <c r="K574" s="23">
        <f t="shared" si="2"/>
        <v>46076</v>
      </c>
      <c r="L574" s="17">
        <f t="shared" si="3"/>
        <v>46076</v>
      </c>
      <c r="M574" s="17" t="str">
        <f t="shared" si="4"/>
        <v>2026-02</v>
      </c>
    </row>
    <row r="575" ht="15.75" customHeight="1">
      <c r="A575" s="19">
        <v>46076.0</v>
      </c>
      <c r="B575" s="20" t="s">
        <v>18</v>
      </c>
      <c r="C575" s="20">
        <v>50.0</v>
      </c>
      <c r="D575" s="21"/>
      <c r="E575" s="11">
        <f>IF(J575="","", C575 * IFERROR(VLOOKUP(J575, SETUP!$A:$D, 3, FALSE), 0))</f>
        <v>25</v>
      </c>
      <c r="F575" s="11">
        <f>IF(J575="","", C575 * IFERROR(VLOOKUP(J575, SETUP!$A:$D, 4, FALSE), 0))</f>
        <v>25</v>
      </c>
      <c r="G575" s="11">
        <f t="shared" si="1"/>
        <v>25</v>
      </c>
      <c r="H575" s="22"/>
      <c r="I575" s="11"/>
      <c r="J575" s="17" t="str">
        <f>IF(TRIM(B575)="","",IF(ISNUMBER(SEARCH(" - ",B575)),TRIM(RIGHT(B575,LEN(B575)-FIND(" - ",B575)-2)),IFERROR(VLOOKUP(UPPER(TRIM(B575)), SETUP!$B$4:$C$11, 2, FALSE), UPPER(TRIM(B575)))))</f>
        <v>CRIS</v>
      </c>
      <c r="K575" s="23">
        <f t="shared" si="2"/>
        <v>46076</v>
      </c>
      <c r="L575" s="17">
        <f t="shared" si="3"/>
        <v>46076</v>
      </c>
      <c r="M575" s="17" t="str">
        <f t="shared" si="4"/>
        <v>2026-02</v>
      </c>
    </row>
    <row r="576" ht="15.75" customHeight="1">
      <c r="A576" s="19">
        <v>46076.0</v>
      </c>
      <c r="B576" s="20" t="s">
        <v>18</v>
      </c>
      <c r="C576" s="20">
        <v>87.0</v>
      </c>
      <c r="D576" s="21"/>
      <c r="E576" s="11">
        <f>IF(J576="","", C576 * IFERROR(VLOOKUP(J576, SETUP!$A:$D, 3, FALSE), 0))</f>
        <v>43.5</v>
      </c>
      <c r="F576" s="11">
        <f>IF(J576="","", C576 * IFERROR(VLOOKUP(J576, SETUP!$A:$D, 4, FALSE), 0))</f>
        <v>43.5</v>
      </c>
      <c r="G576" s="11">
        <f t="shared" si="1"/>
        <v>43.5</v>
      </c>
      <c r="H576" s="22"/>
      <c r="I576" s="11"/>
      <c r="J576" s="17" t="str">
        <f>IF(TRIM(B576)="","",IF(ISNUMBER(SEARCH(" - ",B576)),TRIM(RIGHT(B576,LEN(B576)-FIND(" - ",B576)-2)),IFERROR(VLOOKUP(UPPER(TRIM(B576)), SETUP!$B$4:$C$11, 2, FALSE), UPPER(TRIM(B576)))))</f>
        <v>CRIS</v>
      </c>
      <c r="K576" s="23">
        <f t="shared" si="2"/>
        <v>46076</v>
      </c>
      <c r="L576" s="17">
        <f t="shared" si="3"/>
        <v>46076</v>
      </c>
      <c r="M576" s="17" t="str">
        <f t="shared" si="4"/>
        <v>2026-02</v>
      </c>
    </row>
    <row r="577" ht="15.75" customHeight="1">
      <c r="A577" s="19">
        <v>46076.0</v>
      </c>
      <c r="B577" s="20" t="s">
        <v>19</v>
      </c>
      <c r="C577" s="20">
        <v>52.0</v>
      </c>
      <c r="D577" s="21"/>
      <c r="E577" s="11">
        <f>IF(J577="","", C577 * IFERROR(VLOOKUP(J577, SETUP!$A:$D, 3, FALSE), 0))</f>
        <v>0</v>
      </c>
      <c r="F577" s="11">
        <f>IF(J577="","", C577 * IFERROR(VLOOKUP(J577, SETUP!$A:$D, 4, FALSE), 0))</f>
        <v>52</v>
      </c>
      <c r="G577" s="11">
        <f t="shared" si="1"/>
        <v>52</v>
      </c>
      <c r="H577" s="22"/>
      <c r="I577" s="11"/>
      <c r="J577" s="17" t="str">
        <f>IF(TRIM(B577)="","",IF(ISNUMBER(SEARCH(" - ",B577)),TRIM(RIGHT(B577,LEN(B577)-FIND(" - ",B577)-2)),IFERROR(VLOOKUP(UPPER(TRIM(B577)), SETUP!$B$4:$C$11, 2, FALSE), UPPER(TRIM(B577)))))</f>
        <v>HANNI</v>
      </c>
      <c r="K577" s="23">
        <f t="shared" si="2"/>
        <v>46076</v>
      </c>
      <c r="L577" s="17">
        <f t="shared" si="3"/>
        <v>46076</v>
      </c>
      <c r="M577" s="17" t="str">
        <f t="shared" si="4"/>
        <v>2026-02</v>
      </c>
    </row>
    <row r="578" ht="15.75" customHeight="1">
      <c r="A578" s="19">
        <v>46076.0</v>
      </c>
      <c r="B578" s="20" t="s">
        <v>19</v>
      </c>
      <c r="C578" s="20">
        <v>70.0</v>
      </c>
      <c r="D578" s="21"/>
      <c r="E578" s="11">
        <f>IF(J578="","", C578 * IFERROR(VLOOKUP(J578, SETUP!$A:$D, 3, FALSE), 0))</f>
        <v>0</v>
      </c>
      <c r="F578" s="11">
        <f>IF(J578="","", C578 * IFERROR(VLOOKUP(J578, SETUP!$A:$D, 4, FALSE), 0))</f>
        <v>70</v>
      </c>
      <c r="G578" s="11">
        <f t="shared" si="1"/>
        <v>70</v>
      </c>
      <c r="H578" s="22"/>
      <c r="I578" s="11"/>
      <c r="J578" s="17" t="str">
        <f>IF(TRIM(B578)="","",IF(ISNUMBER(SEARCH(" - ",B578)),TRIM(RIGHT(B578,LEN(B578)-FIND(" - ",B578)-2)),IFERROR(VLOOKUP(UPPER(TRIM(B578)), SETUP!$B$4:$C$11, 2, FALSE), UPPER(TRIM(B578)))))</f>
        <v>HANNI</v>
      </c>
      <c r="K578" s="23">
        <f t="shared" si="2"/>
        <v>46076</v>
      </c>
      <c r="L578" s="17">
        <f t="shared" si="3"/>
        <v>46076</v>
      </c>
      <c r="M578" s="17" t="str">
        <f t="shared" si="4"/>
        <v>2026-02</v>
      </c>
    </row>
    <row r="579" ht="15.75" customHeight="1">
      <c r="A579" s="19">
        <v>46076.0</v>
      </c>
      <c r="B579" s="20" t="s">
        <v>19</v>
      </c>
      <c r="C579" s="20">
        <v>52.0</v>
      </c>
      <c r="D579" s="21"/>
      <c r="E579" s="11">
        <f>IF(J579="","", C579 * IFERROR(VLOOKUP(J579, SETUP!$A:$D, 3, FALSE), 0))</f>
        <v>0</v>
      </c>
      <c r="F579" s="11">
        <f>IF(J579="","", C579 * IFERROR(VLOOKUP(J579, SETUP!$A:$D, 4, FALSE), 0))</f>
        <v>52</v>
      </c>
      <c r="G579" s="11">
        <f t="shared" si="1"/>
        <v>52</v>
      </c>
      <c r="H579" s="22"/>
      <c r="I579" s="11"/>
      <c r="J579" s="17" t="str">
        <f>IF(TRIM(B579)="","",IF(ISNUMBER(SEARCH(" - ",B579)),TRIM(RIGHT(B579,LEN(B579)-FIND(" - ",B579)-2)),IFERROR(VLOOKUP(UPPER(TRIM(B579)), SETUP!$B$4:$C$11, 2, FALSE), UPPER(TRIM(B579)))))</f>
        <v>HANNI</v>
      </c>
      <c r="K579" s="23">
        <f t="shared" si="2"/>
        <v>46076</v>
      </c>
      <c r="L579" s="17">
        <f t="shared" si="3"/>
        <v>46076</v>
      </c>
      <c r="M579" s="17" t="str">
        <f t="shared" si="4"/>
        <v>2026-02</v>
      </c>
    </row>
    <row r="580" ht="15.75" customHeight="1">
      <c r="A580" s="19">
        <v>46076.0</v>
      </c>
      <c r="B580" s="20" t="s">
        <v>19</v>
      </c>
      <c r="C580" s="20">
        <v>77.0</v>
      </c>
      <c r="D580" s="21"/>
      <c r="E580" s="11">
        <f>IF(J580="","", C580 * IFERROR(VLOOKUP(J580, SETUP!$A:$D, 3, FALSE), 0))</f>
        <v>0</v>
      </c>
      <c r="F580" s="11">
        <f>IF(J580="","", C580 * IFERROR(VLOOKUP(J580, SETUP!$A:$D, 4, FALSE), 0))</f>
        <v>77</v>
      </c>
      <c r="G580" s="11">
        <f t="shared" si="1"/>
        <v>77</v>
      </c>
      <c r="H580" s="22"/>
      <c r="I580" s="11"/>
      <c r="J580" s="17" t="str">
        <f>IF(TRIM(B580)="","",IF(ISNUMBER(SEARCH(" - ",B580)),TRIM(RIGHT(B580,LEN(B580)-FIND(" - ",B580)-2)),IFERROR(VLOOKUP(UPPER(TRIM(B580)), SETUP!$B$4:$C$11, 2, FALSE), UPPER(TRIM(B580)))))</f>
        <v>HANNI</v>
      </c>
      <c r="K580" s="23">
        <f t="shared" si="2"/>
        <v>46076</v>
      </c>
      <c r="L580" s="17">
        <f t="shared" si="3"/>
        <v>46076</v>
      </c>
      <c r="M580" s="17" t="str">
        <f t="shared" si="4"/>
        <v>2026-02</v>
      </c>
    </row>
    <row r="581" ht="15.75" customHeight="1">
      <c r="A581" s="19">
        <v>46076.0</v>
      </c>
      <c r="B581" s="20" t="s">
        <v>20</v>
      </c>
      <c r="C581" s="20">
        <v>40.0</v>
      </c>
      <c r="D581" s="21"/>
      <c r="E581" s="11">
        <f>IF(J581="","", C581 * IFERROR(VLOOKUP(J581, SETUP!$A:$D, 3, FALSE), 0))</f>
        <v>24</v>
      </c>
      <c r="F581" s="11">
        <f>IF(J581="","", C581 * IFERROR(VLOOKUP(J581, SETUP!$A:$D, 4, FALSE), 0))</f>
        <v>16</v>
      </c>
      <c r="G581" s="11">
        <f t="shared" si="1"/>
        <v>16</v>
      </c>
      <c r="H581" s="22"/>
      <c r="I581" s="11"/>
      <c r="J581" s="17" t="str">
        <f>IF(TRIM(B581)="","",IF(ISNUMBER(SEARCH(" - ",B581)),TRIM(RIGHT(B581,LEN(B581)-FIND(" - ",B581)-2)),IFERROR(VLOOKUP(UPPER(TRIM(B581)), SETUP!$B$4:$C$11, 2, FALSE), UPPER(TRIM(B581)))))</f>
        <v>AMY</v>
      </c>
      <c r="K581" s="23">
        <f t="shared" si="2"/>
        <v>46076</v>
      </c>
      <c r="L581" s="17">
        <f t="shared" si="3"/>
        <v>46076</v>
      </c>
      <c r="M581" s="17" t="str">
        <f t="shared" si="4"/>
        <v>2026-02</v>
      </c>
    </row>
    <row r="582" ht="15.75" customHeight="1">
      <c r="A582" s="19">
        <v>46076.0</v>
      </c>
      <c r="B582" s="20" t="s">
        <v>20</v>
      </c>
      <c r="C582" s="20">
        <v>47.0</v>
      </c>
      <c r="D582" s="21"/>
      <c r="E582" s="11">
        <f>IF(J582="","", C582 * IFERROR(VLOOKUP(J582, SETUP!$A:$D, 3, FALSE), 0))</f>
        <v>28.2</v>
      </c>
      <c r="F582" s="11">
        <f>IF(J582="","", C582 * IFERROR(VLOOKUP(J582, SETUP!$A:$D, 4, FALSE), 0))</f>
        <v>18.8</v>
      </c>
      <c r="G582" s="11">
        <f t="shared" si="1"/>
        <v>18.8</v>
      </c>
      <c r="H582" s="22"/>
      <c r="I582" s="11"/>
      <c r="J582" s="17" t="str">
        <f>IF(TRIM(B582)="","",IF(ISNUMBER(SEARCH(" - ",B582)),TRIM(RIGHT(B582,LEN(B582)-FIND(" - ",B582)-2)),IFERROR(VLOOKUP(UPPER(TRIM(B582)), SETUP!$B$4:$C$11, 2, FALSE), UPPER(TRIM(B582)))))</f>
        <v>AMY</v>
      </c>
      <c r="K582" s="23">
        <f t="shared" si="2"/>
        <v>46076</v>
      </c>
      <c r="L582" s="17">
        <f t="shared" si="3"/>
        <v>46076</v>
      </c>
      <c r="M582" s="17" t="str">
        <f t="shared" si="4"/>
        <v>2026-02</v>
      </c>
    </row>
    <row r="583" ht="15.75" customHeight="1">
      <c r="A583" s="19">
        <v>46076.0</v>
      </c>
      <c r="B583" s="20" t="s">
        <v>20</v>
      </c>
      <c r="C583" s="20">
        <v>50.0</v>
      </c>
      <c r="D583" s="21"/>
      <c r="E583" s="11">
        <f>IF(J583="","", C583 * IFERROR(VLOOKUP(J583, SETUP!$A:$D, 3, FALSE), 0))</f>
        <v>30</v>
      </c>
      <c r="F583" s="11">
        <f>IF(J583="","", C583 * IFERROR(VLOOKUP(J583, SETUP!$A:$D, 4, FALSE), 0))</f>
        <v>20</v>
      </c>
      <c r="G583" s="11">
        <f t="shared" si="1"/>
        <v>20</v>
      </c>
      <c r="H583" s="22"/>
      <c r="I583" s="11"/>
      <c r="J583" s="17" t="str">
        <f>IF(TRIM(B583)="","",IF(ISNUMBER(SEARCH(" - ",B583)),TRIM(RIGHT(B583,LEN(B583)-FIND(" - ",B583)-2)),IFERROR(VLOOKUP(UPPER(TRIM(B583)), SETUP!$B$4:$C$11, 2, FALSE), UPPER(TRIM(B583)))))</f>
        <v>AMY</v>
      </c>
      <c r="K583" s="23">
        <f t="shared" si="2"/>
        <v>46076</v>
      </c>
      <c r="L583" s="17">
        <f t="shared" si="3"/>
        <v>46076</v>
      </c>
      <c r="M583" s="17" t="str">
        <f t="shared" si="4"/>
        <v>2026-02</v>
      </c>
    </row>
    <row r="584" ht="15.75" customHeight="1">
      <c r="A584" s="19">
        <v>46076.0</v>
      </c>
      <c r="B584" s="20" t="s">
        <v>20</v>
      </c>
      <c r="C584" s="20">
        <v>52.0</v>
      </c>
      <c r="D584" s="21"/>
      <c r="E584" s="11">
        <f>IF(J584="","", C584 * IFERROR(VLOOKUP(J584, SETUP!$A:$D, 3, FALSE), 0))</f>
        <v>31.2</v>
      </c>
      <c r="F584" s="11">
        <f>IF(J584="","", C584 * IFERROR(VLOOKUP(J584, SETUP!$A:$D, 4, FALSE), 0))</f>
        <v>20.8</v>
      </c>
      <c r="G584" s="11">
        <f t="shared" si="1"/>
        <v>20.8</v>
      </c>
      <c r="H584" s="22"/>
      <c r="I584" s="11"/>
      <c r="J584" s="17" t="str">
        <f>IF(TRIM(B584)="","",IF(ISNUMBER(SEARCH(" - ",B584)),TRIM(RIGHT(B584,LEN(B584)-FIND(" - ",B584)-2)),IFERROR(VLOOKUP(UPPER(TRIM(B584)), SETUP!$B$4:$C$11, 2, FALSE), UPPER(TRIM(B584)))))</f>
        <v>AMY</v>
      </c>
      <c r="K584" s="23">
        <f t="shared" si="2"/>
        <v>46076</v>
      </c>
      <c r="L584" s="17">
        <f t="shared" si="3"/>
        <v>46076</v>
      </c>
      <c r="M584" s="17" t="str">
        <f t="shared" si="4"/>
        <v>2026-02</v>
      </c>
    </row>
    <row r="585" ht="15.75" customHeight="1">
      <c r="A585" s="19">
        <v>46076.0</v>
      </c>
      <c r="B585" s="20" t="s">
        <v>20</v>
      </c>
      <c r="C585" s="20">
        <v>50.0</v>
      </c>
      <c r="D585" s="21"/>
      <c r="E585" s="11">
        <f>IF(J585="","", C585 * IFERROR(VLOOKUP(J585, SETUP!$A:$D, 3, FALSE), 0))</f>
        <v>30</v>
      </c>
      <c r="F585" s="11">
        <f>IF(J585="","", C585 * IFERROR(VLOOKUP(J585, SETUP!$A:$D, 4, FALSE), 0))</f>
        <v>20</v>
      </c>
      <c r="G585" s="11">
        <f t="shared" si="1"/>
        <v>20</v>
      </c>
      <c r="H585" s="22"/>
      <c r="I585" s="11"/>
      <c r="J585" s="17" t="str">
        <f>IF(TRIM(B585)="","",IF(ISNUMBER(SEARCH(" - ",B585)),TRIM(RIGHT(B585,LEN(B585)-FIND(" - ",B585)-2)),IFERROR(VLOOKUP(UPPER(TRIM(B585)), SETUP!$B$4:$C$11, 2, FALSE), UPPER(TRIM(B585)))))</f>
        <v>AMY</v>
      </c>
      <c r="K585" s="23">
        <f t="shared" si="2"/>
        <v>46076</v>
      </c>
      <c r="L585" s="17">
        <f t="shared" si="3"/>
        <v>46076</v>
      </c>
      <c r="M585" s="17" t="str">
        <f t="shared" si="4"/>
        <v>2026-02</v>
      </c>
    </row>
    <row r="586" ht="15.75" customHeight="1">
      <c r="A586" s="19">
        <v>46076.0</v>
      </c>
      <c r="B586" s="20" t="s">
        <v>20</v>
      </c>
      <c r="C586" s="20">
        <v>47.0</v>
      </c>
      <c r="D586" s="21"/>
      <c r="E586" s="11">
        <f>IF(J586="","", C586 * IFERROR(VLOOKUP(J586, SETUP!$A:$D, 3, FALSE), 0))</f>
        <v>28.2</v>
      </c>
      <c r="F586" s="11">
        <f>IF(J586="","", C586 * IFERROR(VLOOKUP(J586, SETUP!$A:$D, 4, FALSE), 0))</f>
        <v>18.8</v>
      </c>
      <c r="G586" s="11">
        <f t="shared" si="1"/>
        <v>18.8</v>
      </c>
      <c r="H586" s="22"/>
      <c r="I586" s="11"/>
      <c r="J586" s="17" t="str">
        <f>IF(TRIM(B586)="","",IF(ISNUMBER(SEARCH(" - ",B586)),TRIM(RIGHT(B586,LEN(B586)-FIND(" - ",B586)-2)),IFERROR(VLOOKUP(UPPER(TRIM(B586)), SETUP!$B$4:$C$11, 2, FALSE), UPPER(TRIM(B586)))))</f>
        <v>AMY</v>
      </c>
      <c r="K586" s="23">
        <f t="shared" si="2"/>
        <v>46076</v>
      </c>
      <c r="L586" s="17">
        <f t="shared" si="3"/>
        <v>46076</v>
      </c>
      <c r="M586" s="17" t="str">
        <f t="shared" si="4"/>
        <v>2026-02</v>
      </c>
    </row>
    <row r="587" ht="15.75" customHeight="1">
      <c r="A587" s="19">
        <v>46076.0</v>
      </c>
      <c r="B587" s="20" t="s">
        <v>20</v>
      </c>
      <c r="C587" s="20">
        <v>67.0</v>
      </c>
      <c r="D587" s="21"/>
      <c r="E587" s="11">
        <f>IF(J587="","", C587 * IFERROR(VLOOKUP(J587, SETUP!$A:$D, 3, FALSE), 0))</f>
        <v>40.2</v>
      </c>
      <c r="F587" s="11">
        <f>IF(J587="","", C587 * IFERROR(VLOOKUP(J587, SETUP!$A:$D, 4, FALSE), 0))</f>
        <v>26.8</v>
      </c>
      <c r="G587" s="11">
        <f t="shared" si="1"/>
        <v>26.8</v>
      </c>
      <c r="H587" s="22"/>
      <c r="I587" s="11"/>
      <c r="J587" s="17" t="str">
        <f>IF(TRIM(B587)="","",IF(ISNUMBER(SEARCH(" - ",B587)),TRIM(RIGHT(B587,LEN(B587)-FIND(" - ",B587)-2)),IFERROR(VLOOKUP(UPPER(TRIM(B587)), SETUP!$B$4:$C$11, 2, FALSE), UPPER(TRIM(B587)))))</f>
        <v>AMY</v>
      </c>
      <c r="K587" s="23">
        <f t="shared" si="2"/>
        <v>46076</v>
      </c>
      <c r="L587" s="17">
        <f t="shared" si="3"/>
        <v>46076</v>
      </c>
      <c r="M587" s="17" t="str">
        <f t="shared" si="4"/>
        <v>2026-02</v>
      </c>
    </row>
    <row r="588" ht="15.75" customHeight="1">
      <c r="A588" s="19">
        <v>46076.0</v>
      </c>
      <c r="B588" s="20" t="s">
        <v>20</v>
      </c>
      <c r="C588" s="20">
        <v>57.0</v>
      </c>
      <c r="D588" s="21"/>
      <c r="E588" s="11">
        <f>IF(J588="","", C588 * IFERROR(VLOOKUP(J588, SETUP!$A:$D, 3, FALSE), 0))</f>
        <v>34.2</v>
      </c>
      <c r="F588" s="11">
        <f>IF(J588="","", C588 * IFERROR(VLOOKUP(J588, SETUP!$A:$D, 4, FALSE), 0))</f>
        <v>22.8</v>
      </c>
      <c r="G588" s="11">
        <f t="shared" si="1"/>
        <v>22.8</v>
      </c>
      <c r="H588" s="22"/>
      <c r="I588" s="11"/>
      <c r="J588" s="17" t="str">
        <f>IF(TRIM(B588)="","",IF(ISNUMBER(SEARCH(" - ",B588)),TRIM(RIGHT(B588,LEN(B588)-FIND(" - ",B588)-2)),IFERROR(VLOOKUP(UPPER(TRIM(B588)), SETUP!$B$4:$C$11, 2, FALSE), UPPER(TRIM(B588)))))</f>
        <v>AMY</v>
      </c>
      <c r="K588" s="23">
        <f t="shared" si="2"/>
        <v>46076</v>
      </c>
      <c r="L588" s="17">
        <f t="shared" si="3"/>
        <v>46076</v>
      </c>
      <c r="M588" s="17" t="str">
        <f t="shared" si="4"/>
        <v>2026-02</v>
      </c>
    </row>
    <row r="589" ht="15.75" customHeight="1">
      <c r="A589" s="19">
        <v>46076.0</v>
      </c>
      <c r="B589" s="20" t="s">
        <v>20</v>
      </c>
      <c r="C589" s="20">
        <v>57.0</v>
      </c>
      <c r="D589" s="21"/>
      <c r="E589" s="11">
        <f>IF(J589="","", C589 * IFERROR(VLOOKUP(J589, SETUP!$A:$D, 3, FALSE), 0))</f>
        <v>34.2</v>
      </c>
      <c r="F589" s="11">
        <f>IF(J589="","", C589 * IFERROR(VLOOKUP(J589, SETUP!$A:$D, 4, FALSE), 0))</f>
        <v>22.8</v>
      </c>
      <c r="G589" s="11">
        <f t="shared" si="1"/>
        <v>22.8</v>
      </c>
      <c r="H589" s="22"/>
      <c r="I589" s="11"/>
      <c r="J589" s="17" t="str">
        <f>IF(TRIM(B589)="","",IF(ISNUMBER(SEARCH(" - ",B589)),TRIM(RIGHT(B589,LEN(B589)-FIND(" - ",B589)-2)),IFERROR(VLOOKUP(UPPER(TRIM(B589)), SETUP!$B$4:$C$11, 2, FALSE), UPPER(TRIM(B589)))))</f>
        <v>AMY</v>
      </c>
      <c r="K589" s="23">
        <f t="shared" si="2"/>
        <v>46076</v>
      </c>
      <c r="L589" s="17">
        <f t="shared" si="3"/>
        <v>46076</v>
      </c>
      <c r="M589" s="17" t="str">
        <f t="shared" si="4"/>
        <v>2026-02</v>
      </c>
    </row>
    <row r="590" ht="15.75" customHeight="1">
      <c r="A590" s="19">
        <v>46076.0</v>
      </c>
      <c r="B590" s="20" t="s">
        <v>21</v>
      </c>
      <c r="C590" s="20">
        <v>97.0</v>
      </c>
      <c r="D590" s="21"/>
      <c r="E590" s="11">
        <f>IF(J590="","", C590 * IFERROR(VLOOKUP(J590, SETUP!$A:$D, 3, FALSE), 0))</f>
        <v>58.2</v>
      </c>
      <c r="F590" s="11">
        <f>IF(J590="","", C590 * IFERROR(VLOOKUP(J590, SETUP!$A:$D, 4, FALSE), 0))</f>
        <v>38.8</v>
      </c>
      <c r="G590" s="11">
        <f t="shared" si="1"/>
        <v>38.8</v>
      </c>
      <c r="H590" s="22"/>
      <c r="I590" s="11"/>
      <c r="J590" s="17" t="str">
        <f>IF(TRIM(B590)="","",IF(ISNUMBER(SEARCH(" - ",B590)),TRIM(RIGHT(B590,LEN(B590)-FIND(" - ",B590)-2)),IFERROR(VLOOKUP(UPPER(TRIM(B590)), SETUP!$B$4:$C$11, 2, FALSE), UPPER(TRIM(B590)))))</f>
        <v>TONY</v>
      </c>
      <c r="K590" s="23">
        <f t="shared" si="2"/>
        <v>46076</v>
      </c>
      <c r="L590" s="17">
        <f t="shared" si="3"/>
        <v>46076</v>
      </c>
      <c r="M590" s="17" t="str">
        <f t="shared" si="4"/>
        <v>2026-02</v>
      </c>
    </row>
    <row r="591" ht="15.75" customHeight="1">
      <c r="A591" s="19">
        <v>46076.0</v>
      </c>
      <c r="B591" s="20" t="s">
        <v>21</v>
      </c>
      <c r="C591" s="20">
        <v>35.0</v>
      </c>
      <c r="D591" s="21"/>
      <c r="E591" s="11">
        <f>IF(J591="","", C591 * IFERROR(VLOOKUP(J591, SETUP!$A:$D, 3, FALSE), 0))</f>
        <v>21</v>
      </c>
      <c r="F591" s="11">
        <f>IF(J591="","", C591 * IFERROR(VLOOKUP(J591, SETUP!$A:$D, 4, FALSE), 0))</f>
        <v>14</v>
      </c>
      <c r="G591" s="11">
        <f t="shared" si="1"/>
        <v>14</v>
      </c>
      <c r="H591" s="22"/>
      <c r="I591" s="11"/>
      <c r="J591" s="17" t="str">
        <f>IF(TRIM(B591)="","",IF(ISNUMBER(SEARCH(" - ",B591)),TRIM(RIGHT(B591,LEN(B591)-FIND(" - ",B591)-2)),IFERROR(VLOOKUP(UPPER(TRIM(B591)), SETUP!$B$4:$C$11, 2, FALSE), UPPER(TRIM(B591)))))</f>
        <v>TONY</v>
      </c>
      <c r="K591" s="23">
        <f t="shared" si="2"/>
        <v>46076</v>
      </c>
      <c r="L591" s="17">
        <f t="shared" si="3"/>
        <v>46076</v>
      </c>
      <c r="M591" s="17" t="str">
        <f t="shared" si="4"/>
        <v>2026-02</v>
      </c>
    </row>
    <row r="592" ht="15.75" customHeight="1">
      <c r="A592" s="19">
        <v>46076.0</v>
      </c>
      <c r="B592" s="20" t="s">
        <v>21</v>
      </c>
      <c r="C592" s="20">
        <v>102.0</v>
      </c>
      <c r="D592" s="21"/>
      <c r="E592" s="11">
        <f>IF(J592="","", C592 * IFERROR(VLOOKUP(J592, SETUP!$A:$D, 3, FALSE), 0))</f>
        <v>61.2</v>
      </c>
      <c r="F592" s="11">
        <f>IF(J592="","", C592 * IFERROR(VLOOKUP(J592, SETUP!$A:$D, 4, FALSE), 0))</f>
        <v>40.8</v>
      </c>
      <c r="G592" s="11">
        <f t="shared" si="1"/>
        <v>40.8</v>
      </c>
      <c r="H592" s="22"/>
      <c r="I592" s="11"/>
      <c r="J592" s="17" t="str">
        <f>IF(TRIM(B592)="","",IF(ISNUMBER(SEARCH(" - ",B592)),TRIM(RIGHT(B592,LEN(B592)-FIND(" - ",B592)-2)),IFERROR(VLOOKUP(UPPER(TRIM(B592)), SETUP!$B$4:$C$11, 2, FALSE), UPPER(TRIM(B592)))))</f>
        <v>TONY</v>
      </c>
      <c r="K592" s="23">
        <f t="shared" si="2"/>
        <v>46076</v>
      </c>
      <c r="L592" s="17">
        <f t="shared" si="3"/>
        <v>46076</v>
      </c>
      <c r="M592" s="17" t="str">
        <f t="shared" si="4"/>
        <v>2026-02</v>
      </c>
    </row>
    <row r="593" ht="15.75" customHeight="1">
      <c r="A593" s="19">
        <v>46076.0</v>
      </c>
      <c r="B593" s="20" t="s">
        <v>21</v>
      </c>
      <c r="C593" s="20">
        <v>135.0</v>
      </c>
      <c r="D593" s="21"/>
      <c r="E593" s="11">
        <f>IF(J593="","", C593 * IFERROR(VLOOKUP(J593, SETUP!$A:$D, 3, FALSE), 0))</f>
        <v>81</v>
      </c>
      <c r="F593" s="11">
        <f>IF(J593="","", C593 * IFERROR(VLOOKUP(J593, SETUP!$A:$D, 4, FALSE), 0))</f>
        <v>54</v>
      </c>
      <c r="G593" s="11">
        <f t="shared" si="1"/>
        <v>54</v>
      </c>
      <c r="H593" s="22"/>
      <c r="I593" s="11"/>
      <c r="J593" s="17" t="str">
        <f>IF(TRIM(B593)="","",IF(ISNUMBER(SEARCH(" - ",B593)),TRIM(RIGHT(B593,LEN(B593)-FIND(" - ",B593)-2)),IFERROR(VLOOKUP(UPPER(TRIM(B593)), SETUP!$B$4:$C$11, 2, FALSE), UPPER(TRIM(B593)))))</f>
        <v>TONY</v>
      </c>
      <c r="K593" s="23">
        <f t="shared" si="2"/>
        <v>46076</v>
      </c>
      <c r="L593" s="17">
        <f t="shared" si="3"/>
        <v>46076</v>
      </c>
      <c r="M593" s="17" t="str">
        <f t="shared" si="4"/>
        <v>2026-02</v>
      </c>
    </row>
    <row r="594" ht="15.75" customHeight="1">
      <c r="A594" s="19">
        <v>46076.0</v>
      </c>
      <c r="B594" s="20" t="s">
        <v>21</v>
      </c>
      <c r="C594" s="20">
        <v>67.0</v>
      </c>
      <c r="D594" s="21"/>
      <c r="E594" s="11">
        <f>IF(J594="","", C594 * IFERROR(VLOOKUP(J594, SETUP!$A:$D, 3, FALSE), 0))</f>
        <v>40.2</v>
      </c>
      <c r="F594" s="11">
        <f>IF(J594="","", C594 * IFERROR(VLOOKUP(J594, SETUP!$A:$D, 4, FALSE), 0))</f>
        <v>26.8</v>
      </c>
      <c r="G594" s="11">
        <f t="shared" si="1"/>
        <v>26.8</v>
      </c>
      <c r="H594" s="22"/>
      <c r="I594" s="11"/>
      <c r="J594" s="17" t="str">
        <f>IF(TRIM(B594)="","",IF(ISNUMBER(SEARCH(" - ",B594)),TRIM(RIGHT(B594,LEN(B594)-FIND(" - ",B594)-2)),IFERROR(VLOOKUP(UPPER(TRIM(B594)), SETUP!$B$4:$C$11, 2, FALSE), UPPER(TRIM(B594)))))</f>
        <v>TONY</v>
      </c>
      <c r="K594" s="23">
        <f t="shared" si="2"/>
        <v>46076</v>
      </c>
      <c r="L594" s="17">
        <f t="shared" si="3"/>
        <v>46076</v>
      </c>
      <c r="M594" s="17" t="str">
        <f t="shared" si="4"/>
        <v>2026-02</v>
      </c>
    </row>
    <row r="595" ht="15.75" customHeight="1">
      <c r="A595" s="19">
        <v>46076.0</v>
      </c>
      <c r="B595" s="20" t="s">
        <v>21</v>
      </c>
      <c r="C595" s="20">
        <v>50.0</v>
      </c>
      <c r="D595" s="21"/>
      <c r="E595" s="11">
        <f>IF(J595="","", C595 * IFERROR(VLOOKUP(J595, SETUP!$A:$D, 3, FALSE), 0))</f>
        <v>30</v>
      </c>
      <c r="F595" s="11">
        <f>IF(J595="","", C595 * IFERROR(VLOOKUP(J595, SETUP!$A:$D, 4, FALSE), 0))</f>
        <v>20</v>
      </c>
      <c r="G595" s="11">
        <f t="shared" si="1"/>
        <v>20</v>
      </c>
      <c r="H595" s="22"/>
      <c r="I595" s="11"/>
      <c r="J595" s="17" t="str">
        <f>IF(TRIM(B595)="","",IF(ISNUMBER(SEARCH(" - ",B595)),TRIM(RIGHT(B595,LEN(B595)-FIND(" - ",B595)-2)),IFERROR(VLOOKUP(UPPER(TRIM(B595)), SETUP!$B$4:$C$11, 2, FALSE), UPPER(TRIM(B595)))))</f>
        <v>TONY</v>
      </c>
      <c r="K595" s="23">
        <f t="shared" si="2"/>
        <v>46076</v>
      </c>
      <c r="L595" s="17">
        <f t="shared" si="3"/>
        <v>46076</v>
      </c>
      <c r="M595" s="17" t="str">
        <f t="shared" si="4"/>
        <v>2026-02</v>
      </c>
    </row>
    <row r="596" ht="15.75" customHeight="1">
      <c r="A596" s="19">
        <v>46077.0</v>
      </c>
      <c r="B596" s="20" t="s">
        <v>16</v>
      </c>
      <c r="C596" s="20">
        <v>150.0</v>
      </c>
      <c r="D596" s="21"/>
      <c r="E596" s="11">
        <f>IF(J596="","", C596 * IFERROR(VLOOKUP(J596, SETUP!$A:$D, 3, FALSE), 0))</f>
        <v>0</v>
      </c>
      <c r="F596" s="11">
        <f>IF(J596="","", C596 * IFERROR(VLOOKUP(J596, SETUP!$A:$D, 4, FALSE), 0))</f>
        <v>150</v>
      </c>
      <c r="G596" s="11">
        <f t="shared" si="1"/>
        <v>150</v>
      </c>
      <c r="H596" s="22"/>
      <c r="I596" s="11"/>
      <c r="J596" s="17" t="str">
        <f>IF(TRIM(B596)="","",IF(ISNUMBER(SEARCH(" - ",B596)),TRIM(RIGHT(B596,LEN(B596)-FIND(" - ",B596)-2)),IFERROR(VLOOKUP(UPPER(TRIM(B596)), SETUP!$B$4:$C$11, 2, FALSE), UPPER(TRIM(B596)))))</f>
        <v>KEN</v>
      </c>
      <c r="K596" s="23">
        <f t="shared" si="2"/>
        <v>46076</v>
      </c>
      <c r="L596" s="17">
        <f t="shared" si="3"/>
        <v>46077</v>
      </c>
      <c r="M596" s="17" t="str">
        <f t="shared" si="4"/>
        <v>2026-02</v>
      </c>
    </row>
    <row r="597" ht="15.75" customHeight="1">
      <c r="A597" s="19">
        <v>46077.0</v>
      </c>
      <c r="B597" s="20" t="s">
        <v>17</v>
      </c>
      <c r="C597" s="20">
        <v>87.0</v>
      </c>
      <c r="D597" s="21"/>
      <c r="E597" s="11">
        <f>IF(J597="","", C597 * IFERROR(VLOOKUP(J597, SETUP!$A:$D, 3, FALSE), 0))</f>
        <v>52.2</v>
      </c>
      <c r="F597" s="11">
        <f>IF(J597="","", C597 * IFERROR(VLOOKUP(J597, SETUP!$A:$D, 4, FALSE), 0))</f>
        <v>34.8</v>
      </c>
      <c r="G597" s="11">
        <f t="shared" si="1"/>
        <v>34.8</v>
      </c>
      <c r="H597" s="22"/>
      <c r="I597" s="11"/>
      <c r="J597" s="17" t="str">
        <f>IF(TRIM(B597)="","",IF(ISNUMBER(SEARCH(" - ",B597)),TRIM(RIGHT(B597,LEN(B597)-FIND(" - ",B597)-2)),IFERROR(VLOOKUP(UPPER(TRIM(B597)), SETUP!$B$4:$C$11, 2, FALSE), UPPER(TRIM(B597)))))</f>
        <v>RYAN</v>
      </c>
      <c r="K597" s="23">
        <f t="shared" si="2"/>
        <v>46076</v>
      </c>
      <c r="L597" s="17">
        <f t="shared" si="3"/>
        <v>46077</v>
      </c>
      <c r="M597" s="17" t="str">
        <f t="shared" si="4"/>
        <v>2026-02</v>
      </c>
    </row>
    <row r="598" ht="15.75" customHeight="1">
      <c r="A598" s="19">
        <v>46077.0</v>
      </c>
      <c r="B598" s="20" t="s">
        <v>17</v>
      </c>
      <c r="C598" s="20">
        <v>102.0</v>
      </c>
      <c r="D598" s="21"/>
      <c r="E598" s="11">
        <f>IF(J598="","", C598 * IFERROR(VLOOKUP(J598, SETUP!$A:$D, 3, FALSE), 0))</f>
        <v>61.2</v>
      </c>
      <c r="F598" s="11">
        <f>IF(J598="","", C598 * IFERROR(VLOOKUP(J598, SETUP!$A:$D, 4, FALSE), 0))</f>
        <v>40.8</v>
      </c>
      <c r="G598" s="11">
        <f t="shared" si="1"/>
        <v>40.8</v>
      </c>
      <c r="H598" s="22"/>
      <c r="I598" s="11"/>
      <c r="J598" s="17" t="str">
        <f>IF(TRIM(B598)="","",IF(ISNUMBER(SEARCH(" - ",B598)),TRIM(RIGHT(B598,LEN(B598)-FIND(" - ",B598)-2)),IFERROR(VLOOKUP(UPPER(TRIM(B598)), SETUP!$B$4:$C$11, 2, FALSE), UPPER(TRIM(B598)))))</f>
        <v>RYAN</v>
      </c>
      <c r="K598" s="23">
        <f t="shared" si="2"/>
        <v>46076</v>
      </c>
      <c r="L598" s="17">
        <f t="shared" si="3"/>
        <v>46077</v>
      </c>
      <c r="M598" s="17" t="str">
        <f t="shared" si="4"/>
        <v>2026-02</v>
      </c>
    </row>
    <row r="599" ht="15.75" customHeight="1">
      <c r="A599" s="19">
        <v>46077.0</v>
      </c>
      <c r="B599" s="20" t="s">
        <v>17</v>
      </c>
      <c r="C599" s="20">
        <v>77.0</v>
      </c>
      <c r="D599" s="21"/>
      <c r="E599" s="11">
        <f>IF(J599="","", C599 * IFERROR(VLOOKUP(J599, SETUP!$A:$D, 3, FALSE), 0))</f>
        <v>46.2</v>
      </c>
      <c r="F599" s="11">
        <f>IF(J599="","", C599 * IFERROR(VLOOKUP(J599, SETUP!$A:$D, 4, FALSE), 0))</f>
        <v>30.8</v>
      </c>
      <c r="G599" s="11">
        <f t="shared" si="1"/>
        <v>30.8</v>
      </c>
      <c r="H599" s="22"/>
      <c r="I599" s="11"/>
      <c r="J599" s="17" t="str">
        <f>IF(TRIM(B599)="","",IF(ISNUMBER(SEARCH(" - ",B599)),TRIM(RIGHT(B599,LEN(B599)-FIND(" - ",B599)-2)),IFERROR(VLOOKUP(UPPER(TRIM(B599)), SETUP!$B$4:$C$11, 2, FALSE), UPPER(TRIM(B599)))))</f>
        <v>RYAN</v>
      </c>
      <c r="K599" s="23">
        <f t="shared" si="2"/>
        <v>46076</v>
      </c>
      <c r="L599" s="17">
        <f t="shared" si="3"/>
        <v>46077</v>
      </c>
      <c r="M599" s="17" t="str">
        <f t="shared" si="4"/>
        <v>2026-02</v>
      </c>
    </row>
    <row r="600" ht="15.75" customHeight="1">
      <c r="A600" s="19">
        <v>46077.0</v>
      </c>
      <c r="B600" s="20" t="s">
        <v>17</v>
      </c>
      <c r="C600" s="20">
        <v>47.0</v>
      </c>
      <c r="D600" s="21"/>
      <c r="E600" s="11">
        <f>IF(J600="","", C600 * IFERROR(VLOOKUP(J600, SETUP!$A:$D, 3, FALSE), 0))</f>
        <v>28.2</v>
      </c>
      <c r="F600" s="11">
        <f>IF(J600="","", C600 * IFERROR(VLOOKUP(J600, SETUP!$A:$D, 4, FALSE), 0))</f>
        <v>18.8</v>
      </c>
      <c r="G600" s="11">
        <f t="shared" si="1"/>
        <v>18.8</v>
      </c>
      <c r="H600" s="22"/>
      <c r="I600" s="11"/>
      <c r="J600" s="17" t="str">
        <f>IF(TRIM(B600)="","",IF(ISNUMBER(SEARCH(" - ",B600)),TRIM(RIGHT(B600,LEN(B600)-FIND(" - ",B600)-2)),IFERROR(VLOOKUP(UPPER(TRIM(B600)), SETUP!$B$4:$C$11, 2, FALSE), UPPER(TRIM(B600)))))</f>
        <v>RYAN</v>
      </c>
      <c r="K600" s="23">
        <f t="shared" si="2"/>
        <v>46076</v>
      </c>
      <c r="L600" s="17">
        <f t="shared" si="3"/>
        <v>46077</v>
      </c>
      <c r="M600" s="17" t="str">
        <f t="shared" si="4"/>
        <v>2026-02</v>
      </c>
    </row>
    <row r="601" ht="15.75" customHeight="1">
      <c r="A601" s="19">
        <v>46077.0</v>
      </c>
      <c r="B601" s="20" t="s">
        <v>17</v>
      </c>
      <c r="C601" s="20">
        <v>82.0</v>
      </c>
      <c r="D601" s="21"/>
      <c r="E601" s="11">
        <f>IF(J601="","", C601 * IFERROR(VLOOKUP(J601, SETUP!$A:$D, 3, FALSE), 0))</f>
        <v>49.2</v>
      </c>
      <c r="F601" s="11">
        <f>IF(J601="","", C601 * IFERROR(VLOOKUP(J601, SETUP!$A:$D, 4, FALSE), 0))</f>
        <v>32.8</v>
      </c>
      <c r="G601" s="11">
        <f t="shared" si="1"/>
        <v>32.8</v>
      </c>
      <c r="H601" s="22"/>
      <c r="I601" s="11"/>
      <c r="J601" s="17" t="str">
        <f>IF(TRIM(B601)="","",IF(ISNUMBER(SEARCH(" - ",B601)),TRIM(RIGHT(B601,LEN(B601)-FIND(" - ",B601)-2)),IFERROR(VLOOKUP(UPPER(TRIM(B601)), SETUP!$B$4:$C$11, 2, FALSE), UPPER(TRIM(B601)))))</f>
        <v>RYAN</v>
      </c>
      <c r="K601" s="23">
        <f t="shared" si="2"/>
        <v>46076</v>
      </c>
      <c r="L601" s="17">
        <f t="shared" si="3"/>
        <v>46077</v>
      </c>
      <c r="M601" s="17" t="str">
        <f t="shared" si="4"/>
        <v>2026-02</v>
      </c>
    </row>
    <row r="602" ht="15.75" customHeight="1">
      <c r="A602" s="19">
        <v>46077.0</v>
      </c>
      <c r="B602" s="20" t="s">
        <v>18</v>
      </c>
      <c r="C602" s="20">
        <v>55.0</v>
      </c>
      <c r="D602" s="21"/>
      <c r="E602" s="11">
        <f>IF(J602="","", C602 * IFERROR(VLOOKUP(J602, SETUP!$A:$D, 3, FALSE), 0))</f>
        <v>27.5</v>
      </c>
      <c r="F602" s="11">
        <f>IF(J602="","", C602 * IFERROR(VLOOKUP(J602, SETUP!$A:$D, 4, FALSE), 0))</f>
        <v>27.5</v>
      </c>
      <c r="G602" s="11">
        <f t="shared" si="1"/>
        <v>27.5</v>
      </c>
      <c r="H602" s="22"/>
      <c r="I602" s="11"/>
      <c r="J602" s="17" t="str">
        <f>IF(TRIM(B602)="","",IF(ISNUMBER(SEARCH(" - ",B602)),TRIM(RIGHT(B602,LEN(B602)-FIND(" - ",B602)-2)),IFERROR(VLOOKUP(UPPER(TRIM(B602)), SETUP!$B$4:$C$11, 2, FALSE), UPPER(TRIM(B602)))))</f>
        <v>CRIS</v>
      </c>
      <c r="K602" s="23">
        <f t="shared" si="2"/>
        <v>46076</v>
      </c>
      <c r="L602" s="17">
        <f t="shared" si="3"/>
        <v>46077</v>
      </c>
      <c r="M602" s="17" t="str">
        <f t="shared" si="4"/>
        <v>2026-02</v>
      </c>
    </row>
    <row r="603" ht="15.75" customHeight="1">
      <c r="A603" s="19">
        <v>46077.0</v>
      </c>
      <c r="B603" s="20" t="s">
        <v>18</v>
      </c>
      <c r="C603" s="20">
        <v>50.0</v>
      </c>
      <c r="D603" s="21"/>
      <c r="E603" s="11">
        <f>IF(J603="","", C603 * IFERROR(VLOOKUP(J603, SETUP!$A:$D, 3, FALSE), 0))</f>
        <v>25</v>
      </c>
      <c r="F603" s="11">
        <f>IF(J603="","", C603 * IFERROR(VLOOKUP(J603, SETUP!$A:$D, 4, FALSE), 0))</f>
        <v>25</v>
      </c>
      <c r="G603" s="11">
        <f t="shared" si="1"/>
        <v>25</v>
      </c>
      <c r="H603" s="22"/>
      <c r="I603" s="11"/>
      <c r="J603" s="17" t="str">
        <f>IF(TRIM(B603)="","",IF(ISNUMBER(SEARCH(" - ",B603)),TRIM(RIGHT(B603,LEN(B603)-FIND(" - ",B603)-2)),IFERROR(VLOOKUP(UPPER(TRIM(B603)), SETUP!$B$4:$C$11, 2, FALSE), UPPER(TRIM(B603)))))</f>
        <v>CRIS</v>
      </c>
      <c r="K603" s="23">
        <f t="shared" si="2"/>
        <v>46076</v>
      </c>
      <c r="L603" s="17">
        <f t="shared" si="3"/>
        <v>46077</v>
      </c>
      <c r="M603" s="17" t="str">
        <f t="shared" si="4"/>
        <v>2026-02</v>
      </c>
    </row>
    <row r="604" ht="15.75" customHeight="1">
      <c r="A604" s="19">
        <v>46077.0</v>
      </c>
      <c r="B604" s="20" t="s">
        <v>18</v>
      </c>
      <c r="C604" s="20">
        <v>35.0</v>
      </c>
      <c r="D604" s="21"/>
      <c r="E604" s="11">
        <f>IF(J604="","", C604 * IFERROR(VLOOKUP(J604, SETUP!$A:$D, 3, FALSE), 0))</f>
        <v>17.5</v>
      </c>
      <c r="F604" s="11">
        <f>IF(J604="","", C604 * IFERROR(VLOOKUP(J604, SETUP!$A:$D, 4, FALSE), 0))</f>
        <v>17.5</v>
      </c>
      <c r="G604" s="11">
        <f t="shared" si="1"/>
        <v>17.5</v>
      </c>
      <c r="H604" s="22"/>
      <c r="I604" s="11"/>
      <c r="J604" s="17" t="str">
        <f>IF(TRIM(B604)="","",IF(ISNUMBER(SEARCH(" - ",B604)),TRIM(RIGHT(B604,LEN(B604)-FIND(" - ",B604)-2)),IFERROR(VLOOKUP(UPPER(TRIM(B604)), SETUP!$B$4:$C$11, 2, FALSE), UPPER(TRIM(B604)))))</f>
        <v>CRIS</v>
      </c>
      <c r="K604" s="23">
        <f t="shared" si="2"/>
        <v>46076</v>
      </c>
      <c r="L604" s="17">
        <f t="shared" si="3"/>
        <v>46077</v>
      </c>
      <c r="M604" s="17" t="str">
        <f t="shared" si="4"/>
        <v>2026-02</v>
      </c>
    </row>
    <row r="605" ht="15.75" customHeight="1">
      <c r="A605" s="19">
        <v>46077.0</v>
      </c>
      <c r="B605" s="20" t="s">
        <v>18</v>
      </c>
      <c r="C605" s="20">
        <v>85.0</v>
      </c>
      <c r="D605" s="21"/>
      <c r="E605" s="11">
        <f>IF(J605="","", C605 * IFERROR(VLOOKUP(J605, SETUP!$A:$D, 3, FALSE), 0))</f>
        <v>42.5</v>
      </c>
      <c r="F605" s="11">
        <f>IF(J605="","", C605 * IFERROR(VLOOKUP(J605, SETUP!$A:$D, 4, FALSE), 0))</f>
        <v>42.5</v>
      </c>
      <c r="G605" s="11">
        <f t="shared" si="1"/>
        <v>42.5</v>
      </c>
      <c r="H605" s="22"/>
      <c r="I605" s="11"/>
      <c r="J605" s="17" t="str">
        <f>IF(TRIM(B605)="","",IF(ISNUMBER(SEARCH(" - ",B605)),TRIM(RIGHT(B605,LEN(B605)-FIND(" - ",B605)-2)),IFERROR(VLOOKUP(UPPER(TRIM(B605)), SETUP!$B$4:$C$11, 2, FALSE), UPPER(TRIM(B605)))))</f>
        <v>CRIS</v>
      </c>
      <c r="K605" s="23">
        <f t="shared" si="2"/>
        <v>46076</v>
      </c>
      <c r="L605" s="17">
        <f t="shared" si="3"/>
        <v>46077</v>
      </c>
      <c r="M605" s="17" t="str">
        <f t="shared" si="4"/>
        <v>2026-02</v>
      </c>
    </row>
    <row r="606" ht="15.75" customHeight="1">
      <c r="A606" s="19">
        <v>46077.0</v>
      </c>
      <c r="B606" s="20" t="s">
        <v>18</v>
      </c>
      <c r="C606" s="20">
        <v>50.0</v>
      </c>
      <c r="D606" s="21"/>
      <c r="E606" s="11">
        <f>IF(J606="","", C606 * IFERROR(VLOOKUP(J606, SETUP!$A:$D, 3, FALSE), 0))</f>
        <v>25</v>
      </c>
      <c r="F606" s="11">
        <f>IF(J606="","", C606 * IFERROR(VLOOKUP(J606, SETUP!$A:$D, 4, FALSE), 0))</f>
        <v>25</v>
      </c>
      <c r="G606" s="11">
        <f t="shared" si="1"/>
        <v>25</v>
      </c>
      <c r="H606" s="22"/>
      <c r="I606" s="11"/>
      <c r="J606" s="17" t="str">
        <f>IF(TRIM(B606)="","",IF(ISNUMBER(SEARCH(" - ",B606)),TRIM(RIGHT(B606,LEN(B606)-FIND(" - ",B606)-2)),IFERROR(VLOOKUP(UPPER(TRIM(B606)), SETUP!$B$4:$C$11, 2, FALSE), UPPER(TRIM(B606)))))</f>
        <v>CRIS</v>
      </c>
      <c r="K606" s="23">
        <f t="shared" si="2"/>
        <v>46076</v>
      </c>
      <c r="L606" s="17">
        <f t="shared" si="3"/>
        <v>46077</v>
      </c>
      <c r="M606" s="17" t="str">
        <f t="shared" si="4"/>
        <v>2026-02</v>
      </c>
    </row>
    <row r="607" ht="15.75" customHeight="1">
      <c r="A607" s="19">
        <v>46077.0</v>
      </c>
      <c r="B607" s="20" t="s">
        <v>19</v>
      </c>
      <c r="C607" s="20">
        <v>62.0</v>
      </c>
      <c r="D607" s="21"/>
      <c r="E607" s="11">
        <f>IF(J607="","", C607 * IFERROR(VLOOKUP(J607, SETUP!$A:$D, 3, FALSE), 0))</f>
        <v>0</v>
      </c>
      <c r="F607" s="11">
        <f>IF(J607="","", C607 * IFERROR(VLOOKUP(J607, SETUP!$A:$D, 4, FALSE), 0))</f>
        <v>62</v>
      </c>
      <c r="G607" s="11">
        <f t="shared" si="1"/>
        <v>62</v>
      </c>
      <c r="H607" s="22"/>
      <c r="I607" s="11"/>
      <c r="J607" s="17" t="str">
        <f>IF(TRIM(B607)="","",IF(ISNUMBER(SEARCH(" - ",B607)),TRIM(RIGHT(B607,LEN(B607)-FIND(" - ",B607)-2)),IFERROR(VLOOKUP(UPPER(TRIM(B607)), SETUP!$B$4:$C$11, 2, FALSE), UPPER(TRIM(B607)))))</f>
        <v>HANNI</v>
      </c>
      <c r="K607" s="23">
        <f t="shared" si="2"/>
        <v>46076</v>
      </c>
      <c r="L607" s="17">
        <f t="shared" si="3"/>
        <v>46077</v>
      </c>
      <c r="M607" s="17" t="str">
        <f t="shared" si="4"/>
        <v>2026-02</v>
      </c>
    </row>
    <row r="608" ht="15.75" customHeight="1">
      <c r="A608" s="19">
        <v>46077.0</v>
      </c>
      <c r="B608" s="20" t="s">
        <v>19</v>
      </c>
      <c r="C608" s="20">
        <v>52.0</v>
      </c>
      <c r="D608" s="21"/>
      <c r="E608" s="11">
        <f>IF(J608="","", C608 * IFERROR(VLOOKUP(J608, SETUP!$A:$D, 3, FALSE), 0))</f>
        <v>0</v>
      </c>
      <c r="F608" s="11">
        <f>IF(J608="","", C608 * IFERROR(VLOOKUP(J608, SETUP!$A:$D, 4, FALSE), 0))</f>
        <v>52</v>
      </c>
      <c r="G608" s="11">
        <f t="shared" si="1"/>
        <v>52</v>
      </c>
      <c r="H608" s="22"/>
      <c r="I608" s="11"/>
      <c r="J608" s="17" t="str">
        <f>IF(TRIM(B608)="","",IF(ISNUMBER(SEARCH(" - ",B608)),TRIM(RIGHT(B608,LEN(B608)-FIND(" - ",B608)-2)),IFERROR(VLOOKUP(UPPER(TRIM(B608)), SETUP!$B$4:$C$11, 2, FALSE), UPPER(TRIM(B608)))))</f>
        <v>HANNI</v>
      </c>
      <c r="K608" s="23">
        <f t="shared" si="2"/>
        <v>46076</v>
      </c>
      <c r="L608" s="17">
        <f t="shared" si="3"/>
        <v>46077</v>
      </c>
      <c r="M608" s="17" t="str">
        <f t="shared" si="4"/>
        <v>2026-02</v>
      </c>
    </row>
    <row r="609" ht="15.75" customHeight="1">
      <c r="A609" s="19">
        <v>46077.0</v>
      </c>
      <c r="B609" s="20" t="s">
        <v>19</v>
      </c>
      <c r="C609" s="20">
        <v>30.0</v>
      </c>
      <c r="D609" s="21"/>
      <c r="E609" s="11">
        <f>IF(J609="","", C609 * IFERROR(VLOOKUP(J609, SETUP!$A:$D, 3, FALSE), 0))</f>
        <v>0</v>
      </c>
      <c r="F609" s="11">
        <f>IF(J609="","", C609 * IFERROR(VLOOKUP(J609, SETUP!$A:$D, 4, FALSE), 0))</f>
        <v>30</v>
      </c>
      <c r="G609" s="11">
        <f t="shared" si="1"/>
        <v>30</v>
      </c>
      <c r="H609" s="22"/>
      <c r="I609" s="11"/>
      <c r="J609" s="17" t="str">
        <f>IF(TRIM(B609)="","",IF(ISNUMBER(SEARCH(" - ",B609)),TRIM(RIGHT(B609,LEN(B609)-FIND(" - ",B609)-2)),IFERROR(VLOOKUP(UPPER(TRIM(B609)), SETUP!$B$4:$C$11, 2, FALSE), UPPER(TRIM(B609)))))</f>
        <v>HANNI</v>
      </c>
      <c r="K609" s="23">
        <f t="shared" si="2"/>
        <v>46076</v>
      </c>
      <c r="L609" s="17">
        <f t="shared" si="3"/>
        <v>46077</v>
      </c>
      <c r="M609" s="17" t="str">
        <f t="shared" si="4"/>
        <v>2026-02</v>
      </c>
    </row>
    <row r="610" ht="15.75" customHeight="1">
      <c r="A610" s="19">
        <v>46077.0</v>
      </c>
      <c r="B610" s="20" t="s">
        <v>20</v>
      </c>
      <c r="C610" s="20">
        <v>50.0</v>
      </c>
      <c r="D610" s="21"/>
      <c r="E610" s="11">
        <f>IF(J610="","", C610 * IFERROR(VLOOKUP(J610, SETUP!$A:$D, 3, FALSE), 0))</f>
        <v>30</v>
      </c>
      <c r="F610" s="11">
        <f>IF(J610="","", C610 * IFERROR(VLOOKUP(J610, SETUP!$A:$D, 4, FALSE), 0))</f>
        <v>20</v>
      </c>
      <c r="G610" s="11">
        <f t="shared" si="1"/>
        <v>20</v>
      </c>
      <c r="H610" s="22"/>
      <c r="I610" s="11"/>
      <c r="J610" s="17" t="str">
        <f>IF(TRIM(B610)="","",IF(ISNUMBER(SEARCH(" - ",B610)),TRIM(RIGHT(B610,LEN(B610)-FIND(" - ",B610)-2)),IFERROR(VLOOKUP(UPPER(TRIM(B610)), SETUP!$B$4:$C$11, 2, FALSE), UPPER(TRIM(B610)))))</f>
        <v>AMY</v>
      </c>
      <c r="K610" s="23">
        <f t="shared" si="2"/>
        <v>46076</v>
      </c>
      <c r="L610" s="17">
        <f t="shared" si="3"/>
        <v>46077</v>
      </c>
      <c r="M610" s="17" t="str">
        <f t="shared" si="4"/>
        <v>2026-02</v>
      </c>
    </row>
    <row r="611" ht="15.75" customHeight="1">
      <c r="A611" s="19">
        <v>46077.0</v>
      </c>
      <c r="B611" s="20" t="s">
        <v>20</v>
      </c>
      <c r="C611" s="20">
        <v>65.0</v>
      </c>
      <c r="D611" s="21"/>
      <c r="E611" s="11">
        <f>IF(J611="","", C611 * IFERROR(VLOOKUP(J611, SETUP!$A:$D, 3, FALSE), 0))</f>
        <v>39</v>
      </c>
      <c r="F611" s="11">
        <f>IF(J611="","", C611 * IFERROR(VLOOKUP(J611, SETUP!$A:$D, 4, FALSE), 0))</f>
        <v>26</v>
      </c>
      <c r="G611" s="11">
        <f t="shared" si="1"/>
        <v>26</v>
      </c>
      <c r="H611" s="22"/>
      <c r="I611" s="11"/>
      <c r="J611" s="17" t="str">
        <f>IF(TRIM(B611)="","",IF(ISNUMBER(SEARCH(" - ",B611)),TRIM(RIGHT(B611,LEN(B611)-FIND(" - ",B611)-2)),IFERROR(VLOOKUP(UPPER(TRIM(B611)), SETUP!$B$4:$C$11, 2, FALSE), UPPER(TRIM(B611)))))</f>
        <v>AMY</v>
      </c>
      <c r="K611" s="23">
        <f t="shared" si="2"/>
        <v>46076</v>
      </c>
      <c r="L611" s="17">
        <f t="shared" si="3"/>
        <v>46077</v>
      </c>
      <c r="M611" s="17" t="str">
        <f t="shared" si="4"/>
        <v>2026-02</v>
      </c>
    </row>
    <row r="612" ht="15.75" customHeight="1">
      <c r="A612" s="19">
        <v>46077.0</v>
      </c>
      <c r="B612" s="20" t="s">
        <v>20</v>
      </c>
      <c r="C612" s="20">
        <v>65.0</v>
      </c>
      <c r="D612" s="21"/>
      <c r="E612" s="11">
        <f>IF(J612="","", C612 * IFERROR(VLOOKUP(J612, SETUP!$A:$D, 3, FALSE), 0))</f>
        <v>39</v>
      </c>
      <c r="F612" s="11">
        <f>IF(J612="","", C612 * IFERROR(VLOOKUP(J612, SETUP!$A:$D, 4, FALSE), 0))</f>
        <v>26</v>
      </c>
      <c r="G612" s="11">
        <f t="shared" si="1"/>
        <v>26</v>
      </c>
      <c r="H612" s="22"/>
      <c r="I612" s="11"/>
      <c r="J612" s="17" t="str">
        <f>IF(TRIM(B612)="","",IF(ISNUMBER(SEARCH(" - ",B612)),TRIM(RIGHT(B612,LEN(B612)-FIND(" - ",B612)-2)),IFERROR(VLOOKUP(UPPER(TRIM(B612)), SETUP!$B$4:$C$11, 2, FALSE), UPPER(TRIM(B612)))))</f>
        <v>AMY</v>
      </c>
      <c r="K612" s="23">
        <f t="shared" si="2"/>
        <v>46076</v>
      </c>
      <c r="L612" s="17">
        <f t="shared" si="3"/>
        <v>46077</v>
      </c>
      <c r="M612" s="17" t="str">
        <f t="shared" si="4"/>
        <v>2026-02</v>
      </c>
    </row>
    <row r="613" ht="15.75" customHeight="1">
      <c r="A613" s="19">
        <v>46077.0</v>
      </c>
      <c r="B613" s="20" t="s">
        <v>20</v>
      </c>
      <c r="C613" s="20">
        <v>57.0</v>
      </c>
      <c r="D613" s="21"/>
      <c r="E613" s="11">
        <f>IF(J613="","", C613 * IFERROR(VLOOKUP(J613, SETUP!$A:$D, 3, FALSE), 0))</f>
        <v>34.2</v>
      </c>
      <c r="F613" s="11">
        <f>IF(J613="","", C613 * IFERROR(VLOOKUP(J613, SETUP!$A:$D, 4, FALSE), 0))</f>
        <v>22.8</v>
      </c>
      <c r="G613" s="11">
        <f t="shared" si="1"/>
        <v>22.8</v>
      </c>
      <c r="H613" s="22"/>
      <c r="I613" s="11"/>
      <c r="J613" s="17" t="str">
        <f>IF(TRIM(B613)="","",IF(ISNUMBER(SEARCH(" - ",B613)),TRIM(RIGHT(B613,LEN(B613)-FIND(" - ",B613)-2)),IFERROR(VLOOKUP(UPPER(TRIM(B613)), SETUP!$B$4:$C$11, 2, FALSE), UPPER(TRIM(B613)))))</f>
        <v>AMY</v>
      </c>
      <c r="K613" s="23">
        <f t="shared" si="2"/>
        <v>46076</v>
      </c>
      <c r="L613" s="17">
        <f t="shared" si="3"/>
        <v>46077</v>
      </c>
      <c r="M613" s="17" t="str">
        <f t="shared" si="4"/>
        <v>2026-02</v>
      </c>
    </row>
    <row r="614" ht="15.75" customHeight="1">
      <c r="A614" s="19">
        <v>46077.0</v>
      </c>
      <c r="B614" s="20" t="s">
        <v>20</v>
      </c>
      <c r="C614" s="20">
        <v>65.0</v>
      </c>
      <c r="D614" s="21"/>
      <c r="E614" s="11">
        <f>IF(J614="","", C614 * IFERROR(VLOOKUP(J614, SETUP!$A:$D, 3, FALSE), 0))</f>
        <v>39</v>
      </c>
      <c r="F614" s="11">
        <f>IF(J614="","", C614 * IFERROR(VLOOKUP(J614, SETUP!$A:$D, 4, FALSE), 0))</f>
        <v>26</v>
      </c>
      <c r="G614" s="11">
        <f t="shared" si="1"/>
        <v>26</v>
      </c>
      <c r="H614" s="22"/>
      <c r="I614" s="11"/>
      <c r="J614" s="17" t="str">
        <f>IF(TRIM(B614)="","",IF(ISNUMBER(SEARCH(" - ",B614)),TRIM(RIGHT(B614,LEN(B614)-FIND(" - ",B614)-2)),IFERROR(VLOOKUP(UPPER(TRIM(B614)), SETUP!$B$4:$C$11, 2, FALSE), UPPER(TRIM(B614)))))</f>
        <v>AMY</v>
      </c>
      <c r="K614" s="23">
        <f t="shared" si="2"/>
        <v>46076</v>
      </c>
      <c r="L614" s="17">
        <f t="shared" si="3"/>
        <v>46077</v>
      </c>
      <c r="M614" s="17" t="str">
        <f t="shared" si="4"/>
        <v>2026-02</v>
      </c>
    </row>
    <row r="615" ht="15.75" customHeight="1">
      <c r="A615" s="19">
        <v>46077.0</v>
      </c>
      <c r="B615" s="20" t="s">
        <v>21</v>
      </c>
      <c r="C615" s="20">
        <v>55.0</v>
      </c>
      <c r="D615" s="21"/>
      <c r="E615" s="11">
        <f>IF(J615="","", C615 * IFERROR(VLOOKUP(J615, SETUP!$A:$D, 3, FALSE), 0))</f>
        <v>33</v>
      </c>
      <c r="F615" s="11">
        <f>IF(J615="","", C615 * IFERROR(VLOOKUP(J615, SETUP!$A:$D, 4, FALSE), 0))</f>
        <v>22</v>
      </c>
      <c r="G615" s="11">
        <f t="shared" si="1"/>
        <v>22</v>
      </c>
      <c r="H615" s="22"/>
      <c r="I615" s="11"/>
      <c r="J615" s="17" t="str">
        <f>IF(TRIM(B615)="","",IF(ISNUMBER(SEARCH(" - ",B615)),TRIM(RIGHT(B615,LEN(B615)-FIND(" - ",B615)-2)),IFERROR(VLOOKUP(UPPER(TRIM(B615)), SETUP!$B$4:$C$11, 2, FALSE), UPPER(TRIM(B615)))))</f>
        <v>TONY</v>
      </c>
      <c r="K615" s="23">
        <f t="shared" si="2"/>
        <v>46076</v>
      </c>
      <c r="L615" s="17">
        <f t="shared" si="3"/>
        <v>46077</v>
      </c>
      <c r="M615" s="17" t="str">
        <f t="shared" si="4"/>
        <v>2026-02</v>
      </c>
    </row>
    <row r="616" ht="15.75" customHeight="1">
      <c r="A616" s="19">
        <v>46077.0</v>
      </c>
      <c r="B616" s="20" t="s">
        <v>21</v>
      </c>
      <c r="C616" s="20">
        <v>75.0</v>
      </c>
      <c r="D616" s="21"/>
      <c r="E616" s="11">
        <f>IF(J616="","", C616 * IFERROR(VLOOKUP(J616, SETUP!$A:$D, 3, FALSE), 0))</f>
        <v>45</v>
      </c>
      <c r="F616" s="11">
        <f>IF(J616="","", C616 * IFERROR(VLOOKUP(J616, SETUP!$A:$D, 4, FALSE), 0))</f>
        <v>30</v>
      </c>
      <c r="G616" s="11">
        <f t="shared" si="1"/>
        <v>30</v>
      </c>
      <c r="H616" s="22"/>
      <c r="I616" s="11"/>
      <c r="J616" s="17" t="str">
        <f>IF(TRIM(B616)="","",IF(ISNUMBER(SEARCH(" - ",B616)),TRIM(RIGHT(B616,LEN(B616)-FIND(" - ",B616)-2)),IFERROR(VLOOKUP(UPPER(TRIM(B616)), SETUP!$B$4:$C$11, 2, FALSE), UPPER(TRIM(B616)))))</f>
        <v>TONY</v>
      </c>
      <c r="K616" s="23">
        <f t="shared" si="2"/>
        <v>46076</v>
      </c>
      <c r="L616" s="17">
        <f t="shared" si="3"/>
        <v>46077</v>
      </c>
      <c r="M616" s="17" t="str">
        <f t="shared" si="4"/>
        <v>2026-02</v>
      </c>
    </row>
    <row r="617" ht="15.75" customHeight="1">
      <c r="A617" s="19">
        <v>46077.0</v>
      </c>
      <c r="B617" s="20" t="s">
        <v>21</v>
      </c>
      <c r="C617" s="20">
        <v>85.0</v>
      </c>
      <c r="D617" s="21"/>
      <c r="E617" s="11">
        <f>IF(J617="","", C617 * IFERROR(VLOOKUP(J617, SETUP!$A:$D, 3, FALSE), 0))</f>
        <v>51</v>
      </c>
      <c r="F617" s="11">
        <f>IF(J617="","", C617 * IFERROR(VLOOKUP(J617, SETUP!$A:$D, 4, FALSE), 0))</f>
        <v>34</v>
      </c>
      <c r="G617" s="11">
        <f t="shared" si="1"/>
        <v>34</v>
      </c>
      <c r="H617" s="22"/>
      <c r="I617" s="11"/>
      <c r="J617" s="17" t="str">
        <f>IF(TRIM(B617)="","",IF(ISNUMBER(SEARCH(" - ",B617)),TRIM(RIGHT(B617,LEN(B617)-FIND(" - ",B617)-2)),IFERROR(VLOOKUP(UPPER(TRIM(B617)), SETUP!$B$4:$C$11, 2, FALSE), UPPER(TRIM(B617)))))</f>
        <v>TONY</v>
      </c>
      <c r="K617" s="23">
        <f t="shared" si="2"/>
        <v>46076</v>
      </c>
      <c r="L617" s="17">
        <f t="shared" si="3"/>
        <v>46077</v>
      </c>
      <c r="M617" s="17" t="str">
        <f t="shared" si="4"/>
        <v>2026-02</v>
      </c>
    </row>
    <row r="618" ht="15.75" customHeight="1">
      <c r="A618" s="19">
        <v>46077.0</v>
      </c>
      <c r="B618" s="20" t="s">
        <v>21</v>
      </c>
      <c r="C618" s="20">
        <v>60.0</v>
      </c>
      <c r="D618" s="21"/>
      <c r="E618" s="11">
        <f>IF(J618="","", C618 * IFERROR(VLOOKUP(J618, SETUP!$A:$D, 3, FALSE), 0))</f>
        <v>36</v>
      </c>
      <c r="F618" s="11">
        <f>IF(J618="","", C618 * IFERROR(VLOOKUP(J618, SETUP!$A:$D, 4, FALSE), 0))</f>
        <v>24</v>
      </c>
      <c r="G618" s="11">
        <f t="shared" si="1"/>
        <v>24</v>
      </c>
      <c r="H618" s="22"/>
      <c r="I618" s="11"/>
      <c r="J618" s="17" t="str">
        <f>IF(TRIM(B618)="","",IF(ISNUMBER(SEARCH(" - ",B618)),TRIM(RIGHT(B618,LEN(B618)-FIND(" - ",B618)-2)),IFERROR(VLOOKUP(UPPER(TRIM(B618)), SETUP!$B$4:$C$11, 2, FALSE), UPPER(TRIM(B618)))))</f>
        <v>TONY</v>
      </c>
      <c r="K618" s="23">
        <f t="shared" si="2"/>
        <v>46076</v>
      </c>
      <c r="L618" s="17">
        <f t="shared" si="3"/>
        <v>46077</v>
      </c>
      <c r="M618" s="17" t="str">
        <f t="shared" si="4"/>
        <v>2026-02</v>
      </c>
    </row>
    <row r="619" ht="15.75" customHeight="1">
      <c r="A619" s="19">
        <v>46077.0</v>
      </c>
      <c r="B619" s="20" t="s">
        <v>21</v>
      </c>
      <c r="C619" s="20">
        <v>57.0</v>
      </c>
      <c r="D619" s="21"/>
      <c r="E619" s="11">
        <f>IF(J619="","", C619 * IFERROR(VLOOKUP(J619, SETUP!$A:$D, 3, FALSE), 0))</f>
        <v>34.2</v>
      </c>
      <c r="F619" s="11">
        <f>IF(J619="","", C619 * IFERROR(VLOOKUP(J619, SETUP!$A:$D, 4, FALSE), 0))</f>
        <v>22.8</v>
      </c>
      <c r="G619" s="11">
        <f t="shared" si="1"/>
        <v>22.8</v>
      </c>
      <c r="H619" s="22"/>
      <c r="I619" s="11"/>
      <c r="J619" s="17" t="str">
        <f>IF(TRIM(B619)="","",IF(ISNUMBER(SEARCH(" - ",B619)),TRIM(RIGHT(B619,LEN(B619)-FIND(" - ",B619)-2)),IFERROR(VLOOKUP(UPPER(TRIM(B619)), SETUP!$B$4:$C$11, 2, FALSE), UPPER(TRIM(B619)))))</f>
        <v>TONY</v>
      </c>
      <c r="K619" s="23">
        <f t="shared" si="2"/>
        <v>46076</v>
      </c>
      <c r="L619" s="17">
        <f t="shared" si="3"/>
        <v>46077</v>
      </c>
      <c r="M619" s="17" t="str">
        <f t="shared" si="4"/>
        <v>2026-02</v>
      </c>
    </row>
    <row r="620" ht="15.75" customHeight="1">
      <c r="A620" s="19">
        <v>46078.0</v>
      </c>
      <c r="B620" s="20" t="s">
        <v>17</v>
      </c>
      <c r="C620" s="20">
        <v>67.0</v>
      </c>
      <c r="D620" s="21"/>
      <c r="E620" s="11">
        <f>IF(J620="","", C620 * IFERROR(VLOOKUP(J620, SETUP!$A:$D, 3, FALSE), 0))</f>
        <v>40.2</v>
      </c>
      <c r="F620" s="11">
        <f>IF(J620="","", C620 * IFERROR(VLOOKUP(J620, SETUP!$A:$D, 4, FALSE), 0))</f>
        <v>26.8</v>
      </c>
      <c r="G620" s="11">
        <f t="shared" si="1"/>
        <v>26.8</v>
      </c>
      <c r="H620" s="22"/>
      <c r="I620" s="11"/>
      <c r="J620" s="17" t="str">
        <f>IF(TRIM(B620)="","",IF(ISNUMBER(SEARCH(" - ",B620)),TRIM(RIGHT(B620,LEN(B620)-FIND(" - ",B620)-2)),IFERROR(VLOOKUP(UPPER(TRIM(B620)), SETUP!$B$4:$C$11, 2, FALSE), UPPER(TRIM(B620)))))</f>
        <v>RYAN</v>
      </c>
      <c r="K620" s="23">
        <f t="shared" si="2"/>
        <v>46076</v>
      </c>
      <c r="L620" s="17">
        <f t="shared" si="3"/>
        <v>46078</v>
      </c>
      <c r="M620" s="17" t="str">
        <f t="shared" si="4"/>
        <v>2026-02</v>
      </c>
    </row>
    <row r="621" ht="15.75" customHeight="1">
      <c r="A621" s="19">
        <v>46078.0</v>
      </c>
      <c r="B621" s="20" t="s">
        <v>17</v>
      </c>
      <c r="C621" s="20">
        <v>72.0</v>
      </c>
      <c r="D621" s="21"/>
      <c r="E621" s="11">
        <f>IF(J621="","", C621 * IFERROR(VLOOKUP(J621, SETUP!$A:$D, 3, FALSE), 0))</f>
        <v>43.2</v>
      </c>
      <c r="F621" s="11">
        <f>IF(J621="","", C621 * IFERROR(VLOOKUP(J621, SETUP!$A:$D, 4, FALSE), 0))</f>
        <v>28.8</v>
      </c>
      <c r="G621" s="11">
        <f t="shared" si="1"/>
        <v>28.8</v>
      </c>
      <c r="H621" s="22"/>
      <c r="I621" s="11"/>
      <c r="J621" s="17" t="str">
        <f>IF(TRIM(B621)="","",IF(ISNUMBER(SEARCH(" - ",B621)),TRIM(RIGHT(B621,LEN(B621)-FIND(" - ",B621)-2)),IFERROR(VLOOKUP(UPPER(TRIM(B621)), SETUP!$B$4:$C$11, 2, FALSE), UPPER(TRIM(B621)))))</f>
        <v>RYAN</v>
      </c>
      <c r="K621" s="23">
        <f t="shared" si="2"/>
        <v>46076</v>
      </c>
      <c r="L621" s="17">
        <f t="shared" si="3"/>
        <v>46078</v>
      </c>
      <c r="M621" s="17" t="str">
        <f t="shared" si="4"/>
        <v>2026-02</v>
      </c>
    </row>
    <row r="622" ht="15.75" customHeight="1">
      <c r="A622" s="19">
        <v>46078.0</v>
      </c>
      <c r="B622" s="20" t="s">
        <v>17</v>
      </c>
      <c r="C622" s="20">
        <v>67.0</v>
      </c>
      <c r="D622" s="21"/>
      <c r="E622" s="11">
        <f>IF(J622="","", C622 * IFERROR(VLOOKUP(J622, SETUP!$A:$D, 3, FALSE), 0))</f>
        <v>40.2</v>
      </c>
      <c r="F622" s="11">
        <f>IF(J622="","", C622 * IFERROR(VLOOKUP(J622, SETUP!$A:$D, 4, FALSE), 0))</f>
        <v>26.8</v>
      </c>
      <c r="G622" s="11">
        <f t="shared" si="1"/>
        <v>26.8</v>
      </c>
      <c r="H622" s="22"/>
      <c r="I622" s="11"/>
      <c r="J622" s="17" t="str">
        <f>IF(TRIM(B622)="","",IF(ISNUMBER(SEARCH(" - ",B622)),TRIM(RIGHT(B622,LEN(B622)-FIND(" - ",B622)-2)),IFERROR(VLOOKUP(UPPER(TRIM(B622)), SETUP!$B$4:$C$11, 2, FALSE), UPPER(TRIM(B622)))))</f>
        <v>RYAN</v>
      </c>
      <c r="K622" s="23">
        <f t="shared" si="2"/>
        <v>46076</v>
      </c>
      <c r="L622" s="17">
        <f t="shared" si="3"/>
        <v>46078</v>
      </c>
      <c r="M622" s="17" t="str">
        <f t="shared" si="4"/>
        <v>2026-02</v>
      </c>
    </row>
    <row r="623" ht="15.75" customHeight="1">
      <c r="A623" s="19">
        <v>46078.0</v>
      </c>
      <c r="B623" s="20" t="s">
        <v>17</v>
      </c>
      <c r="C623" s="20">
        <v>72.0</v>
      </c>
      <c r="D623" s="21"/>
      <c r="E623" s="11">
        <f>IF(J623="","", C623 * IFERROR(VLOOKUP(J623, SETUP!$A:$D, 3, FALSE), 0))</f>
        <v>43.2</v>
      </c>
      <c r="F623" s="11">
        <f>IF(J623="","", C623 * IFERROR(VLOOKUP(J623, SETUP!$A:$D, 4, FALSE), 0))</f>
        <v>28.8</v>
      </c>
      <c r="G623" s="11">
        <f t="shared" si="1"/>
        <v>28.8</v>
      </c>
      <c r="H623" s="22"/>
      <c r="I623" s="11"/>
      <c r="J623" s="17" t="str">
        <f>IF(TRIM(B623)="","",IF(ISNUMBER(SEARCH(" - ",B623)),TRIM(RIGHT(B623,LEN(B623)-FIND(" - ",B623)-2)),IFERROR(VLOOKUP(UPPER(TRIM(B623)), SETUP!$B$4:$C$11, 2, FALSE), UPPER(TRIM(B623)))))</f>
        <v>RYAN</v>
      </c>
      <c r="K623" s="23">
        <f t="shared" si="2"/>
        <v>46076</v>
      </c>
      <c r="L623" s="17">
        <f t="shared" si="3"/>
        <v>46078</v>
      </c>
      <c r="M623" s="17" t="str">
        <f t="shared" si="4"/>
        <v>2026-02</v>
      </c>
    </row>
    <row r="624" ht="15.75" customHeight="1">
      <c r="A624" s="19">
        <v>46078.0</v>
      </c>
      <c r="B624" s="20" t="s">
        <v>17</v>
      </c>
      <c r="C624" s="20">
        <v>85.0</v>
      </c>
      <c r="D624" s="21"/>
      <c r="E624" s="11">
        <f>IF(J624="","", C624 * IFERROR(VLOOKUP(J624, SETUP!$A:$D, 3, FALSE), 0))</f>
        <v>51</v>
      </c>
      <c r="F624" s="11">
        <f>IF(J624="","", C624 * IFERROR(VLOOKUP(J624, SETUP!$A:$D, 4, FALSE), 0))</f>
        <v>34</v>
      </c>
      <c r="G624" s="11">
        <f t="shared" si="1"/>
        <v>34</v>
      </c>
      <c r="H624" s="22"/>
      <c r="I624" s="11"/>
      <c r="J624" s="17" t="str">
        <f>IF(TRIM(B624)="","",IF(ISNUMBER(SEARCH(" - ",B624)),TRIM(RIGHT(B624,LEN(B624)-FIND(" - ",B624)-2)),IFERROR(VLOOKUP(UPPER(TRIM(B624)), SETUP!$B$4:$C$11, 2, FALSE), UPPER(TRIM(B624)))))</f>
        <v>RYAN</v>
      </c>
      <c r="K624" s="23">
        <f t="shared" si="2"/>
        <v>46076</v>
      </c>
      <c r="L624" s="17">
        <f t="shared" si="3"/>
        <v>46078</v>
      </c>
      <c r="M624" s="17" t="str">
        <f t="shared" si="4"/>
        <v>2026-02</v>
      </c>
    </row>
    <row r="625" ht="15.75" customHeight="1">
      <c r="A625" s="19">
        <v>46078.0</v>
      </c>
      <c r="B625" s="20" t="s">
        <v>17</v>
      </c>
      <c r="C625" s="20">
        <v>87.0</v>
      </c>
      <c r="D625" s="21"/>
      <c r="E625" s="11">
        <f>IF(J625="","", C625 * IFERROR(VLOOKUP(J625, SETUP!$A:$D, 3, FALSE), 0))</f>
        <v>52.2</v>
      </c>
      <c r="F625" s="11">
        <f>IF(J625="","", C625 * IFERROR(VLOOKUP(J625, SETUP!$A:$D, 4, FALSE), 0))</f>
        <v>34.8</v>
      </c>
      <c r="G625" s="11">
        <f t="shared" si="1"/>
        <v>34.8</v>
      </c>
      <c r="H625" s="22"/>
      <c r="I625" s="11"/>
      <c r="J625" s="17" t="str">
        <f>IF(TRIM(B625)="","",IF(ISNUMBER(SEARCH(" - ",B625)),TRIM(RIGHT(B625,LEN(B625)-FIND(" - ",B625)-2)),IFERROR(VLOOKUP(UPPER(TRIM(B625)), SETUP!$B$4:$C$11, 2, FALSE), UPPER(TRIM(B625)))))</f>
        <v>RYAN</v>
      </c>
      <c r="K625" s="23">
        <f t="shared" si="2"/>
        <v>46076</v>
      </c>
      <c r="L625" s="17">
        <f t="shared" si="3"/>
        <v>46078</v>
      </c>
      <c r="M625" s="17" t="str">
        <f t="shared" si="4"/>
        <v>2026-02</v>
      </c>
    </row>
    <row r="626" ht="15.75" customHeight="1">
      <c r="A626" s="19">
        <v>46078.0</v>
      </c>
      <c r="B626" s="20" t="s">
        <v>17</v>
      </c>
      <c r="C626" s="20">
        <v>57.0</v>
      </c>
      <c r="D626" s="21"/>
      <c r="E626" s="11">
        <f>IF(J626="","", C626 * IFERROR(VLOOKUP(J626, SETUP!$A:$D, 3, FALSE), 0))</f>
        <v>34.2</v>
      </c>
      <c r="F626" s="11">
        <f>IF(J626="","", C626 * IFERROR(VLOOKUP(J626, SETUP!$A:$D, 4, FALSE), 0))</f>
        <v>22.8</v>
      </c>
      <c r="G626" s="11">
        <f t="shared" si="1"/>
        <v>22.8</v>
      </c>
      <c r="H626" s="22"/>
      <c r="I626" s="11"/>
      <c r="J626" s="17" t="str">
        <f>IF(TRIM(B626)="","",IF(ISNUMBER(SEARCH(" - ",B626)),TRIM(RIGHT(B626,LEN(B626)-FIND(" - ",B626)-2)),IFERROR(VLOOKUP(UPPER(TRIM(B626)), SETUP!$B$4:$C$11, 2, FALSE), UPPER(TRIM(B626)))))</f>
        <v>RYAN</v>
      </c>
      <c r="K626" s="23">
        <f t="shared" si="2"/>
        <v>46076</v>
      </c>
      <c r="L626" s="17">
        <f t="shared" si="3"/>
        <v>46078</v>
      </c>
      <c r="M626" s="17" t="str">
        <f t="shared" si="4"/>
        <v>2026-02</v>
      </c>
    </row>
    <row r="627" ht="15.75" customHeight="1">
      <c r="A627" s="19">
        <v>46078.0</v>
      </c>
      <c r="B627" s="20" t="s">
        <v>18</v>
      </c>
      <c r="C627" s="20">
        <v>10.0</v>
      </c>
      <c r="D627" s="21"/>
      <c r="E627" s="11">
        <f>IF(J627="","", C627 * IFERROR(VLOOKUP(J627, SETUP!$A:$D, 3, FALSE), 0))</f>
        <v>5</v>
      </c>
      <c r="F627" s="11">
        <f>IF(J627="","", C627 * IFERROR(VLOOKUP(J627, SETUP!$A:$D, 4, FALSE), 0))</f>
        <v>5</v>
      </c>
      <c r="G627" s="11">
        <f t="shared" si="1"/>
        <v>5</v>
      </c>
      <c r="H627" s="22"/>
      <c r="I627" s="11"/>
      <c r="J627" s="17" t="str">
        <f>IF(TRIM(B627)="","",IF(ISNUMBER(SEARCH(" - ",B627)),TRIM(RIGHT(B627,LEN(B627)-FIND(" - ",B627)-2)),IFERROR(VLOOKUP(UPPER(TRIM(B627)), SETUP!$B$4:$C$11, 2, FALSE), UPPER(TRIM(B627)))))</f>
        <v>CRIS</v>
      </c>
      <c r="K627" s="23">
        <f t="shared" si="2"/>
        <v>46076</v>
      </c>
      <c r="L627" s="17">
        <f t="shared" si="3"/>
        <v>46078</v>
      </c>
      <c r="M627" s="17" t="str">
        <f t="shared" si="4"/>
        <v>2026-02</v>
      </c>
    </row>
    <row r="628" ht="15.75" customHeight="1">
      <c r="A628" s="19">
        <v>46078.0</v>
      </c>
      <c r="B628" s="20" t="s">
        <v>18</v>
      </c>
      <c r="C628" s="20">
        <v>40.0</v>
      </c>
      <c r="D628" s="21"/>
      <c r="E628" s="11">
        <f>IF(J628="","", C628 * IFERROR(VLOOKUP(J628, SETUP!$A:$D, 3, FALSE), 0))</f>
        <v>20</v>
      </c>
      <c r="F628" s="11">
        <f>IF(J628="","", C628 * IFERROR(VLOOKUP(J628, SETUP!$A:$D, 4, FALSE), 0))</f>
        <v>20</v>
      </c>
      <c r="G628" s="11">
        <f t="shared" si="1"/>
        <v>20</v>
      </c>
      <c r="H628" s="22"/>
      <c r="I628" s="11"/>
      <c r="J628" s="17" t="str">
        <f>IF(TRIM(B628)="","",IF(ISNUMBER(SEARCH(" - ",B628)),TRIM(RIGHT(B628,LEN(B628)-FIND(" - ",B628)-2)),IFERROR(VLOOKUP(UPPER(TRIM(B628)), SETUP!$B$4:$C$11, 2, FALSE), UPPER(TRIM(B628)))))</f>
        <v>CRIS</v>
      </c>
      <c r="K628" s="23">
        <f t="shared" si="2"/>
        <v>46076</v>
      </c>
      <c r="L628" s="17">
        <f t="shared" si="3"/>
        <v>46078</v>
      </c>
      <c r="M628" s="17" t="str">
        <f t="shared" si="4"/>
        <v>2026-02</v>
      </c>
    </row>
    <row r="629" ht="15.75" customHeight="1">
      <c r="A629" s="19">
        <v>46078.0</v>
      </c>
      <c r="B629" s="20" t="s">
        <v>18</v>
      </c>
      <c r="C629" s="20">
        <v>50.0</v>
      </c>
      <c r="D629" s="21"/>
      <c r="E629" s="11">
        <f>IF(J629="","", C629 * IFERROR(VLOOKUP(J629, SETUP!$A:$D, 3, FALSE), 0))</f>
        <v>25</v>
      </c>
      <c r="F629" s="11">
        <f>IF(J629="","", C629 * IFERROR(VLOOKUP(J629, SETUP!$A:$D, 4, FALSE), 0))</f>
        <v>25</v>
      </c>
      <c r="G629" s="11">
        <f t="shared" si="1"/>
        <v>25</v>
      </c>
      <c r="H629" s="22"/>
      <c r="I629" s="11"/>
      <c r="J629" s="17" t="str">
        <f>IF(TRIM(B629)="","",IF(ISNUMBER(SEARCH(" - ",B629)),TRIM(RIGHT(B629,LEN(B629)-FIND(" - ",B629)-2)),IFERROR(VLOOKUP(UPPER(TRIM(B629)), SETUP!$B$4:$C$11, 2, FALSE), UPPER(TRIM(B629)))))</f>
        <v>CRIS</v>
      </c>
      <c r="K629" s="23">
        <f t="shared" si="2"/>
        <v>46076</v>
      </c>
      <c r="L629" s="17">
        <f t="shared" si="3"/>
        <v>46078</v>
      </c>
      <c r="M629" s="17" t="str">
        <f t="shared" si="4"/>
        <v>2026-02</v>
      </c>
    </row>
    <row r="630" ht="15.75" customHeight="1">
      <c r="A630" s="19">
        <v>46078.0</v>
      </c>
      <c r="B630" s="20" t="s">
        <v>18</v>
      </c>
      <c r="C630" s="20">
        <v>40.0</v>
      </c>
      <c r="D630" s="21"/>
      <c r="E630" s="11">
        <f>IF(J630="","", C630 * IFERROR(VLOOKUP(J630, SETUP!$A:$D, 3, FALSE), 0))</f>
        <v>20</v>
      </c>
      <c r="F630" s="11">
        <f>IF(J630="","", C630 * IFERROR(VLOOKUP(J630, SETUP!$A:$D, 4, FALSE), 0))</f>
        <v>20</v>
      </c>
      <c r="G630" s="11">
        <f t="shared" si="1"/>
        <v>20</v>
      </c>
      <c r="H630" s="22"/>
      <c r="I630" s="11"/>
      <c r="J630" s="17" t="str">
        <f>IF(TRIM(B630)="","",IF(ISNUMBER(SEARCH(" - ",B630)),TRIM(RIGHT(B630,LEN(B630)-FIND(" - ",B630)-2)),IFERROR(VLOOKUP(UPPER(TRIM(B630)), SETUP!$B$4:$C$11, 2, FALSE), UPPER(TRIM(B630)))))</f>
        <v>CRIS</v>
      </c>
      <c r="K630" s="23">
        <f t="shared" si="2"/>
        <v>46076</v>
      </c>
      <c r="L630" s="17">
        <f t="shared" si="3"/>
        <v>46078</v>
      </c>
      <c r="M630" s="17" t="str">
        <f t="shared" si="4"/>
        <v>2026-02</v>
      </c>
    </row>
    <row r="631" ht="15.75" customHeight="1">
      <c r="A631" s="19">
        <v>46078.0</v>
      </c>
      <c r="B631" s="20" t="s">
        <v>18</v>
      </c>
      <c r="C631" s="20">
        <v>50.0</v>
      </c>
      <c r="D631" s="21"/>
      <c r="E631" s="11">
        <f>IF(J631="","", C631 * IFERROR(VLOOKUP(J631, SETUP!$A:$D, 3, FALSE), 0))</f>
        <v>25</v>
      </c>
      <c r="F631" s="11">
        <f>IF(J631="","", C631 * IFERROR(VLOOKUP(J631, SETUP!$A:$D, 4, FALSE), 0))</f>
        <v>25</v>
      </c>
      <c r="G631" s="11">
        <f t="shared" si="1"/>
        <v>25</v>
      </c>
      <c r="H631" s="22"/>
      <c r="I631" s="11"/>
      <c r="J631" s="17" t="str">
        <f>IF(TRIM(B631)="","",IF(ISNUMBER(SEARCH(" - ",B631)),TRIM(RIGHT(B631,LEN(B631)-FIND(" - ",B631)-2)),IFERROR(VLOOKUP(UPPER(TRIM(B631)), SETUP!$B$4:$C$11, 2, FALSE), UPPER(TRIM(B631)))))</f>
        <v>CRIS</v>
      </c>
      <c r="K631" s="23">
        <f t="shared" si="2"/>
        <v>46076</v>
      </c>
      <c r="L631" s="17">
        <f t="shared" si="3"/>
        <v>46078</v>
      </c>
      <c r="M631" s="17" t="str">
        <f t="shared" si="4"/>
        <v>2026-02</v>
      </c>
    </row>
    <row r="632" ht="15.75" customHeight="1">
      <c r="A632" s="19">
        <v>46078.0</v>
      </c>
      <c r="B632" s="20" t="s">
        <v>18</v>
      </c>
      <c r="C632" s="20">
        <v>85.0</v>
      </c>
      <c r="D632" s="21"/>
      <c r="E632" s="11">
        <f>IF(J632="","", C632 * IFERROR(VLOOKUP(J632, SETUP!$A:$D, 3, FALSE), 0))</f>
        <v>42.5</v>
      </c>
      <c r="F632" s="11">
        <f>IF(J632="","", C632 * IFERROR(VLOOKUP(J632, SETUP!$A:$D, 4, FALSE), 0))</f>
        <v>42.5</v>
      </c>
      <c r="G632" s="11">
        <f t="shared" si="1"/>
        <v>42.5</v>
      </c>
      <c r="H632" s="22"/>
      <c r="I632" s="11"/>
      <c r="J632" s="17" t="str">
        <f>IF(TRIM(B632)="","",IF(ISNUMBER(SEARCH(" - ",B632)),TRIM(RIGHT(B632,LEN(B632)-FIND(" - ",B632)-2)),IFERROR(VLOOKUP(UPPER(TRIM(B632)), SETUP!$B$4:$C$11, 2, FALSE), UPPER(TRIM(B632)))))</f>
        <v>CRIS</v>
      </c>
      <c r="K632" s="23">
        <f t="shared" si="2"/>
        <v>46076</v>
      </c>
      <c r="L632" s="17">
        <f t="shared" si="3"/>
        <v>46078</v>
      </c>
      <c r="M632" s="17" t="str">
        <f t="shared" si="4"/>
        <v>2026-02</v>
      </c>
    </row>
    <row r="633" ht="15.75" customHeight="1">
      <c r="A633" s="19">
        <v>46078.0</v>
      </c>
      <c r="B633" s="20" t="s">
        <v>18</v>
      </c>
      <c r="C633" s="20">
        <v>55.0</v>
      </c>
      <c r="D633" s="21"/>
      <c r="E633" s="11">
        <f>IF(J633="","", C633 * IFERROR(VLOOKUP(J633, SETUP!$A:$D, 3, FALSE), 0))</f>
        <v>27.5</v>
      </c>
      <c r="F633" s="11">
        <f>IF(J633="","", C633 * IFERROR(VLOOKUP(J633, SETUP!$A:$D, 4, FALSE), 0))</f>
        <v>27.5</v>
      </c>
      <c r="G633" s="11">
        <f t="shared" si="1"/>
        <v>27.5</v>
      </c>
      <c r="H633" s="22"/>
      <c r="I633" s="11"/>
      <c r="J633" s="17" t="str">
        <f>IF(TRIM(B633)="","",IF(ISNUMBER(SEARCH(" - ",B633)),TRIM(RIGHT(B633,LEN(B633)-FIND(" - ",B633)-2)),IFERROR(VLOOKUP(UPPER(TRIM(B633)), SETUP!$B$4:$C$11, 2, FALSE), UPPER(TRIM(B633)))))</f>
        <v>CRIS</v>
      </c>
      <c r="K633" s="23">
        <f t="shared" si="2"/>
        <v>46076</v>
      </c>
      <c r="L633" s="17">
        <f t="shared" si="3"/>
        <v>46078</v>
      </c>
      <c r="M633" s="17" t="str">
        <f t="shared" si="4"/>
        <v>2026-02</v>
      </c>
    </row>
    <row r="634" ht="15.75" customHeight="1">
      <c r="A634" s="19">
        <v>46078.0</v>
      </c>
      <c r="B634" s="20" t="s">
        <v>20</v>
      </c>
      <c r="C634" s="20">
        <v>77.0</v>
      </c>
      <c r="D634" s="21"/>
      <c r="E634" s="11">
        <f>IF(J634="","", C634 * IFERROR(VLOOKUP(J634, SETUP!$A:$D, 3, FALSE), 0))</f>
        <v>46.2</v>
      </c>
      <c r="F634" s="11">
        <f>IF(J634="","", C634 * IFERROR(VLOOKUP(J634, SETUP!$A:$D, 4, FALSE), 0))</f>
        <v>30.8</v>
      </c>
      <c r="G634" s="11">
        <f t="shared" si="1"/>
        <v>30.8</v>
      </c>
      <c r="H634" s="22"/>
      <c r="I634" s="11"/>
      <c r="J634" s="17" t="str">
        <f>IF(TRIM(B634)="","",IF(ISNUMBER(SEARCH(" - ",B634)),TRIM(RIGHT(B634,LEN(B634)-FIND(" - ",B634)-2)),IFERROR(VLOOKUP(UPPER(TRIM(B634)), SETUP!$B$4:$C$11, 2, FALSE), UPPER(TRIM(B634)))))</f>
        <v>AMY</v>
      </c>
      <c r="K634" s="23">
        <f t="shared" si="2"/>
        <v>46076</v>
      </c>
      <c r="L634" s="17">
        <f t="shared" si="3"/>
        <v>46078</v>
      </c>
      <c r="M634" s="17" t="str">
        <f t="shared" si="4"/>
        <v>2026-02</v>
      </c>
    </row>
    <row r="635" ht="15.75" customHeight="1">
      <c r="A635" s="19">
        <v>46078.0</v>
      </c>
      <c r="B635" s="20" t="s">
        <v>20</v>
      </c>
      <c r="C635" s="20">
        <v>65.0</v>
      </c>
      <c r="D635" s="21"/>
      <c r="E635" s="11">
        <f>IF(J635="","", C635 * IFERROR(VLOOKUP(J635, SETUP!$A:$D, 3, FALSE), 0))</f>
        <v>39</v>
      </c>
      <c r="F635" s="11">
        <f>IF(J635="","", C635 * IFERROR(VLOOKUP(J635, SETUP!$A:$D, 4, FALSE), 0))</f>
        <v>26</v>
      </c>
      <c r="G635" s="11">
        <f t="shared" si="1"/>
        <v>26</v>
      </c>
      <c r="H635" s="22"/>
      <c r="I635" s="11"/>
      <c r="J635" s="17" t="str">
        <f>IF(TRIM(B635)="","",IF(ISNUMBER(SEARCH(" - ",B635)),TRIM(RIGHT(B635,LEN(B635)-FIND(" - ",B635)-2)),IFERROR(VLOOKUP(UPPER(TRIM(B635)), SETUP!$B$4:$C$11, 2, FALSE), UPPER(TRIM(B635)))))</f>
        <v>AMY</v>
      </c>
      <c r="K635" s="23">
        <f t="shared" si="2"/>
        <v>46076</v>
      </c>
      <c r="L635" s="17">
        <f t="shared" si="3"/>
        <v>46078</v>
      </c>
      <c r="M635" s="17" t="str">
        <f t="shared" si="4"/>
        <v>2026-02</v>
      </c>
    </row>
    <row r="636" ht="15.75" customHeight="1">
      <c r="A636" s="19">
        <v>46078.0</v>
      </c>
      <c r="B636" s="20" t="s">
        <v>20</v>
      </c>
      <c r="C636" s="20">
        <v>57.0</v>
      </c>
      <c r="D636" s="21"/>
      <c r="E636" s="11">
        <f>IF(J636="","", C636 * IFERROR(VLOOKUP(J636, SETUP!$A:$D, 3, FALSE), 0))</f>
        <v>34.2</v>
      </c>
      <c r="F636" s="11">
        <f>IF(J636="","", C636 * IFERROR(VLOOKUP(J636, SETUP!$A:$D, 4, FALSE), 0))</f>
        <v>22.8</v>
      </c>
      <c r="G636" s="11">
        <f t="shared" si="1"/>
        <v>22.8</v>
      </c>
      <c r="H636" s="22"/>
      <c r="I636" s="11"/>
      <c r="J636" s="17" t="str">
        <f>IF(TRIM(B636)="","",IF(ISNUMBER(SEARCH(" - ",B636)),TRIM(RIGHT(B636,LEN(B636)-FIND(" - ",B636)-2)),IFERROR(VLOOKUP(UPPER(TRIM(B636)), SETUP!$B$4:$C$11, 2, FALSE), UPPER(TRIM(B636)))))</f>
        <v>AMY</v>
      </c>
      <c r="K636" s="23">
        <f t="shared" si="2"/>
        <v>46076</v>
      </c>
      <c r="L636" s="17">
        <f t="shared" si="3"/>
        <v>46078</v>
      </c>
      <c r="M636" s="17" t="str">
        <f t="shared" si="4"/>
        <v>2026-02</v>
      </c>
    </row>
    <row r="637" ht="15.75" customHeight="1">
      <c r="A637" s="19">
        <v>46078.0</v>
      </c>
      <c r="B637" s="20" t="s">
        <v>20</v>
      </c>
      <c r="C637" s="20">
        <v>40.0</v>
      </c>
      <c r="D637" s="21"/>
      <c r="E637" s="11">
        <f>IF(J637="","", C637 * IFERROR(VLOOKUP(J637, SETUP!$A:$D, 3, FALSE), 0))</f>
        <v>24</v>
      </c>
      <c r="F637" s="11">
        <f>IF(J637="","", C637 * IFERROR(VLOOKUP(J637, SETUP!$A:$D, 4, FALSE), 0))</f>
        <v>16</v>
      </c>
      <c r="G637" s="11">
        <f t="shared" si="1"/>
        <v>16</v>
      </c>
      <c r="H637" s="22"/>
      <c r="I637" s="11"/>
      <c r="J637" s="17" t="str">
        <f>IF(TRIM(B637)="","",IF(ISNUMBER(SEARCH(" - ",B637)),TRIM(RIGHT(B637,LEN(B637)-FIND(" - ",B637)-2)),IFERROR(VLOOKUP(UPPER(TRIM(B637)), SETUP!$B$4:$C$11, 2, FALSE), UPPER(TRIM(B637)))))</f>
        <v>AMY</v>
      </c>
      <c r="K637" s="23">
        <f t="shared" si="2"/>
        <v>46076</v>
      </c>
      <c r="L637" s="17">
        <f t="shared" si="3"/>
        <v>46078</v>
      </c>
      <c r="M637" s="17" t="str">
        <f t="shared" si="4"/>
        <v>2026-02</v>
      </c>
    </row>
    <row r="638" ht="15.75" customHeight="1">
      <c r="A638" s="19">
        <v>46078.0</v>
      </c>
      <c r="B638" s="20" t="s">
        <v>20</v>
      </c>
      <c r="C638" s="20">
        <v>52.0</v>
      </c>
      <c r="D638" s="21"/>
      <c r="E638" s="11">
        <f>IF(J638="","", C638 * IFERROR(VLOOKUP(J638, SETUP!$A:$D, 3, FALSE), 0))</f>
        <v>31.2</v>
      </c>
      <c r="F638" s="11">
        <f>IF(J638="","", C638 * IFERROR(VLOOKUP(J638, SETUP!$A:$D, 4, FALSE), 0))</f>
        <v>20.8</v>
      </c>
      <c r="G638" s="11">
        <f t="shared" si="1"/>
        <v>20.8</v>
      </c>
      <c r="H638" s="22"/>
      <c r="I638" s="11"/>
      <c r="J638" s="17" t="str">
        <f>IF(TRIM(B638)="","",IF(ISNUMBER(SEARCH(" - ",B638)),TRIM(RIGHT(B638,LEN(B638)-FIND(" - ",B638)-2)),IFERROR(VLOOKUP(UPPER(TRIM(B638)), SETUP!$B$4:$C$11, 2, FALSE), UPPER(TRIM(B638)))))</f>
        <v>AMY</v>
      </c>
      <c r="K638" s="23">
        <f t="shared" si="2"/>
        <v>46076</v>
      </c>
      <c r="L638" s="17">
        <f t="shared" si="3"/>
        <v>46078</v>
      </c>
      <c r="M638" s="17" t="str">
        <f t="shared" si="4"/>
        <v>2026-02</v>
      </c>
    </row>
    <row r="639" ht="15.75" customHeight="1">
      <c r="A639" s="19">
        <v>46078.0</v>
      </c>
      <c r="B639" s="20" t="s">
        <v>20</v>
      </c>
      <c r="C639" s="20">
        <v>57.0</v>
      </c>
      <c r="D639" s="21"/>
      <c r="E639" s="11">
        <f>IF(J639="","", C639 * IFERROR(VLOOKUP(J639, SETUP!$A:$D, 3, FALSE), 0))</f>
        <v>34.2</v>
      </c>
      <c r="F639" s="11">
        <f>IF(J639="","", C639 * IFERROR(VLOOKUP(J639, SETUP!$A:$D, 4, FALSE), 0))</f>
        <v>22.8</v>
      </c>
      <c r="G639" s="11">
        <f t="shared" si="1"/>
        <v>22.8</v>
      </c>
      <c r="H639" s="22"/>
      <c r="I639" s="11"/>
      <c r="J639" s="17" t="str">
        <f>IF(TRIM(B639)="","",IF(ISNUMBER(SEARCH(" - ",B639)),TRIM(RIGHT(B639,LEN(B639)-FIND(" - ",B639)-2)),IFERROR(VLOOKUP(UPPER(TRIM(B639)), SETUP!$B$4:$C$11, 2, FALSE), UPPER(TRIM(B639)))))</f>
        <v>AMY</v>
      </c>
      <c r="K639" s="23">
        <f t="shared" si="2"/>
        <v>46076</v>
      </c>
      <c r="L639" s="17">
        <f t="shared" si="3"/>
        <v>46078</v>
      </c>
      <c r="M639" s="17" t="str">
        <f t="shared" si="4"/>
        <v>2026-02</v>
      </c>
    </row>
    <row r="640" ht="15.75" customHeight="1">
      <c r="A640" s="19">
        <v>46078.0</v>
      </c>
      <c r="B640" s="20" t="s">
        <v>20</v>
      </c>
      <c r="C640" s="20">
        <v>57.0</v>
      </c>
      <c r="D640" s="21"/>
      <c r="E640" s="11">
        <f>IF(J640="","", C640 * IFERROR(VLOOKUP(J640, SETUP!$A:$D, 3, FALSE), 0))</f>
        <v>34.2</v>
      </c>
      <c r="F640" s="11">
        <f>IF(J640="","", C640 * IFERROR(VLOOKUP(J640, SETUP!$A:$D, 4, FALSE), 0))</f>
        <v>22.8</v>
      </c>
      <c r="G640" s="11">
        <f t="shared" si="1"/>
        <v>22.8</v>
      </c>
      <c r="H640" s="22"/>
      <c r="I640" s="11"/>
      <c r="J640" s="17" t="str">
        <f>IF(TRIM(B640)="","",IF(ISNUMBER(SEARCH(" - ",B640)),TRIM(RIGHT(B640,LEN(B640)-FIND(" - ",B640)-2)),IFERROR(VLOOKUP(UPPER(TRIM(B640)), SETUP!$B$4:$C$11, 2, FALSE), UPPER(TRIM(B640)))))</f>
        <v>AMY</v>
      </c>
      <c r="K640" s="23">
        <f t="shared" si="2"/>
        <v>46076</v>
      </c>
      <c r="L640" s="17">
        <f t="shared" si="3"/>
        <v>46078</v>
      </c>
      <c r="M640" s="17" t="str">
        <f t="shared" si="4"/>
        <v>2026-02</v>
      </c>
    </row>
    <row r="641" ht="15.75" customHeight="1">
      <c r="A641" s="19">
        <v>46078.0</v>
      </c>
      <c r="B641" s="20" t="s">
        <v>21</v>
      </c>
      <c r="C641" s="20">
        <v>102.0</v>
      </c>
      <c r="D641" s="21"/>
      <c r="E641" s="11">
        <f>IF(J641="","", C641 * IFERROR(VLOOKUP(J641, SETUP!$A:$D, 3, FALSE), 0))</f>
        <v>61.2</v>
      </c>
      <c r="F641" s="11">
        <f>IF(J641="","", C641 * IFERROR(VLOOKUP(J641, SETUP!$A:$D, 4, FALSE), 0))</f>
        <v>40.8</v>
      </c>
      <c r="G641" s="11">
        <f t="shared" si="1"/>
        <v>40.8</v>
      </c>
      <c r="H641" s="22"/>
      <c r="I641" s="11"/>
      <c r="J641" s="17" t="str">
        <f>IF(TRIM(B641)="","",IF(ISNUMBER(SEARCH(" - ",B641)),TRIM(RIGHT(B641,LEN(B641)-FIND(" - ",B641)-2)),IFERROR(VLOOKUP(UPPER(TRIM(B641)), SETUP!$B$4:$C$11, 2, FALSE), UPPER(TRIM(B641)))))</f>
        <v>TONY</v>
      </c>
      <c r="K641" s="23">
        <f t="shared" si="2"/>
        <v>46076</v>
      </c>
      <c r="L641" s="17">
        <f t="shared" si="3"/>
        <v>46078</v>
      </c>
      <c r="M641" s="17" t="str">
        <f t="shared" si="4"/>
        <v>2026-02</v>
      </c>
    </row>
    <row r="642" ht="15.75" customHeight="1">
      <c r="A642" s="19">
        <v>46078.0</v>
      </c>
      <c r="B642" s="20" t="s">
        <v>21</v>
      </c>
      <c r="C642" s="20">
        <v>75.0</v>
      </c>
      <c r="D642" s="21"/>
      <c r="E642" s="11">
        <f>IF(J642="","", C642 * IFERROR(VLOOKUP(J642, SETUP!$A:$D, 3, FALSE), 0))</f>
        <v>45</v>
      </c>
      <c r="F642" s="11">
        <f>IF(J642="","", C642 * IFERROR(VLOOKUP(J642, SETUP!$A:$D, 4, FALSE), 0))</f>
        <v>30</v>
      </c>
      <c r="G642" s="11">
        <f t="shared" si="1"/>
        <v>30</v>
      </c>
      <c r="H642" s="22"/>
      <c r="I642" s="11"/>
      <c r="J642" s="17" t="str">
        <f>IF(TRIM(B642)="","",IF(ISNUMBER(SEARCH(" - ",B642)),TRIM(RIGHT(B642,LEN(B642)-FIND(" - ",B642)-2)),IFERROR(VLOOKUP(UPPER(TRIM(B642)), SETUP!$B$4:$C$11, 2, FALSE), UPPER(TRIM(B642)))))</f>
        <v>TONY</v>
      </c>
      <c r="K642" s="23">
        <f t="shared" si="2"/>
        <v>46076</v>
      </c>
      <c r="L642" s="17">
        <f t="shared" si="3"/>
        <v>46078</v>
      </c>
      <c r="M642" s="17" t="str">
        <f t="shared" si="4"/>
        <v>2026-02</v>
      </c>
    </row>
    <row r="643" ht="15.75" customHeight="1">
      <c r="A643" s="19">
        <v>46078.0</v>
      </c>
      <c r="B643" s="20" t="s">
        <v>21</v>
      </c>
      <c r="C643" s="20">
        <v>67.0</v>
      </c>
      <c r="D643" s="21"/>
      <c r="E643" s="11">
        <f>IF(J643="","", C643 * IFERROR(VLOOKUP(J643, SETUP!$A:$D, 3, FALSE), 0))</f>
        <v>40.2</v>
      </c>
      <c r="F643" s="11">
        <f>IF(J643="","", C643 * IFERROR(VLOOKUP(J643, SETUP!$A:$D, 4, FALSE), 0))</f>
        <v>26.8</v>
      </c>
      <c r="G643" s="11">
        <f t="shared" si="1"/>
        <v>26.8</v>
      </c>
      <c r="H643" s="22"/>
      <c r="I643" s="11"/>
      <c r="J643" s="17" t="str">
        <f>IF(TRIM(B643)="","",IF(ISNUMBER(SEARCH(" - ",B643)),TRIM(RIGHT(B643,LEN(B643)-FIND(" - ",B643)-2)),IFERROR(VLOOKUP(UPPER(TRIM(B643)), SETUP!$B$4:$C$11, 2, FALSE), UPPER(TRIM(B643)))))</f>
        <v>TONY</v>
      </c>
      <c r="K643" s="23">
        <f t="shared" si="2"/>
        <v>46076</v>
      </c>
      <c r="L643" s="17">
        <f t="shared" si="3"/>
        <v>46078</v>
      </c>
      <c r="M643" s="17" t="str">
        <f t="shared" si="4"/>
        <v>2026-02</v>
      </c>
    </row>
    <row r="644" ht="15.75" customHeight="1">
      <c r="A644" s="19">
        <v>46078.0</v>
      </c>
      <c r="B644" s="20" t="s">
        <v>21</v>
      </c>
      <c r="C644" s="20">
        <v>102.0</v>
      </c>
      <c r="D644" s="21"/>
      <c r="E644" s="11">
        <f>IF(J644="","", C644 * IFERROR(VLOOKUP(J644, SETUP!$A:$D, 3, FALSE), 0))</f>
        <v>61.2</v>
      </c>
      <c r="F644" s="11">
        <f>IF(J644="","", C644 * IFERROR(VLOOKUP(J644, SETUP!$A:$D, 4, FALSE), 0))</f>
        <v>40.8</v>
      </c>
      <c r="G644" s="11">
        <f t="shared" si="1"/>
        <v>40.8</v>
      </c>
      <c r="H644" s="22"/>
      <c r="I644" s="11"/>
      <c r="J644" s="17" t="str">
        <f>IF(TRIM(B644)="","",IF(ISNUMBER(SEARCH(" - ",B644)),TRIM(RIGHT(B644,LEN(B644)-FIND(" - ",B644)-2)),IFERROR(VLOOKUP(UPPER(TRIM(B644)), SETUP!$B$4:$C$11, 2, FALSE), UPPER(TRIM(B644)))))</f>
        <v>TONY</v>
      </c>
      <c r="K644" s="23">
        <f t="shared" si="2"/>
        <v>46076</v>
      </c>
      <c r="L644" s="17">
        <f t="shared" si="3"/>
        <v>46078</v>
      </c>
      <c r="M644" s="17" t="str">
        <f t="shared" si="4"/>
        <v>2026-02</v>
      </c>
    </row>
    <row r="645" ht="15.75" customHeight="1">
      <c r="A645" s="19">
        <v>46078.0</v>
      </c>
      <c r="B645" s="20" t="s">
        <v>21</v>
      </c>
      <c r="C645" s="20">
        <v>57.0</v>
      </c>
      <c r="D645" s="21"/>
      <c r="E645" s="11">
        <f>IF(J645="","", C645 * IFERROR(VLOOKUP(J645, SETUP!$A:$D, 3, FALSE), 0))</f>
        <v>34.2</v>
      </c>
      <c r="F645" s="11">
        <f>IF(J645="","", C645 * IFERROR(VLOOKUP(J645, SETUP!$A:$D, 4, FALSE), 0))</f>
        <v>22.8</v>
      </c>
      <c r="G645" s="11">
        <f t="shared" si="1"/>
        <v>22.8</v>
      </c>
      <c r="H645" s="22"/>
      <c r="I645" s="11"/>
      <c r="J645" s="17" t="str">
        <f>IF(TRIM(B645)="","",IF(ISNUMBER(SEARCH(" - ",B645)),TRIM(RIGHT(B645,LEN(B645)-FIND(" - ",B645)-2)),IFERROR(VLOOKUP(UPPER(TRIM(B645)), SETUP!$B$4:$C$11, 2, FALSE), UPPER(TRIM(B645)))))</f>
        <v>TONY</v>
      </c>
      <c r="K645" s="23">
        <f t="shared" si="2"/>
        <v>46076</v>
      </c>
      <c r="L645" s="17">
        <f t="shared" si="3"/>
        <v>46078</v>
      </c>
      <c r="M645" s="17" t="str">
        <f t="shared" si="4"/>
        <v>2026-02</v>
      </c>
    </row>
    <row r="646" ht="15.75" customHeight="1">
      <c r="A646" s="19">
        <v>46079.0</v>
      </c>
      <c r="B646" s="20" t="s">
        <v>17</v>
      </c>
      <c r="C646" s="20">
        <v>60.0</v>
      </c>
      <c r="D646" s="21"/>
      <c r="E646" s="11">
        <f>IF(J646="","", C646 * IFERROR(VLOOKUP(J646, SETUP!$A:$D, 3, FALSE), 0))</f>
        <v>36</v>
      </c>
      <c r="F646" s="11">
        <f>IF(J646="","", C646 * IFERROR(VLOOKUP(J646, SETUP!$A:$D, 4, FALSE), 0))</f>
        <v>24</v>
      </c>
      <c r="G646" s="11">
        <f t="shared" si="1"/>
        <v>24</v>
      </c>
      <c r="H646" s="22"/>
      <c r="I646" s="11"/>
      <c r="J646" s="17" t="str">
        <f>IF(TRIM(B646)="","",IF(ISNUMBER(SEARCH(" - ",B646)),TRIM(RIGHT(B646,LEN(B646)-FIND(" - ",B646)-2)),IFERROR(VLOOKUP(UPPER(TRIM(B646)), SETUP!$B$4:$C$11, 2, FALSE), UPPER(TRIM(B646)))))</f>
        <v>RYAN</v>
      </c>
      <c r="K646" s="23">
        <f t="shared" si="2"/>
        <v>46076</v>
      </c>
      <c r="L646" s="17">
        <f t="shared" si="3"/>
        <v>46079</v>
      </c>
      <c r="M646" s="17" t="str">
        <f t="shared" si="4"/>
        <v>2026-02</v>
      </c>
    </row>
    <row r="647" ht="15.75" customHeight="1">
      <c r="A647" s="19">
        <v>46079.0</v>
      </c>
      <c r="B647" s="20" t="s">
        <v>17</v>
      </c>
      <c r="C647" s="20">
        <v>40.0</v>
      </c>
      <c r="D647" s="21"/>
      <c r="E647" s="11">
        <f>IF(J647="","", C647 * IFERROR(VLOOKUP(J647, SETUP!$A:$D, 3, FALSE), 0))</f>
        <v>24</v>
      </c>
      <c r="F647" s="11">
        <f>IF(J647="","", C647 * IFERROR(VLOOKUP(J647, SETUP!$A:$D, 4, FALSE), 0))</f>
        <v>16</v>
      </c>
      <c r="G647" s="11">
        <f t="shared" si="1"/>
        <v>16</v>
      </c>
      <c r="H647" s="22"/>
      <c r="I647" s="11"/>
      <c r="J647" s="17" t="str">
        <f>IF(TRIM(B647)="","",IF(ISNUMBER(SEARCH(" - ",B647)),TRIM(RIGHT(B647,LEN(B647)-FIND(" - ",B647)-2)),IFERROR(VLOOKUP(UPPER(TRIM(B647)), SETUP!$B$4:$C$11, 2, FALSE), UPPER(TRIM(B647)))))</f>
        <v>RYAN</v>
      </c>
      <c r="K647" s="23">
        <f t="shared" si="2"/>
        <v>46076</v>
      </c>
      <c r="L647" s="17">
        <f t="shared" si="3"/>
        <v>46079</v>
      </c>
      <c r="M647" s="17" t="str">
        <f t="shared" si="4"/>
        <v>2026-02</v>
      </c>
    </row>
    <row r="648" ht="15.75" customHeight="1">
      <c r="A648" s="19">
        <v>46079.0</v>
      </c>
      <c r="B648" s="20" t="s">
        <v>17</v>
      </c>
      <c r="C648" s="20">
        <v>72.0</v>
      </c>
      <c r="D648" s="21"/>
      <c r="E648" s="11">
        <f>IF(J648="","", C648 * IFERROR(VLOOKUP(J648, SETUP!$A:$D, 3, FALSE), 0))</f>
        <v>43.2</v>
      </c>
      <c r="F648" s="11">
        <f>IF(J648="","", C648 * IFERROR(VLOOKUP(J648, SETUP!$A:$D, 4, FALSE), 0))</f>
        <v>28.8</v>
      </c>
      <c r="G648" s="11">
        <f t="shared" si="1"/>
        <v>28.8</v>
      </c>
      <c r="H648" s="22"/>
      <c r="I648" s="11"/>
      <c r="J648" s="17" t="str">
        <f>IF(TRIM(B648)="","",IF(ISNUMBER(SEARCH(" - ",B648)),TRIM(RIGHT(B648,LEN(B648)-FIND(" - ",B648)-2)),IFERROR(VLOOKUP(UPPER(TRIM(B648)), SETUP!$B$4:$C$11, 2, FALSE), UPPER(TRIM(B648)))))</f>
        <v>RYAN</v>
      </c>
      <c r="K648" s="23">
        <f t="shared" si="2"/>
        <v>46076</v>
      </c>
      <c r="L648" s="17">
        <f t="shared" si="3"/>
        <v>46079</v>
      </c>
      <c r="M648" s="17" t="str">
        <f t="shared" si="4"/>
        <v>2026-02</v>
      </c>
    </row>
    <row r="649" ht="15.75" customHeight="1">
      <c r="A649" s="19">
        <v>46079.0</v>
      </c>
      <c r="B649" s="20" t="s">
        <v>17</v>
      </c>
      <c r="C649" s="20">
        <v>85.0</v>
      </c>
      <c r="D649" s="21"/>
      <c r="E649" s="11">
        <f>IF(J649="","", C649 * IFERROR(VLOOKUP(J649, SETUP!$A:$D, 3, FALSE), 0))</f>
        <v>51</v>
      </c>
      <c r="F649" s="11">
        <f>IF(J649="","", C649 * IFERROR(VLOOKUP(J649, SETUP!$A:$D, 4, FALSE), 0))</f>
        <v>34</v>
      </c>
      <c r="G649" s="11">
        <f t="shared" si="1"/>
        <v>34</v>
      </c>
      <c r="H649" s="22"/>
      <c r="I649" s="11"/>
      <c r="J649" s="17" t="str">
        <f>IF(TRIM(B649)="","",IF(ISNUMBER(SEARCH(" - ",B649)),TRIM(RIGHT(B649,LEN(B649)-FIND(" - ",B649)-2)),IFERROR(VLOOKUP(UPPER(TRIM(B649)), SETUP!$B$4:$C$11, 2, FALSE), UPPER(TRIM(B649)))))</f>
        <v>RYAN</v>
      </c>
      <c r="K649" s="23">
        <f t="shared" si="2"/>
        <v>46076</v>
      </c>
      <c r="L649" s="17">
        <f t="shared" si="3"/>
        <v>46079</v>
      </c>
      <c r="M649" s="17" t="str">
        <f t="shared" si="4"/>
        <v>2026-02</v>
      </c>
    </row>
    <row r="650" ht="15.75" customHeight="1">
      <c r="A650" s="19">
        <v>46079.0</v>
      </c>
      <c r="B650" s="20" t="s">
        <v>17</v>
      </c>
      <c r="C650" s="20">
        <v>67.0</v>
      </c>
      <c r="D650" s="21"/>
      <c r="E650" s="11">
        <f>IF(J650="","", C650 * IFERROR(VLOOKUP(J650, SETUP!$A:$D, 3, FALSE), 0))</f>
        <v>40.2</v>
      </c>
      <c r="F650" s="11">
        <f>IF(J650="","", C650 * IFERROR(VLOOKUP(J650, SETUP!$A:$D, 4, FALSE), 0))</f>
        <v>26.8</v>
      </c>
      <c r="G650" s="11">
        <f t="shared" si="1"/>
        <v>26.8</v>
      </c>
      <c r="H650" s="22"/>
      <c r="I650" s="11"/>
      <c r="J650" s="17" t="str">
        <f>IF(TRIM(B650)="","",IF(ISNUMBER(SEARCH(" - ",B650)),TRIM(RIGHT(B650,LEN(B650)-FIND(" - ",B650)-2)),IFERROR(VLOOKUP(UPPER(TRIM(B650)), SETUP!$B$4:$C$11, 2, FALSE), UPPER(TRIM(B650)))))</f>
        <v>RYAN</v>
      </c>
      <c r="K650" s="23">
        <f t="shared" si="2"/>
        <v>46076</v>
      </c>
      <c r="L650" s="17">
        <f t="shared" si="3"/>
        <v>46079</v>
      </c>
      <c r="M650" s="17" t="str">
        <f t="shared" si="4"/>
        <v>2026-02</v>
      </c>
    </row>
    <row r="651" ht="15.75" customHeight="1">
      <c r="A651" s="19">
        <v>46079.0</v>
      </c>
      <c r="B651" s="20" t="s">
        <v>17</v>
      </c>
      <c r="C651" s="20">
        <v>10.0</v>
      </c>
      <c r="D651" s="21"/>
      <c r="E651" s="11">
        <f>IF(J651="","", C651 * IFERROR(VLOOKUP(J651, SETUP!$A:$D, 3, FALSE), 0))</f>
        <v>6</v>
      </c>
      <c r="F651" s="11">
        <f>IF(J651="","", C651 * IFERROR(VLOOKUP(J651, SETUP!$A:$D, 4, FALSE), 0))</f>
        <v>4</v>
      </c>
      <c r="G651" s="11">
        <f t="shared" si="1"/>
        <v>4</v>
      </c>
      <c r="H651" s="22"/>
      <c r="I651" s="11"/>
      <c r="J651" s="17" t="str">
        <f>IF(TRIM(B651)="","",IF(ISNUMBER(SEARCH(" - ",B651)),TRIM(RIGHT(B651,LEN(B651)-FIND(" - ",B651)-2)),IFERROR(VLOOKUP(UPPER(TRIM(B651)), SETUP!$B$4:$C$11, 2, FALSE), UPPER(TRIM(B651)))))</f>
        <v>RYAN</v>
      </c>
      <c r="K651" s="23">
        <f t="shared" si="2"/>
        <v>46076</v>
      </c>
      <c r="L651" s="17">
        <f t="shared" si="3"/>
        <v>46079</v>
      </c>
      <c r="M651" s="17" t="str">
        <f t="shared" si="4"/>
        <v>2026-02</v>
      </c>
    </row>
    <row r="652" ht="15.75" customHeight="1">
      <c r="A652" s="19">
        <v>46079.0</v>
      </c>
      <c r="B652" s="20" t="s">
        <v>17</v>
      </c>
      <c r="C652" s="20">
        <v>67.0</v>
      </c>
      <c r="D652" s="21"/>
      <c r="E652" s="11">
        <f>IF(J652="","", C652 * IFERROR(VLOOKUP(J652, SETUP!$A:$D, 3, FALSE), 0))</f>
        <v>40.2</v>
      </c>
      <c r="F652" s="11">
        <f>IF(J652="","", C652 * IFERROR(VLOOKUP(J652, SETUP!$A:$D, 4, FALSE), 0))</f>
        <v>26.8</v>
      </c>
      <c r="G652" s="11">
        <f t="shared" si="1"/>
        <v>26.8</v>
      </c>
      <c r="H652" s="22"/>
      <c r="I652" s="11"/>
      <c r="J652" s="17" t="str">
        <f>IF(TRIM(B652)="","",IF(ISNUMBER(SEARCH(" - ",B652)),TRIM(RIGHT(B652,LEN(B652)-FIND(" - ",B652)-2)),IFERROR(VLOOKUP(UPPER(TRIM(B652)), SETUP!$B$4:$C$11, 2, FALSE), UPPER(TRIM(B652)))))</f>
        <v>RYAN</v>
      </c>
      <c r="K652" s="23">
        <f t="shared" si="2"/>
        <v>46076</v>
      </c>
      <c r="L652" s="17">
        <f t="shared" si="3"/>
        <v>46079</v>
      </c>
      <c r="M652" s="17" t="str">
        <f t="shared" si="4"/>
        <v>2026-02</v>
      </c>
    </row>
    <row r="653" ht="15.75" customHeight="1">
      <c r="A653" s="19">
        <v>46079.0</v>
      </c>
      <c r="B653" s="20" t="s">
        <v>18</v>
      </c>
      <c r="C653" s="20">
        <v>15.0</v>
      </c>
      <c r="D653" s="21"/>
      <c r="E653" s="11">
        <f>IF(J653="","", C653 * IFERROR(VLOOKUP(J653, SETUP!$A:$D, 3, FALSE), 0))</f>
        <v>7.5</v>
      </c>
      <c r="F653" s="11">
        <f>IF(J653="","", C653 * IFERROR(VLOOKUP(J653, SETUP!$A:$D, 4, FALSE), 0))</f>
        <v>7.5</v>
      </c>
      <c r="G653" s="11">
        <f t="shared" si="1"/>
        <v>7.5</v>
      </c>
      <c r="H653" s="22"/>
      <c r="I653" s="11"/>
      <c r="J653" s="17" t="str">
        <f>IF(TRIM(B653)="","",IF(ISNUMBER(SEARCH(" - ",B653)),TRIM(RIGHT(B653,LEN(B653)-FIND(" - ",B653)-2)),IFERROR(VLOOKUP(UPPER(TRIM(B653)), SETUP!$B$4:$C$11, 2, FALSE), UPPER(TRIM(B653)))))</f>
        <v>CRIS</v>
      </c>
      <c r="K653" s="23">
        <f t="shared" si="2"/>
        <v>46076</v>
      </c>
      <c r="L653" s="17">
        <f t="shared" si="3"/>
        <v>46079</v>
      </c>
      <c r="M653" s="17" t="str">
        <f t="shared" si="4"/>
        <v>2026-02</v>
      </c>
    </row>
    <row r="654" ht="15.75" customHeight="1">
      <c r="A654" s="19">
        <v>46079.0</v>
      </c>
      <c r="B654" s="20" t="s">
        <v>18</v>
      </c>
      <c r="C654" s="20">
        <v>65.0</v>
      </c>
      <c r="D654" s="21"/>
      <c r="E654" s="11">
        <f>IF(J654="","", C654 * IFERROR(VLOOKUP(J654, SETUP!$A:$D, 3, FALSE), 0))</f>
        <v>32.5</v>
      </c>
      <c r="F654" s="11">
        <f>IF(J654="","", C654 * IFERROR(VLOOKUP(J654, SETUP!$A:$D, 4, FALSE), 0))</f>
        <v>32.5</v>
      </c>
      <c r="G654" s="11">
        <f t="shared" si="1"/>
        <v>32.5</v>
      </c>
      <c r="H654" s="22"/>
      <c r="I654" s="11"/>
      <c r="J654" s="17" t="str">
        <f>IF(TRIM(B654)="","",IF(ISNUMBER(SEARCH(" - ",B654)),TRIM(RIGHT(B654,LEN(B654)-FIND(" - ",B654)-2)),IFERROR(VLOOKUP(UPPER(TRIM(B654)), SETUP!$B$4:$C$11, 2, FALSE), UPPER(TRIM(B654)))))</f>
        <v>CRIS</v>
      </c>
      <c r="K654" s="23">
        <f t="shared" si="2"/>
        <v>46076</v>
      </c>
      <c r="L654" s="17">
        <f t="shared" si="3"/>
        <v>46079</v>
      </c>
      <c r="M654" s="17" t="str">
        <f t="shared" si="4"/>
        <v>2026-02</v>
      </c>
    </row>
    <row r="655" ht="15.75" customHeight="1">
      <c r="A655" s="19">
        <v>46079.0</v>
      </c>
      <c r="B655" s="20" t="s">
        <v>18</v>
      </c>
      <c r="C655" s="20">
        <v>20.0</v>
      </c>
      <c r="D655" s="21"/>
      <c r="E655" s="11">
        <f>IF(J655="","", C655 * IFERROR(VLOOKUP(J655, SETUP!$A:$D, 3, FALSE), 0))</f>
        <v>10</v>
      </c>
      <c r="F655" s="11">
        <f>IF(J655="","", C655 * IFERROR(VLOOKUP(J655, SETUP!$A:$D, 4, FALSE), 0))</f>
        <v>10</v>
      </c>
      <c r="G655" s="11">
        <f t="shared" si="1"/>
        <v>10</v>
      </c>
      <c r="H655" s="22"/>
      <c r="I655" s="11"/>
      <c r="J655" s="17" t="str">
        <f>IF(TRIM(B655)="","",IF(ISNUMBER(SEARCH(" - ",B655)),TRIM(RIGHT(B655,LEN(B655)-FIND(" - ",B655)-2)),IFERROR(VLOOKUP(UPPER(TRIM(B655)), SETUP!$B$4:$C$11, 2, FALSE), UPPER(TRIM(B655)))))</f>
        <v>CRIS</v>
      </c>
      <c r="K655" s="23">
        <f t="shared" si="2"/>
        <v>46076</v>
      </c>
      <c r="L655" s="17">
        <f t="shared" si="3"/>
        <v>46079</v>
      </c>
      <c r="M655" s="17" t="str">
        <f t="shared" si="4"/>
        <v>2026-02</v>
      </c>
    </row>
    <row r="656" ht="15.75" customHeight="1">
      <c r="A656" s="19">
        <v>46079.0</v>
      </c>
      <c r="B656" s="20" t="s">
        <v>18</v>
      </c>
      <c r="C656" s="20">
        <v>40.0</v>
      </c>
      <c r="D656" s="21"/>
      <c r="E656" s="11">
        <f>IF(J656="","", C656 * IFERROR(VLOOKUP(J656, SETUP!$A:$D, 3, FALSE), 0))</f>
        <v>20</v>
      </c>
      <c r="F656" s="11">
        <f>IF(J656="","", C656 * IFERROR(VLOOKUP(J656, SETUP!$A:$D, 4, FALSE), 0))</f>
        <v>20</v>
      </c>
      <c r="G656" s="11">
        <f t="shared" si="1"/>
        <v>20</v>
      </c>
      <c r="H656" s="22"/>
      <c r="I656" s="11"/>
      <c r="J656" s="17" t="str">
        <f>IF(TRIM(B656)="","",IF(ISNUMBER(SEARCH(" - ",B656)),TRIM(RIGHT(B656,LEN(B656)-FIND(" - ",B656)-2)),IFERROR(VLOOKUP(UPPER(TRIM(B656)), SETUP!$B$4:$C$11, 2, FALSE), UPPER(TRIM(B656)))))</f>
        <v>CRIS</v>
      </c>
      <c r="K656" s="23">
        <f t="shared" si="2"/>
        <v>46076</v>
      </c>
      <c r="L656" s="17">
        <f t="shared" si="3"/>
        <v>46079</v>
      </c>
      <c r="M656" s="17" t="str">
        <f t="shared" si="4"/>
        <v>2026-02</v>
      </c>
    </row>
    <row r="657" ht="15.75" customHeight="1">
      <c r="A657" s="19">
        <v>46079.0</v>
      </c>
      <c r="B657" s="20" t="s">
        <v>18</v>
      </c>
      <c r="C657" s="20">
        <v>20.0</v>
      </c>
      <c r="D657" s="21"/>
      <c r="E657" s="11">
        <f>IF(J657="","", C657 * IFERROR(VLOOKUP(J657, SETUP!$A:$D, 3, FALSE), 0))</f>
        <v>10</v>
      </c>
      <c r="F657" s="11">
        <f>IF(J657="","", C657 * IFERROR(VLOOKUP(J657, SETUP!$A:$D, 4, FALSE), 0))</f>
        <v>10</v>
      </c>
      <c r="G657" s="11">
        <f t="shared" si="1"/>
        <v>10</v>
      </c>
      <c r="H657" s="22"/>
      <c r="I657" s="11"/>
      <c r="J657" s="17" t="str">
        <f>IF(TRIM(B657)="","",IF(ISNUMBER(SEARCH(" - ",B657)),TRIM(RIGHT(B657,LEN(B657)-FIND(" - ",B657)-2)),IFERROR(VLOOKUP(UPPER(TRIM(B657)), SETUP!$B$4:$C$11, 2, FALSE), UPPER(TRIM(B657)))))</f>
        <v>CRIS</v>
      </c>
      <c r="K657" s="23">
        <f t="shared" si="2"/>
        <v>46076</v>
      </c>
      <c r="L657" s="17">
        <f t="shared" si="3"/>
        <v>46079</v>
      </c>
      <c r="M657" s="17" t="str">
        <f t="shared" si="4"/>
        <v>2026-02</v>
      </c>
    </row>
    <row r="658" ht="15.75" customHeight="1">
      <c r="A658" s="19">
        <v>46079.0</v>
      </c>
      <c r="B658" s="20" t="s">
        <v>18</v>
      </c>
      <c r="C658" s="20">
        <v>40.0</v>
      </c>
      <c r="D658" s="21"/>
      <c r="E658" s="11">
        <f>IF(J658="","", C658 * IFERROR(VLOOKUP(J658, SETUP!$A:$D, 3, FALSE), 0))</f>
        <v>20</v>
      </c>
      <c r="F658" s="11">
        <f>IF(J658="","", C658 * IFERROR(VLOOKUP(J658, SETUP!$A:$D, 4, FALSE), 0))</f>
        <v>20</v>
      </c>
      <c r="G658" s="11">
        <f t="shared" si="1"/>
        <v>20</v>
      </c>
      <c r="H658" s="22"/>
      <c r="I658" s="11"/>
      <c r="J658" s="17" t="str">
        <f>IF(TRIM(B658)="","",IF(ISNUMBER(SEARCH(" - ",B658)),TRIM(RIGHT(B658,LEN(B658)-FIND(" - ",B658)-2)),IFERROR(VLOOKUP(UPPER(TRIM(B658)), SETUP!$B$4:$C$11, 2, FALSE), UPPER(TRIM(B658)))))</f>
        <v>CRIS</v>
      </c>
      <c r="K658" s="23">
        <f t="shared" si="2"/>
        <v>46076</v>
      </c>
      <c r="L658" s="17">
        <f t="shared" si="3"/>
        <v>46079</v>
      </c>
      <c r="M658" s="17" t="str">
        <f t="shared" si="4"/>
        <v>2026-02</v>
      </c>
    </row>
    <row r="659" ht="15.75" customHeight="1">
      <c r="A659" s="19">
        <v>46079.0</v>
      </c>
      <c r="B659" s="20" t="s">
        <v>18</v>
      </c>
      <c r="C659" s="20">
        <v>60.0</v>
      </c>
      <c r="D659" s="21"/>
      <c r="E659" s="11">
        <f>IF(J659="","", C659 * IFERROR(VLOOKUP(J659, SETUP!$A:$D, 3, FALSE), 0))</f>
        <v>30</v>
      </c>
      <c r="F659" s="11">
        <f>IF(J659="","", C659 * IFERROR(VLOOKUP(J659, SETUP!$A:$D, 4, FALSE), 0))</f>
        <v>30</v>
      </c>
      <c r="G659" s="11">
        <f t="shared" si="1"/>
        <v>30</v>
      </c>
      <c r="H659" s="22"/>
      <c r="I659" s="11"/>
      <c r="J659" s="17" t="str">
        <f>IF(TRIM(B659)="","",IF(ISNUMBER(SEARCH(" - ",B659)),TRIM(RIGHT(B659,LEN(B659)-FIND(" - ",B659)-2)),IFERROR(VLOOKUP(UPPER(TRIM(B659)), SETUP!$B$4:$C$11, 2, FALSE), UPPER(TRIM(B659)))))</f>
        <v>CRIS</v>
      </c>
      <c r="K659" s="23">
        <f t="shared" si="2"/>
        <v>46076</v>
      </c>
      <c r="L659" s="17">
        <f t="shared" si="3"/>
        <v>46079</v>
      </c>
      <c r="M659" s="17" t="str">
        <f t="shared" si="4"/>
        <v>2026-02</v>
      </c>
    </row>
    <row r="660" ht="15.75" customHeight="1">
      <c r="A660" s="19">
        <v>46079.0</v>
      </c>
      <c r="B660" s="20" t="s">
        <v>18</v>
      </c>
      <c r="C660" s="20">
        <v>35.0</v>
      </c>
      <c r="D660" s="21"/>
      <c r="E660" s="11">
        <f>IF(J660="","", C660 * IFERROR(VLOOKUP(J660, SETUP!$A:$D, 3, FALSE), 0))</f>
        <v>17.5</v>
      </c>
      <c r="F660" s="11">
        <f>IF(J660="","", C660 * IFERROR(VLOOKUP(J660, SETUP!$A:$D, 4, FALSE), 0))</f>
        <v>17.5</v>
      </c>
      <c r="G660" s="11">
        <f t="shared" si="1"/>
        <v>17.5</v>
      </c>
      <c r="H660" s="22"/>
      <c r="I660" s="11"/>
      <c r="J660" s="17" t="str">
        <f>IF(TRIM(B660)="","",IF(ISNUMBER(SEARCH(" - ",B660)),TRIM(RIGHT(B660,LEN(B660)-FIND(" - ",B660)-2)),IFERROR(VLOOKUP(UPPER(TRIM(B660)), SETUP!$B$4:$C$11, 2, FALSE), UPPER(TRIM(B660)))))</f>
        <v>CRIS</v>
      </c>
      <c r="K660" s="23">
        <f t="shared" si="2"/>
        <v>46076</v>
      </c>
      <c r="L660" s="17">
        <f t="shared" si="3"/>
        <v>46079</v>
      </c>
      <c r="M660" s="17" t="str">
        <f t="shared" si="4"/>
        <v>2026-02</v>
      </c>
    </row>
    <row r="661" ht="15.75" customHeight="1">
      <c r="A661" s="19">
        <v>46079.0</v>
      </c>
      <c r="B661" s="20" t="s">
        <v>19</v>
      </c>
      <c r="C661" s="20">
        <v>55.0</v>
      </c>
      <c r="D661" s="21"/>
      <c r="E661" s="11">
        <f>IF(J661="","", C661 * IFERROR(VLOOKUP(J661, SETUP!$A:$D, 3, FALSE), 0))</f>
        <v>0</v>
      </c>
      <c r="F661" s="11">
        <f>IF(J661="","", C661 * IFERROR(VLOOKUP(J661, SETUP!$A:$D, 4, FALSE), 0))</f>
        <v>55</v>
      </c>
      <c r="G661" s="11">
        <f t="shared" si="1"/>
        <v>55</v>
      </c>
      <c r="H661" s="22"/>
      <c r="I661" s="11"/>
      <c r="J661" s="17" t="str">
        <f>IF(TRIM(B661)="","",IF(ISNUMBER(SEARCH(" - ",B661)),TRIM(RIGHT(B661,LEN(B661)-FIND(" - ",B661)-2)),IFERROR(VLOOKUP(UPPER(TRIM(B661)), SETUP!$B$4:$C$11, 2, FALSE), UPPER(TRIM(B661)))))</f>
        <v>HANNI</v>
      </c>
      <c r="K661" s="23">
        <f t="shared" si="2"/>
        <v>46076</v>
      </c>
      <c r="L661" s="17">
        <f t="shared" si="3"/>
        <v>46079</v>
      </c>
      <c r="M661" s="17" t="str">
        <f t="shared" si="4"/>
        <v>2026-02</v>
      </c>
    </row>
    <row r="662" ht="15.75" customHeight="1">
      <c r="A662" s="19">
        <v>46079.0</v>
      </c>
      <c r="B662" s="20" t="s">
        <v>19</v>
      </c>
      <c r="C662" s="20">
        <v>47.0</v>
      </c>
      <c r="D662" s="21"/>
      <c r="E662" s="11">
        <f>IF(J662="","", C662 * IFERROR(VLOOKUP(J662, SETUP!$A:$D, 3, FALSE), 0))</f>
        <v>0</v>
      </c>
      <c r="F662" s="11">
        <f>IF(J662="","", C662 * IFERROR(VLOOKUP(J662, SETUP!$A:$D, 4, FALSE), 0))</f>
        <v>47</v>
      </c>
      <c r="G662" s="11">
        <f t="shared" si="1"/>
        <v>47</v>
      </c>
      <c r="H662" s="22"/>
      <c r="I662" s="11"/>
      <c r="J662" s="17" t="str">
        <f>IF(TRIM(B662)="","",IF(ISNUMBER(SEARCH(" - ",B662)),TRIM(RIGHT(B662,LEN(B662)-FIND(" - ",B662)-2)),IFERROR(VLOOKUP(UPPER(TRIM(B662)), SETUP!$B$4:$C$11, 2, FALSE), UPPER(TRIM(B662)))))</f>
        <v>HANNI</v>
      </c>
      <c r="K662" s="23">
        <f t="shared" si="2"/>
        <v>46076</v>
      </c>
      <c r="L662" s="17">
        <f t="shared" si="3"/>
        <v>46079</v>
      </c>
      <c r="M662" s="17" t="str">
        <f t="shared" si="4"/>
        <v>2026-02</v>
      </c>
    </row>
    <row r="663" ht="15.75" customHeight="1">
      <c r="A663" s="19">
        <v>46079.0</v>
      </c>
      <c r="B663" s="20" t="s">
        <v>19</v>
      </c>
      <c r="C663" s="20">
        <v>100.0</v>
      </c>
      <c r="D663" s="21"/>
      <c r="E663" s="11">
        <f>IF(J663="","", C663 * IFERROR(VLOOKUP(J663, SETUP!$A:$D, 3, FALSE), 0))</f>
        <v>0</v>
      </c>
      <c r="F663" s="11">
        <f>IF(J663="","", C663 * IFERROR(VLOOKUP(J663, SETUP!$A:$D, 4, FALSE), 0))</f>
        <v>100</v>
      </c>
      <c r="G663" s="11">
        <f t="shared" si="1"/>
        <v>100</v>
      </c>
      <c r="H663" s="22"/>
      <c r="I663" s="11"/>
      <c r="J663" s="17" t="str">
        <f>IF(TRIM(B663)="","",IF(ISNUMBER(SEARCH(" - ",B663)),TRIM(RIGHT(B663,LEN(B663)-FIND(" - ",B663)-2)),IFERROR(VLOOKUP(UPPER(TRIM(B663)), SETUP!$B$4:$C$11, 2, FALSE), UPPER(TRIM(B663)))))</f>
        <v>HANNI</v>
      </c>
      <c r="K663" s="23">
        <f t="shared" si="2"/>
        <v>46076</v>
      </c>
      <c r="L663" s="17">
        <f t="shared" si="3"/>
        <v>46079</v>
      </c>
      <c r="M663" s="17" t="str">
        <f t="shared" si="4"/>
        <v>2026-02</v>
      </c>
    </row>
    <row r="664" ht="15.75" customHeight="1">
      <c r="A664" s="19">
        <v>46079.0</v>
      </c>
      <c r="B664" s="20" t="s">
        <v>20</v>
      </c>
      <c r="C664" s="20">
        <v>57.0</v>
      </c>
      <c r="D664" s="21"/>
      <c r="E664" s="11">
        <f>IF(J664="","", C664 * IFERROR(VLOOKUP(J664, SETUP!$A:$D, 3, FALSE), 0))</f>
        <v>34.2</v>
      </c>
      <c r="F664" s="11">
        <f>IF(J664="","", C664 * IFERROR(VLOOKUP(J664, SETUP!$A:$D, 4, FALSE), 0))</f>
        <v>22.8</v>
      </c>
      <c r="G664" s="11">
        <f t="shared" si="1"/>
        <v>22.8</v>
      </c>
      <c r="H664" s="22"/>
      <c r="I664" s="11"/>
      <c r="J664" s="17" t="str">
        <f>IF(TRIM(B664)="","",IF(ISNUMBER(SEARCH(" - ",B664)),TRIM(RIGHT(B664,LEN(B664)-FIND(" - ",B664)-2)),IFERROR(VLOOKUP(UPPER(TRIM(B664)), SETUP!$B$4:$C$11, 2, FALSE), UPPER(TRIM(B664)))))</f>
        <v>AMY</v>
      </c>
      <c r="K664" s="23">
        <f t="shared" si="2"/>
        <v>46076</v>
      </c>
      <c r="L664" s="17">
        <f t="shared" si="3"/>
        <v>46079</v>
      </c>
      <c r="M664" s="17" t="str">
        <f t="shared" si="4"/>
        <v>2026-02</v>
      </c>
    </row>
    <row r="665" ht="15.75" customHeight="1">
      <c r="A665" s="19">
        <v>46079.0</v>
      </c>
      <c r="B665" s="20" t="s">
        <v>20</v>
      </c>
      <c r="C665" s="20">
        <v>117.0</v>
      </c>
      <c r="D665" s="21"/>
      <c r="E665" s="11">
        <f>IF(J665="","", C665 * IFERROR(VLOOKUP(J665, SETUP!$A:$D, 3, FALSE), 0))</f>
        <v>70.2</v>
      </c>
      <c r="F665" s="11">
        <f>IF(J665="","", C665 * IFERROR(VLOOKUP(J665, SETUP!$A:$D, 4, FALSE), 0))</f>
        <v>46.8</v>
      </c>
      <c r="G665" s="11">
        <f t="shared" si="1"/>
        <v>46.8</v>
      </c>
      <c r="H665" s="22"/>
      <c r="I665" s="11"/>
      <c r="J665" s="17" t="str">
        <f>IF(TRIM(B665)="","",IF(ISNUMBER(SEARCH(" - ",B665)),TRIM(RIGHT(B665,LEN(B665)-FIND(" - ",B665)-2)),IFERROR(VLOOKUP(UPPER(TRIM(B665)), SETUP!$B$4:$C$11, 2, FALSE), UPPER(TRIM(B665)))))</f>
        <v>AMY</v>
      </c>
      <c r="K665" s="23">
        <f t="shared" si="2"/>
        <v>46076</v>
      </c>
      <c r="L665" s="17">
        <f t="shared" si="3"/>
        <v>46079</v>
      </c>
      <c r="M665" s="17" t="str">
        <f t="shared" si="4"/>
        <v>2026-02</v>
      </c>
    </row>
    <row r="666" ht="15.75" customHeight="1">
      <c r="A666" s="19">
        <v>46079.0</v>
      </c>
      <c r="B666" s="20" t="s">
        <v>20</v>
      </c>
      <c r="C666" s="20">
        <v>82.0</v>
      </c>
      <c r="D666" s="21"/>
      <c r="E666" s="11">
        <f>IF(J666="","", C666 * IFERROR(VLOOKUP(J666, SETUP!$A:$D, 3, FALSE), 0))</f>
        <v>49.2</v>
      </c>
      <c r="F666" s="11">
        <f>IF(J666="","", C666 * IFERROR(VLOOKUP(J666, SETUP!$A:$D, 4, FALSE), 0))</f>
        <v>32.8</v>
      </c>
      <c r="G666" s="11">
        <f t="shared" si="1"/>
        <v>32.8</v>
      </c>
      <c r="H666" s="22"/>
      <c r="I666" s="11"/>
      <c r="J666" s="17" t="str">
        <f>IF(TRIM(B666)="","",IF(ISNUMBER(SEARCH(" - ",B666)),TRIM(RIGHT(B666,LEN(B666)-FIND(" - ",B666)-2)),IFERROR(VLOOKUP(UPPER(TRIM(B666)), SETUP!$B$4:$C$11, 2, FALSE), UPPER(TRIM(B666)))))</f>
        <v>AMY</v>
      </c>
      <c r="K666" s="23">
        <f t="shared" si="2"/>
        <v>46076</v>
      </c>
      <c r="L666" s="17">
        <f t="shared" si="3"/>
        <v>46079</v>
      </c>
      <c r="M666" s="17" t="str">
        <f t="shared" si="4"/>
        <v>2026-02</v>
      </c>
    </row>
    <row r="667" ht="15.75" customHeight="1">
      <c r="A667" s="19">
        <v>46079.0</v>
      </c>
      <c r="B667" s="20" t="s">
        <v>20</v>
      </c>
      <c r="C667" s="20">
        <v>40.0</v>
      </c>
      <c r="D667" s="21"/>
      <c r="E667" s="11">
        <f>IF(J667="","", C667 * IFERROR(VLOOKUP(J667, SETUP!$A:$D, 3, FALSE), 0))</f>
        <v>24</v>
      </c>
      <c r="F667" s="11">
        <f>IF(J667="","", C667 * IFERROR(VLOOKUP(J667, SETUP!$A:$D, 4, FALSE), 0))</f>
        <v>16</v>
      </c>
      <c r="G667" s="11">
        <f t="shared" si="1"/>
        <v>16</v>
      </c>
      <c r="H667" s="22"/>
      <c r="I667" s="11"/>
      <c r="J667" s="17" t="str">
        <f>IF(TRIM(B667)="","",IF(ISNUMBER(SEARCH(" - ",B667)),TRIM(RIGHT(B667,LEN(B667)-FIND(" - ",B667)-2)),IFERROR(VLOOKUP(UPPER(TRIM(B667)), SETUP!$B$4:$C$11, 2, FALSE), UPPER(TRIM(B667)))))</f>
        <v>AMY</v>
      </c>
      <c r="K667" s="23">
        <f t="shared" si="2"/>
        <v>46076</v>
      </c>
      <c r="L667" s="17">
        <f t="shared" si="3"/>
        <v>46079</v>
      </c>
      <c r="M667" s="17" t="str">
        <f t="shared" si="4"/>
        <v>2026-02</v>
      </c>
    </row>
    <row r="668" ht="15.75" customHeight="1">
      <c r="A668" s="19">
        <v>46079.0</v>
      </c>
      <c r="B668" s="20" t="s">
        <v>20</v>
      </c>
      <c r="C668" s="20">
        <v>72.0</v>
      </c>
      <c r="D668" s="21"/>
      <c r="E668" s="11">
        <f>IF(J668="","", C668 * IFERROR(VLOOKUP(J668, SETUP!$A:$D, 3, FALSE), 0))</f>
        <v>43.2</v>
      </c>
      <c r="F668" s="11">
        <f>IF(J668="","", C668 * IFERROR(VLOOKUP(J668, SETUP!$A:$D, 4, FALSE), 0))</f>
        <v>28.8</v>
      </c>
      <c r="G668" s="11">
        <f t="shared" si="1"/>
        <v>28.8</v>
      </c>
      <c r="H668" s="22"/>
      <c r="I668" s="11"/>
      <c r="J668" s="17" t="str">
        <f>IF(TRIM(B668)="","",IF(ISNUMBER(SEARCH(" - ",B668)),TRIM(RIGHT(B668,LEN(B668)-FIND(" - ",B668)-2)),IFERROR(VLOOKUP(UPPER(TRIM(B668)), SETUP!$B$4:$C$11, 2, FALSE), UPPER(TRIM(B668)))))</f>
        <v>AMY</v>
      </c>
      <c r="K668" s="23">
        <f t="shared" si="2"/>
        <v>46076</v>
      </c>
      <c r="L668" s="17">
        <f t="shared" si="3"/>
        <v>46079</v>
      </c>
      <c r="M668" s="17" t="str">
        <f t="shared" si="4"/>
        <v>2026-02</v>
      </c>
    </row>
    <row r="669" ht="15.75" customHeight="1">
      <c r="A669" s="19">
        <v>46079.0</v>
      </c>
      <c r="B669" s="20" t="s">
        <v>20</v>
      </c>
      <c r="C669" s="20">
        <v>60.0</v>
      </c>
      <c r="D669" s="21"/>
      <c r="E669" s="11">
        <f>IF(J669="","", C669 * IFERROR(VLOOKUP(J669, SETUP!$A:$D, 3, FALSE), 0))</f>
        <v>36</v>
      </c>
      <c r="F669" s="11">
        <f>IF(J669="","", C669 * IFERROR(VLOOKUP(J669, SETUP!$A:$D, 4, FALSE), 0))</f>
        <v>24</v>
      </c>
      <c r="G669" s="11">
        <f t="shared" si="1"/>
        <v>24</v>
      </c>
      <c r="H669" s="22"/>
      <c r="I669" s="11"/>
      <c r="J669" s="17" t="str">
        <f>IF(TRIM(B669)="","",IF(ISNUMBER(SEARCH(" - ",B669)),TRIM(RIGHT(B669,LEN(B669)-FIND(" - ",B669)-2)),IFERROR(VLOOKUP(UPPER(TRIM(B669)), SETUP!$B$4:$C$11, 2, FALSE), UPPER(TRIM(B669)))))</f>
        <v>AMY</v>
      </c>
      <c r="K669" s="23">
        <f t="shared" si="2"/>
        <v>46076</v>
      </c>
      <c r="L669" s="17">
        <f t="shared" si="3"/>
        <v>46079</v>
      </c>
      <c r="M669" s="17" t="str">
        <f t="shared" si="4"/>
        <v>2026-02</v>
      </c>
    </row>
    <row r="670" ht="15.75" customHeight="1">
      <c r="A670" s="19">
        <v>46079.0</v>
      </c>
      <c r="B670" s="20" t="s">
        <v>21</v>
      </c>
      <c r="C670" s="20">
        <v>47.0</v>
      </c>
      <c r="D670" s="21"/>
      <c r="E670" s="11">
        <f>IF(J670="","", C670 * IFERROR(VLOOKUP(J670, SETUP!$A:$D, 3, FALSE), 0))</f>
        <v>28.2</v>
      </c>
      <c r="F670" s="11">
        <f>IF(J670="","", C670 * IFERROR(VLOOKUP(J670, SETUP!$A:$D, 4, FALSE), 0))</f>
        <v>18.8</v>
      </c>
      <c r="G670" s="11">
        <f t="shared" si="1"/>
        <v>18.8</v>
      </c>
      <c r="H670" s="22"/>
      <c r="I670" s="11"/>
      <c r="J670" s="17" t="str">
        <f>IF(TRIM(B670)="","",IF(ISNUMBER(SEARCH(" - ",B670)),TRIM(RIGHT(B670,LEN(B670)-FIND(" - ",B670)-2)),IFERROR(VLOOKUP(UPPER(TRIM(B670)), SETUP!$B$4:$C$11, 2, FALSE), UPPER(TRIM(B670)))))</f>
        <v>TONY</v>
      </c>
      <c r="K670" s="23">
        <f t="shared" si="2"/>
        <v>46076</v>
      </c>
      <c r="L670" s="17">
        <f t="shared" si="3"/>
        <v>46079</v>
      </c>
      <c r="M670" s="17" t="str">
        <f t="shared" si="4"/>
        <v>2026-02</v>
      </c>
    </row>
    <row r="671" ht="15.75" customHeight="1">
      <c r="A671" s="19">
        <v>46079.0</v>
      </c>
      <c r="B671" s="20" t="s">
        <v>21</v>
      </c>
      <c r="C671" s="20">
        <v>67.0</v>
      </c>
      <c r="D671" s="21"/>
      <c r="E671" s="11">
        <f>IF(J671="","", C671 * IFERROR(VLOOKUP(J671, SETUP!$A:$D, 3, FALSE), 0))</f>
        <v>40.2</v>
      </c>
      <c r="F671" s="11">
        <f>IF(J671="","", C671 * IFERROR(VLOOKUP(J671, SETUP!$A:$D, 4, FALSE), 0))</f>
        <v>26.8</v>
      </c>
      <c r="G671" s="11">
        <f t="shared" si="1"/>
        <v>26.8</v>
      </c>
      <c r="H671" s="22"/>
      <c r="I671" s="11"/>
      <c r="J671" s="17" t="str">
        <f>IF(TRIM(B671)="","",IF(ISNUMBER(SEARCH(" - ",B671)),TRIM(RIGHT(B671,LEN(B671)-FIND(" - ",B671)-2)),IFERROR(VLOOKUP(UPPER(TRIM(B671)), SETUP!$B$4:$C$11, 2, FALSE), UPPER(TRIM(B671)))))</f>
        <v>TONY</v>
      </c>
      <c r="K671" s="23">
        <f t="shared" si="2"/>
        <v>46076</v>
      </c>
      <c r="L671" s="17">
        <f t="shared" si="3"/>
        <v>46079</v>
      </c>
      <c r="M671" s="17" t="str">
        <f t="shared" si="4"/>
        <v>2026-02</v>
      </c>
    </row>
    <row r="672" ht="15.75" customHeight="1">
      <c r="A672" s="19">
        <v>46079.0</v>
      </c>
      <c r="B672" s="20" t="s">
        <v>21</v>
      </c>
      <c r="C672" s="20">
        <v>62.0</v>
      </c>
      <c r="D672" s="21"/>
      <c r="E672" s="11">
        <f>IF(J672="","", C672 * IFERROR(VLOOKUP(J672, SETUP!$A:$D, 3, FALSE), 0))</f>
        <v>37.2</v>
      </c>
      <c r="F672" s="11">
        <f>IF(J672="","", C672 * IFERROR(VLOOKUP(J672, SETUP!$A:$D, 4, FALSE), 0))</f>
        <v>24.8</v>
      </c>
      <c r="G672" s="11">
        <f t="shared" si="1"/>
        <v>24.8</v>
      </c>
      <c r="H672" s="22"/>
      <c r="I672" s="11"/>
      <c r="J672" s="17" t="str">
        <f>IF(TRIM(B672)="","",IF(ISNUMBER(SEARCH(" - ",B672)),TRIM(RIGHT(B672,LEN(B672)-FIND(" - ",B672)-2)),IFERROR(VLOOKUP(UPPER(TRIM(B672)), SETUP!$B$4:$C$11, 2, FALSE), UPPER(TRIM(B672)))))</f>
        <v>TONY</v>
      </c>
      <c r="K672" s="23">
        <f t="shared" si="2"/>
        <v>46076</v>
      </c>
      <c r="L672" s="17">
        <f t="shared" si="3"/>
        <v>46079</v>
      </c>
      <c r="M672" s="17" t="str">
        <f t="shared" si="4"/>
        <v>2026-02</v>
      </c>
    </row>
    <row r="673" ht="15.75" customHeight="1">
      <c r="A673" s="19">
        <v>46079.0</v>
      </c>
      <c r="B673" s="20" t="s">
        <v>21</v>
      </c>
      <c r="C673" s="20">
        <v>65.0</v>
      </c>
      <c r="D673" s="21"/>
      <c r="E673" s="11">
        <f>IF(J673="","", C673 * IFERROR(VLOOKUP(J673, SETUP!$A:$D, 3, FALSE), 0))</f>
        <v>39</v>
      </c>
      <c r="F673" s="11">
        <f>IF(J673="","", C673 * IFERROR(VLOOKUP(J673, SETUP!$A:$D, 4, FALSE), 0))</f>
        <v>26</v>
      </c>
      <c r="G673" s="11">
        <f t="shared" si="1"/>
        <v>26</v>
      </c>
      <c r="H673" s="22"/>
      <c r="I673" s="11"/>
      <c r="J673" s="17" t="str">
        <f>IF(TRIM(B673)="","",IF(ISNUMBER(SEARCH(" - ",B673)),TRIM(RIGHT(B673,LEN(B673)-FIND(" - ",B673)-2)),IFERROR(VLOOKUP(UPPER(TRIM(B673)), SETUP!$B$4:$C$11, 2, FALSE), UPPER(TRIM(B673)))))</f>
        <v>TONY</v>
      </c>
      <c r="K673" s="23">
        <f t="shared" si="2"/>
        <v>46076</v>
      </c>
      <c r="L673" s="17">
        <f t="shared" si="3"/>
        <v>46079</v>
      </c>
      <c r="M673" s="17" t="str">
        <f t="shared" si="4"/>
        <v>2026-02</v>
      </c>
    </row>
    <row r="674" ht="15.75" customHeight="1">
      <c r="A674" s="19">
        <v>46079.0</v>
      </c>
      <c r="B674" s="20" t="s">
        <v>21</v>
      </c>
      <c r="C674" s="20">
        <v>50.0</v>
      </c>
      <c r="D674" s="21"/>
      <c r="E674" s="11">
        <f>IF(J674="","", C674 * IFERROR(VLOOKUP(J674, SETUP!$A:$D, 3, FALSE), 0))</f>
        <v>30</v>
      </c>
      <c r="F674" s="11">
        <f>IF(J674="","", C674 * IFERROR(VLOOKUP(J674, SETUP!$A:$D, 4, FALSE), 0))</f>
        <v>20</v>
      </c>
      <c r="G674" s="11">
        <f t="shared" si="1"/>
        <v>20</v>
      </c>
      <c r="H674" s="22"/>
      <c r="I674" s="11"/>
      <c r="J674" s="17" t="str">
        <f>IF(TRIM(B674)="","",IF(ISNUMBER(SEARCH(" - ",B674)),TRIM(RIGHT(B674,LEN(B674)-FIND(" - ",B674)-2)),IFERROR(VLOOKUP(UPPER(TRIM(B674)), SETUP!$B$4:$C$11, 2, FALSE), UPPER(TRIM(B674)))))</f>
        <v>TONY</v>
      </c>
      <c r="K674" s="23">
        <f t="shared" si="2"/>
        <v>46076</v>
      </c>
      <c r="L674" s="17">
        <f t="shared" si="3"/>
        <v>46079</v>
      </c>
      <c r="M674" s="17" t="str">
        <f t="shared" si="4"/>
        <v>2026-02</v>
      </c>
    </row>
    <row r="675" ht="15.75" customHeight="1">
      <c r="A675" s="19">
        <v>46079.0</v>
      </c>
      <c r="B675" s="20" t="s">
        <v>21</v>
      </c>
      <c r="C675" s="20">
        <v>55.0</v>
      </c>
      <c r="D675" s="21"/>
      <c r="E675" s="11">
        <f>IF(J675="","", C675 * IFERROR(VLOOKUP(J675, SETUP!$A:$D, 3, FALSE), 0))</f>
        <v>33</v>
      </c>
      <c r="F675" s="11">
        <f>IF(J675="","", C675 * IFERROR(VLOOKUP(J675, SETUP!$A:$D, 4, FALSE), 0))</f>
        <v>22</v>
      </c>
      <c r="G675" s="11">
        <f t="shared" si="1"/>
        <v>22</v>
      </c>
      <c r="H675" s="22"/>
      <c r="I675" s="11"/>
      <c r="J675" s="17" t="str">
        <f>IF(TRIM(B675)="","",IF(ISNUMBER(SEARCH(" - ",B675)),TRIM(RIGHT(B675,LEN(B675)-FIND(" - ",B675)-2)),IFERROR(VLOOKUP(UPPER(TRIM(B675)), SETUP!$B$4:$C$11, 2, FALSE), UPPER(TRIM(B675)))))</f>
        <v>TONY</v>
      </c>
      <c r="K675" s="23">
        <f t="shared" si="2"/>
        <v>46076</v>
      </c>
      <c r="L675" s="17">
        <f t="shared" si="3"/>
        <v>46079</v>
      </c>
      <c r="M675" s="17" t="str">
        <f t="shared" si="4"/>
        <v>2026-02</v>
      </c>
    </row>
    <row r="676" ht="15.75" customHeight="1">
      <c r="A676" s="19">
        <v>46079.0</v>
      </c>
      <c r="B676" s="20" t="s">
        <v>21</v>
      </c>
      <c r="C676" s="20">
        <v>57.0</v>
      </c>
      <c r="D676" s="21"/>
      <c r="E676" s="11">
        <f>IF(J676="","", C676 * IFERROR(VLOOKUP(J676, SETUP!$A:$D, 3, FALSE), 0))</f>
        <v>34.2</v>
      </c>
      <c r="F676" s="11">
        <f>IF(J676="","", C676 * IFERROR(VLOOKUP(J676, SETUP!$A:$D, 4, FALSE), 0))</f>
        <v>22.8</v>
      </c>
      <c r="G676" s="11">
        <f t="shared" si="1"/>
        <v>22.8</v>
      </c>
      <c r="H676" s="22"/>
      <c r="I676" s="11"/>
      <c r="J676" s="17" t="str">
        <f>IF(TRIM(B676)="","",IF(ISNUMBER(SEARCH(" - ",B676)),TRIM(RIGHT(B676,LEN(B676)-FIND(" - ",B676)-2)),IFERROR(VLOOKUP(UPPER(TRIM(B676)), SETUP!$B$4:$C$11, 2, FALSE), UPPER(TRIM(B676)))))</f>
        <v>TONY</v>
      </c>
      <c r="K676" s="23">
        <f t="shared" si="2"/>
        <v>46076</v>
      </c>
      <c r="L676" s="17">
        <f t="shared" si="3"/>
        <v>46079</v>
      </c>
      <c r="M676" s="17" t="str">
        <f t="shared" si="4"/>
        <v>2026-02</v>
      </c>
    </row>
    <row r="677" ht="15.75" customHeight="1">
      <c r="A677" s="19">
        <v>46079.0</v>
      </c>
      <c r="B677" s="20" t="s">
        <v>21</v>
      </c>
      <c r="C677" s="20">
        <v>62.0</v>
      </c>
      <c r="D677" s="21"/>
      <c r="E677" s="11">
        <f>IF(J677="","", C677 * IFERROR(VLOOKUP(J677, SETUP!$A:$D, 3, FALSE), 0))</f>
        <v>37.2</v>
      </c>
      <c r="F677" s="11">
        <f>IF(J677="","", C677 * IFERROR(VLOOKUP(J677, SETUP!$A:$D, 4, FALSE), 0))</f>
        <v>24.8</v>
      </c>
      <c r="G677" s="11">
        <f t="shared" si="1"/>
        <v>24.8</v>
      </c>
      <c r="H677" s="22"/>
      <c r="I677" s="11"/>
      <c r="J677" s="17" t="str">
        <f>IF(TRIM(B677)="","",IF(ISNUMBER(SEARCH(" - ",B677)),TRIM(RIGHT(B677,LEN(B677)-FIND(" - ",B677)-2)),IFERROR(VLOOKUP(UPPER(TRIM(B677)), SETUP!$B$4:$C$11, 2, FALSE), UPPER(TRIM(B677)))))</f>
        <v>TONY</v>
      </c>
      <c r="K677" s="23">
        <f t="shared" si="2"/>
        <v>46076</v>
      </c>
      <c r="L677" s="17">
        <f t="shared" si="3"/>
        <v>46079</v>
      </c>
      <c r="M677" s="17" t="str">
        <f t="shared" si="4"/>
        <v>2026-02</v>
      </c>
    </row>
    <row r="678" ht="15.75" customHeight="1">
      <c r="A678" s="19">
        <v>46080.0</v>
      </c>
      <c r="B678" s="20" t="s">
        <v>17</v>
      </c>
      <c r="C678" s="20">
        <v>67.0</v>
      </c>
      <c r="D678" s="21"/>
      <c r="E678" s="11">
        <f>IF(J678="","", C678 * IFERROR(VLOOKUP(J678, SETUP!$A:$D, 3, FALSE), 0))</f>
        <v>40.2</v>
      </c>
      <c r="F678" s="11">
        <f>IF(J678="","", C678 * IFERROR(VLOOKUP(J678, SETUP!$A:$D, 4, FALSE), 0))</f>
        <v>26.8</v>
      </c>
      <c r="G678" s="11">
        <f t="shared" si="1"/>
        <v>26.8</v>
      </c>
      <c r="H678" s="22"/>
      <c r="I678" s="11"/>
      <c r="J678" s="17" t="str">
        <f>IF(TRIM(B678)="","",IF(ISNUMBER(SEARCH(" - ",B678)),TRIM(RIGHT(B678,LEN(B678)-FIND(" - ",B678)-2)),IFERROR(VLOOKUP(UPPER(TRIM(B678)), SETUP!$B$4:$C$11, 2, FALSE), UPPER(TRIM(B678)))))</f>
        <v>RYAN</v>
      </c>
      <c r="K678" s="23">
        <f t="shared" si="2"/>
        <v>46076</v>
      </c>
      <c r="L678" s="17">
        <f t="shared" si="3"/>
        <v>46080</v>
      </c>
      <c r="M678" s="17" t="str">
        <f t="shared" si="4"/>
        <v>2026-02</v>
      </c>
    </row>
    <row r="679" ht="15.75" customHeight="1">
      <c r="A679" s="19">
        <v>46080.0</v>
      </c>
      <c r="B679" s="20" t="s">
        <v>17</v>
      </c>
      <c r="C679" s="20">
        <v>50.0</v>
      </c>
      <c r="D679" s="21"/>
      <c r="E679" s="11">
        <f>IF(J679="","", C679 * IFERROR(VLOOKUP(J679, SETUP!$A:$D, 3, FALSE), 0))</f>
        <v>30</v>
      </c>
      <c r="F679" s="11">
        <f>IF(J679="","", C679 * IFERROR(VLOOKUP(J679, SETUP!$A:$D, 4, FALSE), 0))</f>
        <v>20</v>
      </c>
      <c r="G679" s="11">
        <f t="shared" si="1"/>
        <v>20</v>
      </c>
      <c r="H679" s="22"/>
      <c r="I679" s="11"/>
      <c r="J679" s="17" t="str">
        <f>IF(TRIM(B679)="","",IF(ISNUMBER(SEARCH(" - ",B679)),TRIM(RIGHT(B679,LEN(B679)-FIND(" - ",B679)-2)),IFERROR(VLOOKUP(UPPER(TRIM(B679)), SETUP!$B$4:$C$11, 2, FALSE), UPPER(TRIM(B679)))))</f>
        <v>RYAN</v>
      </c>
      <c r="K679" s="23">
        <f t="shared" si="2"/>
        <v>46076</v>
      </c>
      <c r="L679" s="17">
        <f t="shared" si="3"/>
        <v>46080</v>
      </c>
      <c r="M679" s="17" t="str">
        <f t="shared" si="4"/>
        <v>2026-02</v>
      </c>
    </row>
    <row r="680" ht="15.75" customHeight="1">
      <c r="A680" s="19">
        <v>46080.0</v>
      </c>
      <c r="B680" s="20" t="s">
        <v>17</v>
      </c>
      <c r="C680" s="20">
        <v>57.0</v>
      </c>
      <c r="D680" s="21"/>
      <c r="E680" s="11">
        <f>IF(J680="","", C680 * IFERROR(VLOOKUP(J680, SETUP!$A:$D, 3, FALSE), 0))</f>
        <v>34.2</v>
      </c>
      <c r="F680" s="11">
        <f>IF(J680="","", C680 * IFERROR(VLOOKUP(J680, SETUP!$A:$D, 4, FALSE), 0))</f>
        <v>22.8</v>
      </c>
      <c r="G680" s="11">
        <f t="shared" si="1"/>
        <v>22.8</v>
      </c>
      <c r="H680" s="22"/>
      <c r="I680" s="11"/>
      <c r="J680" s="17" t="str">
        <f>IF(TRIM(B680)="","",IF(ISNUMBER(SEARCH(" - ",B680)),TRIM(RIGHT(B680,LEN(B680)-FIND(" - ",B680)-2)),IFERROR(VLOOKUP(UPPER(TRIM(B680)), SETUP!$B$4:$C$11, 2, FALSE), UPPER(TRIM(B680)))))</f>
        <v>RYAN</v>
      </c>
      <c r="K680" s="23">
        <f t="shared" si="2"/>
        <v>46076</v>
      </c>
      <c r="L680" s="17">
        <f t="shared" si="3"/>
        <v>46080</v>
      </c>
      <c r="M680" s="17" t="str">
        <f t="shared" si="4"/>
        <v>2026-02</v>
      </c>
    </row>
    <row r="681" ht="15.75" customHeight="1">
      <c r="A681" s="19">
        <v>46080.0</v>
      </c>
      <c r="B681" s="20" t="s">
        <v>17</v>
      </c>
      <c r="C681" s="20">
        <v>80.0</v>
      </c>
      <c r="D681" s="21"/>
      <c r="E681" s="11">
        <f>IF(J681="","", C681 * IFERROR(VLOOKUP(J681, SETUP!$A:$D, 3, FALSE), 0))</f>
        <v>48</v>
      </c>
      <c r="F681" s="11">
        <f>IF(J681="","", C681 * IFERROR(VLOOKUP(J681, SETUP!$A:$D, 4, FALSE), 0))</f>
        <v>32</v>
      </c>
      <c r="G681" s="11">
        <f t="shared" si="1"/>
        <v>32</v>
      </c>
      <c r="H681" s="22"/>
      <c r="I681" s="11"/>
      <c r="J681" s="17" t="str">
        <f>IF(TRIM(B681)="","",IF(ISNUMBER(SEARCH(" - ",B681)),TRIM(RIGHT(B681,LEN(B681)-FIND(" - ",B681)-2)),IFERROR(VLOOKUP(UPPER(TRIM(B681)), SETUP!$B$4:$C$11, 2, FALSE), UPPER(TRIM(B681)))))</f>
        <v>RYAN</v>
      </c>
      <c r="K681" s="23">
        <f t="shared" si="2"/>
        <v>46076</v>
      </c>
      <c r="L681" s="17">
        <f t="shared" si="3"/>
        <v>46080</v>
      </c>
      <c r="M681" s="17" t="str">
        <f t="shared" si="4"/>
        <v>2026-02</v>
      </c>
    </row>
    <row r="682" ht="15.75" customHeight="1">
      <c r="A682" s="19">
        <v>46080.0</v>
      </c>
      <c r="B682" s="20" t="s">
        <v>17</v>
      </c>
      <c r="C682" s="20">
        <v>67.0</v>
      </c>
      <c r="D682" s="21"/>
      <c r="E682" s="11">
        <f>IF(J682="","", C682 * IFERROR(VLOOKUP(J682, SETUP!$A:$D, 3, FALSE), 0))</f>
        <v>40.2</v>
      </c>
      <c r="F682" s="11">
        <f>IF(J682="","", C682 * IFERROR(VLOOKUP(J682, SETUP!$A:$D, 4, FALSE), 0))</f>
        <v>26.8</v>
      </c>
      <c r="G682" s="11">
        <f t="shared" si="1"/>
        <v>26.8</v>
      </c>
      <c r="H682" s="22"/>
      <c r="I682" s="11"/>
      <c r="J682" s="17" t="str">
        <f>IF(TRIM(B682)="","",IF(ISNUMBER(SEARCH(" - ",B682)),TRIM(RIGHT(B682,LEN(B682)-FIND(" - ",B682)-2)),IFERROR(VLOOKUP(UPPER(TRIM(B682)), SETUP!$B$4:$C$11, 2, FALSE), UPPER(TRIM(B682)))))</f>
        <v>RYAN</v>
      </c>
      <c r="K682" s="23">
        <f t="shared" si="2"/>
        <v>46076</v>
      </c>
      <c r="L682" s="17">
        <f t="shared" si="3"/>
        <v>46080</v>
      </c>
      <c r="M682" s="17" t="str">
        <f t="shared" si="4"/>
        <v>2026-02</v>
      </c>
    </row>
    <row r="683" ht="15.75" customHeight="1">
      <c r="A683" s="19">
        <v>46080.0</v>
      </c>
      <c r="B683" s="20" t="s">
        <v>17</v>
      </c>
      <c r="C683" s="20">
        <v>47.0</v>
      </c>
      <c r="D683" s="21"/>
      <c r="E683" s="11">
        <f>IF(J683="","", C683 * IFERROR(VLOOKUP(J683, SETUP!$A:$D, 3, FALSE), 0))</f>
        <v>28.2</v>
      </c>
      <c r="F683" s="11">
        <f>IF(J683="","", C683 * IFERROR(VLOOKUP(J683, SETUP!$A:$D, 4, FALSE), 0))</f>
        <v>18.8</v>
      </c>
      <c r="G683" s="11">
        <f t="shared" si="1"/>
        <v>18.8</v>
      </c>
      <c r="H683" s="22"/>
      <c r="I683" s="11"/>
      <c r="J683" s="17" t="str">
        <f>IF(TRIM(B683)="","",IF(ISNUMBER(SEARCH(" - ",B683)),TRIM(RIGHT(B683,LEN(B683)-FIND(" - ",B683)-2)),IFERROR(VLOOKUP(UPPER(TRIM(B683)), SETUP!$B$4:$C$11, 2, FALSE), UPPER(TRIM(B683)))))</f>
        <v>RYAN</v>
      </c>
      <c r="K683" s="23">
        <f t="shared" si="2"/>
        <v>46076</v>
      </c>
      <c r="L683" s="17">
        <f t="shared" si="3"/>
        <v>46080</v>
      </c>
      <c r="M683" s="17" t="str">
        <f t="shared" si="4"/>
        <v>2026-02</v>
      </c>
    </row>
    <row r="684" ht="15.75" customHeight="1">
      <c r="A684" s="19">
        <v>46080.0</v>
      </c>
      <c r="B684" s="20" t="s">
        <v>17</v>
      </c>
      <c r="C684" s="20">
        <v>67.0</v>
      </c>
      <c r="D684" s="21"/>
      <c r="E684" s="11">
        <f>IF(J684="","", C684 * IFERROR(VLOOKUP(J684, SETUP!$A:$D, 3, FALSE), 0))</f>
        <v>40.2</v>
      </c>
      <c r="F684" s="11">
        <f>IF(J684="","", C684 * IFERROR(VLOOKUP(J684, SETUP!$A:$D, 4, FALSE), 0))</f>
        <v>26.8</v>
      </c>
      <c r="G684" s="11">
        <f t="shared" si="1"/>
        <v>26.8</v>
      </c>
      <c r="H684" s="22"/>
      <c r="I684" s="11"/>
      <c r="J684" s="17" t="str">
        <f>IF(TRIM(B684)="","",IF(ISNUMBER(SEARCH(" - ",B684)),TRIM(RIGHT(B684,LEN(B684)-FIND(" - ",B684)-2)),IFERROR(VLOOKUP(UPPER(TRIM(B684)), SETUP!$B$4:$C$11, 2, FALSE), UPPER(TRIM(B684)))))</f>
        <v>RYAN</v>
      </c>
      <c r="K684" s="23">
        <f t="shared" si="2"/>
        <v>46076</v>
      </c>
      <c r="L684" s="17">
        <f t="shared" si="3"/>
        <v>46080</v>
      </c>
      <c r="M684" s="17" t="str">
        <f t="shared" si="4"/>
        <v>2026-02</v>
      </c>
    </row>
    <row r="685" ht="15.75" customHeight="1">
      <c r="A685" s="19">
        <v>46080.0</v>
      </c>
      <c r="B685" s="20" t="s">
        <v>17</v>
      </c>
      <c r="C685" s="20">
        <v>47.0</v>
      </c>
      <c r="D685" s="21"/>
      <c r="E685" s="11">
        <f>IF(J685="","", C685 * IFERROR(VLOOKUP(J685, SETUP!$A:$D, 3, FALSE), 0))</f>
        <v>28.2</v>
      </c>
      <c r="F685" s="11">
        <f>IF(J685="","", C685 * IFERROR(VLOOKUP(J685, SETUP!$A:$D, 4, FALSE), 0))</f>
        <v>18.8</v>
      </c>
      <c r="G685" s="11">
        <f t="shared" si="1"/>
        <v>18.8</v>
      </c>
      <c r="H685" s="22"/>
      <c r="I685" s="11"/>
      <c r="J685" s="17" t="str">
        <f>IF(TRIM(B685)="","",IF(ISNUMBER(SEARCH(" - ",B685)),TRIM(RIGHT(B685,LEN(B685)-FIND(" - ",B685)-2)),IFERROR(VLOOKUP(UPPER(TRIM(B685)), SETUP!$B$4:$C$11, 2, FALSE), UPPER(TRIM(B685)))))</f>
        <v>RYAN</v>
      </c>
      <c r="K685" s="23">
        <f t="shared" si="2"/>
        <v>46076</v>
      </c>
      <c r="L685" s="17">
        <f t="shared" si="3"/>
        <v>46080</v>
      </c>
      <c r="M685" s="17" t="str">
        <f t="shared" si="4"/>
        <v>2026-02</v>
      </c>
    </row>
    <row r="686" ht="15.75" customHeight="1">
      <c r="A686" s="19">
        <v>46080.0</v>
      </c>
      <c r="B686" s="20" t="s">
        <v>17</v>
      </c>
      <c r="C686" s="20">
        <v>57.0</v>
      </c>
      <c r="D686" s="21"/>
      <c r="E686" s="11">
        <f>IF(J686="","", C686 * IFERROR(VLOOKUP(J686, SETUP!$A:$D, 3, FALSE), 0))</f>
        <v>34.2</v>
      </c>
      <c r="F686" s="11">
        <f>IF(J686="","", C686 * IFERROR(VLOOKUP(J686, SETUP!$A:$D, 4, FALSE), 0))</f>
        <v>22.8</v>
      </c>
      <c r="G686" s="11">
        <f t="shared" si="1"/>
        <v>22.8</v>
      </c>
      <c r="H686" s="22"/>
      <c r="I686" s="11"/>
      <c r="J686" s="17" t="str">
        <f>IF(TRIM(B686)="","",IF(ISNUMBER(SEARCH(" - ",B686)),TRIM(RIGHT(B686,LEN(B686)-FIND(" - ",B686)-2)),IFERROR(VLOOKUP(UPPER(TRIM(B686)), SETUP!$B$4:$C$11, 2, FALSE), UPPER(TRIM(B686)))))</f>
        <v>RYAN</v>
      </c>
      <c r="K686" s="23">
        <f t="shared" si="2"/>
        <v>46076</v>
      </c>
      <c r="L686" s="17">
        <f t="shared" si="3"/>
        <v>46080</v>
      </c>
      <c r="M686" s="17" t="str">
        <f t="shared" si="4"/>
        <v>2026-02</v>
      </c>
    </row>
    <row r="687" ht="15.75" customHeight="1">
      <c r="A687" s="19">
        <v>46080.0</v>
      </c>
      <c r="B687" s="20" t="s">
        <v>18</v>
      </c>
      <c r="C687" s="20">
        <v>40.0</v>
      </c>
      <c r="D687" s="21"/>
      <c r="E687" s="11">
        <f>IF(J687="","", C687 * IFERROR(VLOOKUP(J687, SETUP!$A:$D, 3, FALSE), 0))</f>
        <v>20</v>
      </c>
      <c r="F687" s="11">
        <f>IF(J687="","", C687 * IFERROR(VLOOKUP(J687, SETUP!$A:$D, 4, FALSE), 0))</f>
        <v>20</v>
      </c>
      <c r="G687" s="11">
        <f t="shared" si="1"/>
        <v>20</v>
      </c>
      <c r="H687" s="22"/>
      <c r="I687" s="11"/>
      <c r="J687" s="17" t="str">
        <f>IF(TRIM(B687)="","",IF(ISNUMBER(SEARCH(" - ",B687)),TRIM(RIGHT(B687,LEN(B687)-FIND(" - ",B687)-2)),IFERROR(VLOOKUP(UPPER(TRIM(B687)), SETUP!$B$4:$C$11, 2, FALSE), UPPER(TRIM(B687)))))</f>
        <v>CRIS</v>
      </c>
      <c r="K687" s="23">
        <f t="shared" si="2"/>
        <v>46076</v>
      </c>
      <c r="L687" s="17">
        <f t="shared" si="3"/>
        <v>46080</v>
      </c>
      <c r="M687" s="17" t="str">
        <f t="shared" si="4"/>
        <v>2026-02</v>
      </c>
    </row>
    <row r="688" ht="15.75" customHeight="1">
      <c r="A688" s="19">
        <v>46080.0</v>
      </c>
      <c r="B688" s="20" t="s">
        <v>18</v>
      </c>
      <c r="C688" s="20">
        <v>25.0</v>
      </c>
      <c r="D688" s="21"/>
      <c r="E688" s="11">
        <f>IF(J688="","", C688 * IFERROR(VLOOKUP(J688, SETUP!$A:$D, 3, FALSE), 0))</f>
        <v>12.5</v>
      </c>
      <c r="F688" s="11">
        <f>IF(J688="","", C688 * IFERROR(VLOOKUP(J688, SETUP!$A:$D, 4, FALSE), 0))</f>
        <v>12.5</v>
      </c>
      <c r="G688" s="11">
        <f t="shared" si="1"/>
        <v>12.5</v>
      </c>
      <c r="H688" s="22"/>
      <c r="I688" s="11"/>
      <c r="J688" s="17" t="str">
        <f>IF(TRIM(B688)="","",IF(ISNUMBER(SEARCH(" - ",B688)),TRIM(RIGHT(B688,LEN(B688)-FIND(" - ",B688)-2)),IFERROR(VLOOKUP(UPPER(TRIM(B688)), SETUP!$B$4:$C$11, 2, FALSE), UPPER(TRIM(B688)))))</f>
        <v>CRIS</v>
      </c>
      <c r="K688" s="23">
        <f t="shared" si="2"/>
        <v>46076</v>
      </c>
      <c r="L688" s="17">
        <f t="shared" si="3"/>
        <v>46080</v>
      </c>
      <c r="M688" s="17" t="str">
        <f t="shared" si="4"/>
        <v>2026-02</v>
      </c>
    </row>
    <row r="689" ht="15.75" customHeight="1">
      <c r="A689" s="19">
        <v>46080.0</v>
      </c>
      <c r="B689" s="20" t="s">
        <v>18</v>
      </c>
      <c r="C689" s="20">
        <v>40.0</v>
      </c>
      <c r="D689" s="21"/>
      <c r="E689" s="11">
        <f>IF(J689="","", C689 * IFERROR(VLOOKUP(J689, SETUP!$A:$D, 3, FALSE), 0))</f>
        <v>20</v>
      </c>
      <c r="F689" s="11">
        <f>IF(J689="","", C689 * IFERROR(VLOOKUP(J689, SETUP!$A:$D, 4, FALSE), 0))</f>
        <v>20</v>
      </c>
      <c r="G689" s="11">
        <f t="shared" si="1"/>
        <v>20</v>
      </c>
      <c r="H689" s="22"/>
      <c r="I689" s="11"/>
      <c r="J689" s="17" t="str">
        <f>IF(TRIM(B689)="","",IF(ISNUMBER(SEARCH(" - ",B689)),TRIM(RIGHT(B689,LEN(B689)-FIND(" - ",B689)-2)),IFERROR(VLOOKUP(UPPER(TRIM(B689)), SETUP!$B$4:$C$11, 2, FALSE), UPPER(TRIM(B689)))))</f>
        <v>CRIS</v>
      </c>
      <c r="K689" s="23">
        <f t="shared" si="2"/>
        <v>46076</v>
      </c>
      <c r="L689" s="17">
        <f t="shared" si="3"/>
        <v>46080</v>
      </c>
      <c r="M689" s="17" t="str">
        <f t="shared" si="4"/>
        <v>2026-02</v>
      </c>
    </row>
    <row r="690" ht="15.75" customHeight="1">
      <c r="A690" s="19">
        <v>46080.0</v>
      </c>
      <c r="B690" s="20" t="s">
        <v>18</v>
      </c>
      <c r="C690" s="20">
        <v>35.0</v>
      </c>
      <c r="D690" s="21"/>
      <c r="E690" s="11">
        <f>IF(J690="","", C690 * IFERROR(VLOOKUP(J690, SETUP!$A:$D, 3, FALSE), 0))</f>
        <v>17.5</v>
      </c>
      <c r="F690" s="11">
        <f>IF(J690="","", C690 * IFERROR(VLOOKUP(J690, SETUP!$A:$D, 4, FALSE), 0))</f>
        <v>17.5</v>
      </c>
      <c r="G690" s="11">
        <f t="shared" si="1"/>
        <v>17.5</v>
      </c>
      <c r="H690" s="22"/>
      <c r="I690" s="11"/>
      <c r="J690" s="17" t="str">
        <f>IF(TRIM(B690)="","",IF(ISNUMBER(SEARCH(" - ",B690)),TRIM(RIGHT(B690,LEN(B690)-FIND(" - ",B690)-2)),IFERROR(VLOOKUP(UPPER(TRIM(B690)), SETUP!$B$4:$C$11, 2, FALSE), UPPER(TRIM(B690)))))</f>
        <v>CRIS</v>
      </c>
      <c r="K690" s="23">
        <f t="shared" si="2"/>
        <v>46076</v>
      </c>
      <c r="L690" s="17">
        <f t="shared" si="3"/>
        <v>46080</v>
      </c>
      <c r="M690" s="17" t="str">
        <f t="shared" si="4"/>
        <v>2026-02</v>
      </c>
    </row>
    <row r="691" ht="15.75" customHeight="1">
      <c r="A691" s="19">
        <v>46080.0</v>
      </c>
      <c r="B691" s="20" t="s">
        <v>18</v>
      </c>
      <c r="C691" s="20">
        <v>57.0</v>
      </c>
      <c r="D691" s="21"/>
      <c r="E691" s="11">
        <f>IF(J691="","", C691 * IFERROR(VLOOKUP(J691, SETUP!$A:$D, 3, FALSE), 0))</f>
        <v>28.5</v>
      </c>
      <c r="F691" s="11">
        <f>IF(J691="","", C691 * IFERROR(VLOOKUP(J691, SETUP!$A:$D, 4, FALSE), 0))</f>
        <v>28.5</v>
      </c>
      <c r="G691" s="11">
        <f t="shared" si="1"/>
        <v>28.5</v>
      </c>
      <c r="H691" s="22"/>
      <c r="I691" s="11"/>
      <c r="J691" s="17" t="str">
        <f>IF(TRIM(B691)="","",IF(ISNUMBER(SEARCH(" - ",B691)),TRIM(RIGHT(B691,LEN(B691)-FIND(" - ",B691)-2)),IFERROR(VLOOKUP(UPPER(TRIM(B691)), SETUP!$B$4:$C$11, 2, FALSE), UPPER(TRIM(B691)))))</f>
        <v>CRIS</v>
      </c>
      <c r="K691" s="23">
        <f t="shared" si="2"/>
        <v>46076</v>
      </c>
      <c r="L691" s="17">
        <f t="shared" si="3"/>
        <v>46080</v>
      </c>
      <c r="M691" s="17" t="str">
        <f t="shared" si="4"/>
        <v>2026-02</v>
      </c>
    </row>
    <row r="692" ht="15.75" customHeight="1">
      <c r="A692" s="19">
        <v>46080.0</v>
      </c>
      <c r="B692" s="20" t="s">
        <v>18</v>
      </c>
      <c r="C692" s="20">
        <v>10.0</v>
      </c>
      <c r="D692" s="21"/>
      <c r="E692" s="11">
        <f>IF(J692="","", C692 * IFERROR(VLOOKUP(J692, SETUP!$A:$D, 3, FALSE), 0))</f>
        <v>5</v>
      </c>
      <c r="F692" s="11">
        <f>IF(J692="","", C692 * IFERROR(VLOOKUP(J692, SETUP!$A:$D, 4, FALSE), 0))</f>
        <v>5</v>
      </c>
      <c r="G692" s="11">
        <f t="shared" si="1"/>
        <v>5</v>
      </c>
      <c r="H692" s="22"/>
      <c r="I692" s="11"/>
      <c r="J692" s="17" t="str">
        <f>IF(TRIM(B692)="","",IF(ISNUMBER(SEARCH(" - ",B692)),TRIM(RIGHT(B692,LEN(B692)-FIND(" - ",B692)-2)),IFERROR(VLOOKUP(UPPER(TRIM(B692)), SETUP!$B$4:$C$11, 2, FALSE), UPPER(TRIM(B692)))))</f>
        <v>CRIS</v>
      </c>
      <c r="K692" s="23">
        <f t="shared" si="2"/>
        <v>46076</v>
      </c>
      <c r="L692" s="17">
        <f t="shared" si="3"/>
        <v>46080</v>
      </c>
      <c r="M692" s="17" t="str">
        <f t="shared" si="4"/>
        <v>2026-02</v>
      </c>
    </row>
    <row r="693" ht="15.75" customHeight="1">
      <c r="A693" s="19">
        <v>46080.0</v>
      </c>
      <c r="B693" s="20" t="s">
        <v>18</v>
      </c>
      <c r="C693" s="20">
        <v>50.0</v>
      </c>
      <c r="D693" s="21"/>
      <c r="E693" s="11">
        <f>IF(J693="","", C693 * IFERROR(VLOOKUP(J693, SETUP!$A:$D, 3, FALSE), 0))</f>
        <v>25</v>
      </c>
      <c r="F693" s="11">
        <f>IF(J693="","", C693 * IFERROR(VLOOKUP(J693, SETUP!$A:$D, 4, FALSE), 0))</f>
        <v>25</v>
      </c>
      <c r="G693" s="11">
        <f t="shared" si="1"/>
        <v>25</v>
      </c>
      <c r="H693" s="22"/>
      <c r="I693" s="11"/>
      <c r="J693" s="17" t="str">
        <f>IF(TRIM(B693)="","",IF(ISNUMBER(SEARCH(" - ",B693)),TRIM(RIGHT(B693,LEN(B693)-FIND(" - ",B693)-2)),IFERROR(VLOOKUP(UPPER(TRIM(B693)), SETUP!$B$4:$C$11, 2, FALSE), UPPER(TRIM(B693)))))</f>
        <v>CRIS</v>
      </c>
      <c r="K693" s="23">
        <f t="shared" si="2"/>
        <v>46076</v>
      </c>
      <c r="L693" s="17">
        <f t="shared" si="3"/>
        <v>46080</v>
      </c>
      <c r="M693" s="17" t="str">
        <f t="shared" si="4"/>
        <v>2026-02</v>
      </c>
    </row>
    <row r="694" ht="15.75" customHeight="1">
      <c r="A694" s="19">
        <v>46080.0</v>
      </c>
      <c r="B694" s="20" t="s">
        <v>18</v>
      </c>
      <c r="C694" s="20">
        <v>40.0</v>
      </c>
      <c r="D694" s="21"/>
      <c r="E694" s="11">
        <f>IF(J694="","", C694 * IFERROR(VLOOKUP(J694, SETUP!$A:$D, 3, FALSE), 0))</f>
        <v>20</v>
      </c>
      <c r="F694" s="11">
        <f>IF(J694="","", C694 * IFERROR(VLOOKUP(J694, SETUP!$A:$D, 4, FALSE), 0))</f>
        <v>20</v>
      </c>
      <c r="G694" s="11">
        <f t="shared" si="1"/>
        <v>20</v>
      </c>
      <c r="H694" s="22"/>
      <c r="I694" s="11"/>
      <c r="J694" s="17" t="str">
        <f>IF(TRIM(B694)="","",IF(ISNUMBER(SEARCH(" - ",B694)),TRIM(RIGHT(B694,LEN(B694)-FIND(" - ",B694)-2)),IFERROR(VLOOKUP(UPPER(TRIM(B694)), SETUP!$B$4:$C$11, 2, FALSE), UPPER(TRIM(B694)))))</f>
        <v>CRIS</v>
      </c>
      <c r="K694" s="23">
        <f t="shared" si="2"/>
        <v>46076</v>
      </c>
      <c r="L694" s="17">
        <f t="shared" si="3"/>
        <v>46080</v>
      </c>
      <c r="M694" s="17" t="str">
        <f t="shared" si="4"/>
        <v>2026-02</v>
      </c>
    </row>
    <row r="695" ht="15.75" customHeight="1">
      <c r="A695" s="19">
        <v>46080.0</v>
      </c>
      <c r="B695" s="20" t="s">
        <v>18</v>
      </c>
      <c r="C695" s="20">
        <v>47.0</v>
      </c>
      <c r="D695" s="21"/>
      <c r="E695" s="11">
        <f>IF(J695="","", C695 * IFERROR(VLOOKUP(J695, SETUP!$A:$D, 3, FALSE), 0))</f>
        <v>23.5</v>
      </c>
      <c r="F695" s="11">
        <f>IF(J695="","", C695 * IFERROR(VLOOKUP(J695, SETUP!$A:$D, 4, FALSE), 0))</f>
        <v>23.5</v>
      </c>
      <c r="G695" s="11">
        <f t="shared" si="1"/>
        <v>23.5</v>
      </c>
      <c r="H695" s="22"/>
      <c r="I695" s="11"/>
      <c r="J695" s="17" t="str">
        <f>IF(TRIM(B695)="","",IF(ISNUMBER(SEARCH(" - ",B695)),TRIM(RIGHT(B695,LEN(B695)-FIND(" - ",B695)-2)),IFERROR(VLOOKUP(UPPER(TRIM(B695)), SETUP!$B$4:$C$11, 2, FALSE), UPPER(TRIM(B695)))))</f>
        <v>CRIS</v>
      </c>
      <c r="K695" s="23">
        <f t="shared" si="2"/>
        <v>46076</v>
      </c>
      <c r="L695" s="17">
        <f t="shared" si="3"/>
        <v>46080</v>
      </c>
      <c r="M695" s="17" t="str">
        <f t="shared" si="4"/>
        <v>2026-02</v>
      </c>
    </row>
    <row r="696" ht="15.75" customHeight="1">
      <c r="A696" s="19">
        <v>46080.0</v>
      </c>
      <c r="B696" s="20" t="s">
        <v>19</v>
      </c>
      <c r="C696" s="20">
        <v>50.0</v>
      </c>
      <c r="D696" s="21"/>
      <c r="E696" s="11">
        <f>IF(J696="","", C696 * IFERROR(VLOOKUP(J696, SETUP!$A:$D, 3, FALSE), 0))</f>
        <v>0</v>
      </c>
      <c r="F696" s="11">
        <f>IF(J696="","", C696 * IFERROR(VLOOKUP(J696, SETUP!$A:$D, 4, FALSE), 0))</f>
        <v>50</v>
      </c>
      <c r="G696" s="11">
        <f t="shared" si="1"/>
        <v>50</v>
      </c>
      <c r="H696" s="22"/>
      <c r="I696" s="11"/>
      <c r="J696" s="17" t="str">
        <f>IF(TRIM(B696)="","",IF(ISNUMBER(SEARCH(" - ",B696)),TRIM(RIGHT(B696,LEN(B696)-FIND(" - ",B696)-2)),IFERROR(VLOOKUP(UPPER(TRIM(B696)), SETUP!$B$4:$C$11, 2, FALSE), UPPER(TRIM(B696)))))</f>
        <v>HANNI</v>
      </c>
      <c r="K696" s="23">
        <f t="shared" si="2"/>
        <v>46076</v>
      </c>
      <c r="L696" s="17">
        <f t="shared" si="3"/>
        <v>46080</v>
      </c>
      <c r="M696" s="17" t="str">
        <f t="shared" si="4"/>
        <v>2026-02</v>
      </c>
    </row>
    <row r="697" ht="15.75" customHeight="1">
      <c r="A697" s="19">
        <v>46080.0</v>
      </c>
      <c r="B697" s="20" t="s">
        <v>19</v>
      </c>
      <c r="C697" s="20">
        <v>60.0</v>
      </c>
      <c r="D697" s="21"/>
      <c r="E697" s="11">
        <f>IF(J697="","", C697 * IFERROR(VLOOKUP(J697, SETUP!$A:$D, 3, FALSE), 0))</f>
        <v>0</v>
      </c>
      <c r="F697" s="11">
        <f>IF(J697="","", C697 * IFERROR(VLOOKUP(J697, SETUP!$A:$D, 4, FALSE), 0))</f>
        <v>60</v>
      </c>
      <c r="G697" s="11">
        <f t="shared" si="1"/>
        <v>60</v>
      </c>
      <c r="H697" s="22"/>
      <c r="I697" s="11"/>
      <c r="J697" s="17" t="str">
        <f>IF(TRIM(B697)="","",IF(ISNUMBER(SEARCH(" - ",B697)),TRIM(RIGHT(B697,LEN(B697)-FIND(" - ",B697)-2)),IFERROR(VLOOKUP(UPPER(TRIM(B697)), SETUP!$B$4:$C$11, 2, FALSE), UPPER(TRIM(B697)))))</f>
        <v>HANNI</v>
      </c>
      <c r="K697" s="23">
        <f t="shared" si="2"/>
        <v>46076</v>
      </c>
      <c r="L697" s="17">
        <f t="shared" si="3"/>
        <v>46080</v>
      </c>
      <c r="M697" s="17" t="str">
        <f t="shared" si="4"/>
        <v>2026-02</v>
      </c>
    </row>
    <row r="698" ht="15.75" customHeight="1">
      <c r="A698" s="19">
        <v>46080.0</v>
      </c>
      <c r="B698" s="20" t="s">
        <v>19</v>
      </c>
      <c r="C698" s="20">
        <v>75.0</v>
      </c>
      <c r="D698" s="21"/>
      <c r="E698" s="11">
        <f>IF(J698="","", C698 * IFERROR(VLOOKUP(J698, SETUP!$A:$D, 3, FALSE), 0))</f>
        <v>0</v>
      </c>
      <c r="F698" s="11">
        <f>IF(J698="","", C698 * IFERROR(VLOOKUP(J698, SETUP!$A:$D, 4, FALSE), 0))</f>
        <v>75</v>
      </c>
      <c r="G698" s="11">
        <f t="shared" si="1"/>
        <v>75</v>
      </c>
      <c r="H698" s="22"/>
      <c r="I698" s="11"/>
      <c r="J698" s="17" t="str">
        <f>IF(TRIM(B698)="","",IF(ISNUMBER(SEARCH(" - ",B698)),TRIM(RIGHT(B698,LEN(B698)-FIND(" - ",B698)-2)),IFERROR(VLOOKUP(UPPER(TRIM(B698)), SETUP!$B$4:$C$11, 2, FALSE), UPPER(TRIM(B698)))))</f>
        <v>HANNI</v>
      </c>
      <c r="K698" s="23">
        <f t="shared" si="2"/>
        <v>46076</v>
      </c>
      <c r="L698" s="17">
        <f t="shared" si="3"/>
        <v>46080</v>
      </c>
      <c r="M698" s="17" t="str">
        <f t="shared" si="4"/>
        <v>2026-02</v>
      </c>
    </row>
    <row r="699" ht="15.75" customHeight="1">
      <c r="A699" s="19">
        <v>46080.0</v>
      </c>
      <c r="B699" s="20" t="s">
        <v>20</v>
      </c>
      <c r="C699" s="20">
        <v>57.0</v>
      </c>
      <c r="D699" s="21"/>
      <c r="E699" s="11">
        <f>IF(J699="","", C699 * IFERROR(VLOOKUP(J699, SETUP!$A:$D, 3, FALSE), 0))</f>
        <v>34.2</v>
      </c>
      <c r="F699" s="11">
        <f>IF(J699="","", C699 * IFERROR(VLOOKUP(J699, SETUP!$A:$D, 4, FALSE), 0))</f>
        <v>22.8</v>
      </c>
      <c r="G699" s="11">
        <f t="shared" si="1"/>
        <v>22.8</v>
      </c>
      <c r="H699" s="22"/>
      <c r="I699" s="11"/>
      <c r="J699" s="17" t="str">
        <f>IF(TRIM(B699)="","",IF(ISNUMBER(SEARCH(" - ",B699)),TRIM(RIGHT(B699,LEN(B699)-FIND(" - ",B699)-2)),IFERROR(VLOOKUP(UPPER(TRIM(B699)), SETUP!$B$4:$C$11, 2, FALSE), UPPER(TRIM(B699)))))</f>
        <v>AMY</v>
      </c>
      <c r="K699" s="23">
        <f t="shared" si="2"/>
        <v>46076</v>
      </c>
      <c r="L699" s="17">
        <f t="shared" si="3"/>
        <v>46080</v>
      </c>
      <c r="M699" s="17" t="str">
        <f t="shared" si="4"/>
        <v>2026-02</v>
      </c>
    </row>
    <row r="700" ht="15.75" customHeight="1">
      <c r="A700" s="19">
        <v>46080.0</v>
      </c>
      <c r="B700" s="20" t="s">
        <v>20</v>
      </c>
      <c r="C700" s="20">
        <v>47.0</v>
      </c>
      <c r="D700" s="21"/>
      <c r="E700" s="11">
        <f>IF(J700="","", C700 * IFERROR(VLOOKUP(J700, SETUP!$A:$D, 3, FALSE), 0))</f>
        <v>28.2</v>
      </c>
      <c r="F700" s="11">
        <f>IF(J700="","", C700 * IFERROR(VLOOKUP(J700, SETUP!$A:$D, 4, FALSE), 0))</f>
        <v>18.8</v>
      </c>
      <c r="G700" s="11">
        <f t="shared" si="1"/>
        <v>18.8</v>
      </c>
      <c r="H700" s="22"/>
      <c r="I700" s="11"/>
      <c r="J700" s="17" t="str">
        <f>IF(TRIM(B700)="","",IF(ISNUMBER(SEARCH(" - ",B700)),TRIM(RIGHT(B700,LEN(B700)-FIND(" - ",B700)-2)),IFERROR(VLOOKUP(UPPER(TRIM(B700)), SETUP!$B$4:$C$11, 2, FALSE), UPPER(TRIM(B700)))))</f>
        <v>AMY</v>
      </c>
      <c r="K700" s="23">
        <f t="shared" si="2"/>
        <v>46076</v>
      </c>
      <c r="L700" s="17">
        <f t="shared" si="3"/>
        <v>46080</v>
      </c>
      <c r="M700" s="17" t="str">
        <f t="shared" si="4"/>
        <v>2026-02</v>
      </c>
    </row>
    <row r="701" ht="15.75" customHeight="1">
      <c r="A701" s="19">
        <v>46080.0</v>
      </c>
      <c r="B701" s="20" t="s">
        <v>20</v>
      </c>
      <c r="C701" s="20">
        <v>75.0</v>
      </c>
      <c r="D701" s="21"/>
      <c r="E701" s="11">
        <f>IF(J701="","", C701 * IFERROR(VLOOKUP(J701, SETUP!$A:$D, 3, FALSE), 0))</f>
        <v>45</v>
      </c>
      <c r="F701" s="11">
        <f>IF(J701="","", C701 * IFERROR(VLOOKUP(J701, SETUP!$A:$D, 4, FALSE), 0))</f>
        <v>30</v>
      </c>
      <c r="G701" s="11">
        <f t="shared" si="1"/>
        <v>30</v>
      </c>
      <c r="H701" s="22"/>
      <c r="I701" s="11"/>
      <c r="J701" s="17" t="str">
        <f>IF(TRIM(B701)="","",IF(ISNUMBER(SEARCH(" - ",B701)),TRIM(RIGHT(B701,LEN(B701)-FIND(" - ",B701)-2)),IFERROR(VLOOKUP(UPPER(TRIM(B701)), SETUP!$B$4:$C$11, 2, FALSE), UPPER(TRIM(B701)))))</f>
        <v>AMY</v>
      </c>
      <c r="K701" s="23">
        <f t="shared" si="2"/>
        <v>46076</v>
      </c>
      <c r="L701" s="17">
        <f t="shared" si="3"/>
        <v>46080</v>
      </c>
      <c r="M701" s="17" t="str">
        <f t="shared" si="4"/>
        <v>2026-02</v>
      </c>
    </row>
    <row r="702" ht="15.75" customHeight="1">
      <c r="A702" s="19">
        <v>46080.0</v>
      </c>
      <c r="B702" s="20" t="s">
        <v>20</v>
      </c>
      <c r="C702" s="20">
        <v>65.0</v>
      </c>
      <c r="D702" s="21"/>
      <c r="E702" s="11">
        <f>IF(J702="","", C702 * IFERROR(VLOOKUP(J702, SETUP!$A:$D, 3, FALSE), 0))</f>
        <v>39</v>
      </c>
      <c r="F702" s="11">
        <f>IF(J702="","", C702 * IFERROR(VLOOKUP(J702, SETUP!$A:$D, 4, FALSE), 0))</f>
        <v>26</v>
      </c>
      <c r="G702" s="11">
        <f t="shared" si="1"/>
        <v>26</v>
      </c>
      <c r="H702" s="22"/>
      <c r="I702" s="11"/>
      <c r="J702" s="17" t="str">
        <f>IF(TRIM(B702)="","",IF(ISNUMBER(SEARCH(" - ",B702)),TRIM(RIGHT(B702,LEN(B702)-FIND(" - ",B702)-2)),IFERROR(VLOOKUP(UPPER(TRIM(B702)), SETUP!$B$4:$C$11, 2, FALSE), UPPER(TRIM(B702)))))</f>
        <v>AMY</v>
      </c>
      <c r="K702" s="23">
        <f t="shared" si="2"/>
        <v>46076</v>
      </c>
      <c r="L702" s="17">
        <f t="shared" si="3"/>
        <v>46080</v>
      </c>
      <c r="M702" s="17" t="str">
        <f t="shared" si="4"/>
        <v>2026-02</v>
      </c>
    </row>
    <row r="703" ht="15.75" customHeight="1">
      <c r="A703" s="19">
        <v>46080.0</v>
      </c>
      <c r="B703" s="20" t="s">
        <v>20</v>
      </c>
      <c r="C703" s="20">
        <v>50.0</v>
      </c>
      <c r="D703" s="21"/>
      <c r="E703" s="11">
        <f>IF(J703="","", C703 * IFERROR(VLOOKUP(J703, SETUP!$A:$D, 3, FALSE), 0))</f>
        <v>30</v>
      </c>
      <c r="F703" s="11">
        <f>IF(J703="","", C703 * IFERROR(VLOOKUP(J703, SETUP!$A:$D, 4, FALSE), 0))</f>
        <v>20</v>
      </c>
      <c r="G703" s="11">
        <f t="shared" si="1"/>
        <v>20</v>
      </c>
      <c r="H703" s="22"/>
      <c r="I703" s="11"/>
      <c r="J703" s="17" t="str">
        <f>IF(TRIM(B703)="","",IF(ISNUMBER(SEARCH(" - ",B703)),TRIM(RIGHT(B703,LEN(B703)-FIND(" - ",B703)-2)),IFERROR(VLOOKUP(UPPER(TRIM(B703)), SETUP!$B$4:$C$11, 2, FALSE), UPPER(TRIM(B703)))))</f>
        <v>AMY</v>
      </c>
      <c r="K703" s="23">
        <f t="shared" si="2"/>
        <v>46076</v>
      </c>
      <c r="L703" s="17">
        <f t="shared" si="3"/>
        <v>46080</v>
      </c>
      <c r="M703" s="17" t="str">
        <f t="shared" si="4"/>
        <v>2026-02</v>
      </c>
    </row>
    <row r="704" ht="15.75" customHeight="1">
      <c r="A704" s="19">
        <v>46080.0</v>
      </c>
      <c r="B704" s="20" t="s">
        <v>20</v>
      </c>
      <c r="C704" s="20">
        <v>87.0</v>
      </c>
      <c r="D704" s="21"/>
      <c r="E704" s="11">
        <f>IF(J704="","", C704 * IFERROR(VLOOKUP(J704, SETUP!$A:$D, 3, FALSE), 0))</f>
        <v>52.2</v>
      </c>
      <c r="F704" s="11">
        <f>IF(J704="","", C704 * IFERROR(VLOOKUP(J704, SETUP!$A:$D, 4, FALSE), 0))</f>
        <v>34.8</v>
      </c>
      <c r="G704" s="11">
        <f t="shared" si="1"/>
        <v>34.8</v>
      </c>
      <c r="H704" s="22"/>
      <c r="I704" s="11"/>
      <c r="J704" s="17" t="str">
        <f>IF(TRIM(B704)="","",IF(ISNUMBER(SEARCH(" - ",B704)),TRIM(RIGHT(B704,LEN(B704)-FIND(" - ",B704)-2)),IFERROR(VLOOKUP(UPPER(TRIM(B704)), SETUP!$B$4:$C$11, 2, FALSE), UPPER(TRIM(B704)))))</f>
        <v>AMY</v>
      </c>
      <c r="K704" s="23">
        <f t="shared" si="2"/>
        <v>46076</v>
      </c>
      <c r="L704" s="17">
        <f t="shared" si="3"/>
        <v>46080</v>
      </c>
      <c r="M704" s="17" t="str">
        <f t="shared" si="4"/>
        <v>2026-02</v>
      </c>
    </row>
    <row r="705" ht="15.75" customHeight="1">
      <c r="A705" s="19">
        <v>46080.0</v>
      </c>
      <c r="B705" s="20" t="s">
        <v>20</v>
      </c>
      <c r="C705" s="20">
        <v>47.0</v>
      </c>
      <c r="D705" s="21"/>
      <c r="E705" s="11">
        <f>IF(J705="","", C705 * IFERROR(VLOOKUP(J705, SETUP!$A:$D, 3, FALSE), 0))</f>
        <v>28.2</v>
      </c>
      <c r="F705" s="11">
        <f>IF(J705="","", C705 * IFERROR(VLOOKUP(J705, SETUP!$A:$D, 4, FALSE), 0))</f>
        <v>18.8</v>
      </c>
      <c r="G705" s="11">
        <f t="shared" si="1"/>
        <v>18.8</v>
      </c>
      <c r="H705" s="22"/>
      <c r="I705" s="11"/>
      <c r="J705" s="17" t="str">
        <f>IF(TRIM(B705)="","",IF(ISNUMBER(SEARCH(" - ",B705)),TRIM(RIGHT(B705,LEN(B705)-FIND(" - ",B705)-2)),IFERROR(VLOOKUP(UPPER(TRIM(B705)), SETUP!$B$4:$C$11, 2, FALSE), UPPER(TRIM(B705)))))</f>
        <v>AMY</v>
      </c>
      <c r="K705" s="23">
        <f t="shared" si="2"/>
        <v>46076</v>
      </c>
      <c r="L705" s="17">
        <f t="shared" si="3"/>
        <v>46080</v>
      </c>
      <c r="M705" s="17" t="str">
        <f t="shared" si="4"/>
        <v>2026-02</v>
      </c>
    </row>
    <row r="706" ht="15.75" customHeight="1">
      <c r="A706" s="19">
        <v>46080.0</v>
      </c>
      <c r="B706" s="20" t="s">
        <v>20</v>
      </c>
      <c r="C706" s="20">
        <v>55.0</v>
      </c>
      <c r="D706" s="21"/>
      <c r="E706" s="11">
        <f>IF(J706="","", C706 * IFERROR(VLOOKUP(J706, SETUP!$A:$D, 3, FALSE), 0))</f>
        <v>33</v>
      </c>
      <c r="F706" s="11">
        <f>IF(J706="","", C706 * IFERROR(VLOOKUP(J706, SETUP!$A:$D, 4, FALSE), 0))</f>
        <v>22</v>
      </c>
      <c r="G706" s="11">
        <f t="shared" si="1"/>
        <v>22</v>
      </c>
      <c r="H706" s="22"/>
      <c r="I706" s="11"/>
      <c r="J706" s="17" t="str">
        <f>IF(TRIM(B706)="","",IF(ISNUMBER(SEARCH(" - ",B706)),TRIM(RIGHT(B706,LEN(B706)-FIND(" - ",B706)-2)),IFERROR(VLOOKUP(UPPER(TRIM(B706)), SETUP!$B$4:$C$11, 2, FALSE), UPPER(TRIM(B706)))))</f>
        <v>AMY</v>
      </c>
      <c r="K706" s="23">
        <f t="shared" si="2"/>
        <v>46076</v>
      </c>
      <c r="L706" s="17">
        <f t="shared" si="3"/>
        <v>46080</v>
      </c>
      <c r="M706" s="17" t="str">
        <f t="shared" si="4"/>
        <v>2026-02</v>
      </c>
    </row>
    <row r="707" ht="15.75" customHeight="1">
      <c r="A707" s="19">
        <v>46080.0</v>
      </c>
      <c r="B707" s="20" t="s">
        <v>21</v>
      </c>
      <c r="C707" s="20">
        <v>52.0</v>
      </c>
      <c r="D707" s="21"/>
      <c r="E707" s="11">
        <f>IF(J707="","", C707 * IFERROR(VLOOKUP(J707, SETUP!$A:$D, 3, FALSE), 0))</f>
        <v>31.2</v>
      </c>
      <c r="F707" s="11">
        <f>IF(J707="","", C707 * IFERROR(VLOOKUP(J707, SETUP!$A:$D, 4, FALSE), 0))</f>
        <v>20.8</v>
      </c>
      <c r="G707" s="11">
        <f t="shared" si="1"/>
        <v>20.8</v>
      </c>
      <c r="H707" s="22"/>
      <c r="I707" s="11"/>
      <c r="J707" s="17" t="str">
        <f>IF(TRIM(B707)="","",IF(ISNUMBER(SEARCH(" - ",B707)),TRIM(RIGHT(B707,LEN(B707)-FIND(" - ",B707)-2)),IFERROR(VLOOKUP(UPPER(TRIM(B707)), SETUP!$B$4:$C$11, 2, FALSE), UPPER(TRIM(B707)))))</f>
        <v>TONY</v>
      </c>
      <c r="K707" s="23">
        <f t="shared" si="2"/>
        <v>46076</v>
      </c>
      <c r="L707" s="17">
        <f t="shared" si="3"/>
        <v>46080</v>
      </c>
      <c r="M707" s="17" t="str">
        <f t="shared" si="4"/>
        <v>2026-02</v>
      </c>
    </row>
    <row r="708" ht="15.75" customHeight="1">
      <c r="A708" s="19">
        <v>46080.0</v>
      </c>
      <c r="B708" s="20" t="s">
        <v>21</v>
      </c>
      <c r="C708" s="20">
        <v>75.0</v>
      </c>
      <c r="D708" s="21"/>
      <c r="E708" s="11">
        <f>IF(J708="","", C708 * IFERROR(VLOOKUP(J708, SETUP!$A:$D, 3, FALSE), 0))</f>
        <v>45</v>
      </c>
      <c r="F708" s="11">
        <f>IF(J708="","", C708 * IFERROR(VLOOKUP(J708, SETUP!$A:$D, 4, FALSE), 0))</f>
        <v>30</v>
      </c>
      <c r="G708" s="11">
        <f t="shared" si="1"/>
        <v>30</v>
      </c>
      <c r="H708" s="22"/>
      <c r="I708" s="11"/>
      <c r="J708" s="17" t="str">
        <f>IF(TRIM(B708)="","",IF(ISNUMBER(SEARCH(" - ",B708)),TRIM(RIGHT(B708,LEN(B708)-FIND(" - ",B708)-2)),IFERROR(VLOOKUP(UPPER(TRIM(B708)), SETUP!$B$4:$C$11, 2, FALSE), UPPER(TRIM(B708)))))</f>
        <v>TONY</v>
      </c>
      <c r="K708" s="23">
        <f t="shared" si="2"/>
        <v>46076</v>
      </c>
      <c r="L708" s="17">
        <f t="shared" si="3"/>
        <v>46080</v>
      </c>
      <c r="M708" s="17" t="str">
        <f t="shared" si="4"/>
        <v>2026-02</v>
      </c>
    </row>
    <row r="709" ht="15.75" customHeight="1">
      <c r="A709" s="19">
        <v>46080.0</v>
      </c>
      <c r="B709" s="20" t="s">
        <v>21</v>
      </c>
      <c r="C709" s="20">
        <v>62.0</v>
      </c>
      <c r="D709" s="21"/>
      <c r="E709" s="11">
        <f>IF(J709="","", C709 * IFERROR(VLOOKUP(J709, SETUP!$A:$D, 3, FALSE), 0))</f>
        <v>37.2</v>
      </c>
      <c r="F709" s="11">
        <f>IF(J709="","", C709 * IFERROR(VLOOKUP(J709, SETUP!$A:$D, 4, FALSE), 0))</f>
        <v>24.8</v>
      </c>
      <c r="G709" s="11">
        <f t="shared" si="1"/>
        <v>24.8</v>
      </c>
      <c r="H709" s="22"/>
      <c r="I709" s="11"/>
      <c r="J709" s="17" t="str">
        <f>IF(TRIM(B709)="","",IF(ISNUMBER(SEARCH(" - ",B709)),TRIM(RIGHT(B709,LEN(B709)-FIND(" - ",B709)-2)),IFERROR(VLOOKUP(UPPER(TRIM(B709)), SETUP!$B$4:$C$11, 2, FALSE), UPPER(TRIM(B709)))))</f>
        <v>TONY</v>
      </c>
      <c r="K709" s="23">
        <f t="shared" si="2"/>
        <v>46076</v>
      </c>
      <c r="L709" s="17">
        <f t="shared" si="3"/>
        <v>46080</v>
      </c>
      <c r="M709" s="17" t="str">
        <f t="shared" si="4"/>
        <v>2026-02</v>
      </c>
    </row>
    <row r="710" ht="15.75" customHeight="1">
      <c r="A710" s="19">
        <v>46080.0</v>
      </c>
      <c r="B710" s="20" t="s">
        <v>21</v>
      </c>
      <c r="C710" s="20">
        <v>65.0</v>
      </c>
      <c r="D710" s="21"/>
      <c r="E710" s="11">
        <f>IF(J710="","", C710 * IFERROR(VLOOKUP(J710, SETUP!$A:$D, 3, FALSE), 0))</f>
        <v>39</v>
      </c>
      <c r="F710" s="11">
        <f>IF(J710="","", C710 * IFERROR(VLOOKUP(J710, SETUP!$A:$D, 4, FALSE), 0))</f>
        <v>26</v>
      </c>
      <c r="G710" s="11">
        <f t="shared" si="1"/>
        <v>26</v>
      </c>
      <c r="H710" s="22"/>
      <c r="I710" s="11"/>
      <c r="J710" s="17" t="str">
        <f>IF(TRIM(B710)="","",IF(ISNUMBER(SEARCH(" - ",B710)),TRIM(RIGHT(B710,LEN(B710)-FIND(" - ",B710)-2)),IFERROR(VLOOKUP(UPPER(TRIM(B710)), SETUP!$B$4:$C$11, 2, FALSE), UPPER(TRIM(B710)))))</f>
        <v>TONY</v>
      </c>
      <c r="K710" s="23">
        <f t="shared" si="2"/>
        <v>46076</v>
      </c>
      <c r="L710" s="17">
        <f t="shared" si="3"/>
        <v>46080</v>
      </c>
      <c r="M710" s="17" t="str">
        <f t="shared" si="4"/>
        <v>2026-02</v>
      </c>
    </row>
    <row r="711" ht="15.75" customHeight="1">
      <c r="A711" s="19">
        <v>46080.0</v>
      </c>
      <c r="B711" s="20" t="s">
        <v>21</v>
      </c>
      <c r="C711" s="20">
        <v>40.0</v>
      </c>
      <c r="D711" s="21"/>
      <c r="E711" s="11">
        <f>IF(J711="","", C711 * IFERROR(VLOOKUP(J711, SETUP!$A:$D, 3, FALSE), 0))</f>
        <v>24</v>
      </c>
      <c r="F711" s="11">
        <f>IF(J711="","", C711 * IFERROR(VLOOKUP(J711, SETUP!$A:$D, 4, FALSE), 0))</f>
        <v>16</v>
      </c>
      <c r="G711" s="11">
        <f t="shared" si="1"/>
        <v>16</v>
      </c>
      <c r="H711" s="22"/>
      <c r="I711" s="11"/>
      <c r="J711" s="17" t="str">
        <f>IF(TRIM(B711)="","",IF(ISNUMBER(SEARCH(" - ",B711)),TRIM(RIGHT(B711,LEN(B711)-FIND(" - ",B711)-2)),IFERROR(VLOOKUP(UPPER(TRIM(B711)), SETUP!$B$4:$C$11, 2, FALSE), UPPER(TRIM(B711)))))</f>
        <v>TONY</v>
      </c>
      <c r="K711" s="23">
        <f t="shared" si="2"/>
        <v>46076</v>
      </c>
      <c r="L711" s="17">
        <f t="shared" si="3"/>
        <v>46080</v>
      </c>
      <c r="M711" s="17" t="str">
        <f t="shared" si="4"/>
        <v>2026-02</v>
      </c>
    </row>
    <row r="712" ht="15.75" customHeight="1">
      <c r="A712" s="19">
        <v>46080.0</v>
      </c>
      <c r="B712" s="20" t="s">
        <v>21</v>
      </c>
      <c r="C712" s="20">
        <v>52.0</v>
      </c>
      <c r="D712" s="21"/>
      <c r="E712" s="11">
        <f>IF(J712="","", C712 * IFERROR(VLOOKUP(J712, SETUP!$A:$D, 3, FALSE), 0))</f>
        <v>31.2</v>
      </c>
      <c r="F712" s="11">
        <f>IF(J712="","", C712 * IFERROR(VLOOKUP(J712, SETUP!$A:$D, 4, FALSE), 0))</f>
        <v>20.8</v>
      </c>
      <c r="G712" s="11">
        <f t="shared" si="1"/>
        <v>20.8</v>
      </c>
      <c r="H712" s="22"/>
      <c r="I712" s="11"/>
      <c r="J712" s="17" t="str">
        <f>IF(TRIM(B712)="","",IF(ISNUMBER(SEARCH(" - ",B712)),TRIM(RIGHT(B712,LEN(B712)-FIND(" - ",B712)-2)),IFERROR(VLOOKUP(UPPER(TRIM(B712)), SETUP!$B$4:$C$11, 2, FALSE), UPPER(TRIM(B712)))))</f>
        <v>TONY</v>
      </c>
      <c r="K712" s="23">
        <f t="shared" si="2"/>
        <v>46076</v>
      </c>
      <c r="L712" s="17">
        <f t="shared" si="3"/>
        <v>46080</v>
      </c>
      <c r="M712" s="17" t="str">
        <f t="shared" si="4"/>
        <v>2026-02</v>
      </c>
    </row>
    <row r="713" ht="15.75" customHeight="1">
      <c r="A713" s="19">
        <v>46080.0</v>
      </c>
      <c r="B713" s="20" t="s">
        <v>21</v>
      </c>
      <c r="C713" s="20">
        <v>57.0</v>
      </c>
      <c r="D713" s="21"/>
      <c r="E713" s="11">
        <f>IF(J713="","", C713 * IFERROR(VLOOKUP(J713, SETUP!$A:$D, 3, FALSE), 0))</f>
        <v>34.2</v>
      </c>
      <c r="F713" s="11">
        <f>IF(J713="","", C713 * IFERROR(VLOOKUP(J713, SETUP!$A:$D, 4, FALSE), 0))</f>
        <v>22.8</v>
      </c>
      <c r="G713" s="11">
        <f t="shared" si="1"/>
        <v>22.8</v>
      </c>
      <c r="H713" s="22"/>
      <c r="I713" s="11"/>
      <c r="J713" s="17" t="str">
        <f>IF(TRIM(B713)="","",IF(ISNUMBER(SEARCH(" - ",B713)),TRIM(RIGHT(B713,LEN(B713)-FIND(" - ",B713)-2)),IFERROR(VLOOKUP(UPPER(TRIM(B713)), SETUP!$B$4:$C$11, 2, FALSE), UPPER(TRIM(B713)))))</f>
        <v>TONY</v>
      </c>
      <c r="K713" s="23">
        <f t="shared" si="2"/>
        <v>46076</v>
      </c>
      <c r="L713" s="17">
        <f t="shared" si="3"/>
        <v>46080</v>
      </c>
      <c r="M713" s="17" t="str">
        <f t="shared" si="4"/>
        <v>2026-02</v>
      </c>
    </row>
    <row r="714" ht="15.75" customHeight="1">
      <c r="A714" s="19">
        <v>46080.0</v>
      </c>
      <c r="B714" s="20" t="s">
        <v>21</v>
      </c>
      <c r="C714" s="20">
        <v>70.0</v>
      </c>
      <c r="D714" s="21"/>
      <c r="E714" s="11">
        <f>IF(J714="","", C714 * IFERROR(VLOOKUP(J714, SETUP!$A:$D, 3, FALSE), 0))</f>
        <v>42</v>
      </c>
      <c r="F714" s="11">
        <f>IF(J714="","", C714 * IFERROR(VLOOKUP(J714, SETUP!$A:$D, 4, FALSE), 0))</f>
        <v>28</v>
      </c>
      <c r="G714" s="11">
        <f t="shared" si="1"/>
        <v>28</v>
      </c>
      <c r="H714" s="22"/>
      <c r="I714" s="11"/>
      <c r="J714" s="17" t="str">
        <f>IF(TRIM(B714)="","",IF(ISNUMBER(SEARCH(" - ",B714)),TRIM(RIGHT(B714,LEN(B714)-FIND(" - ",B714)-2)),IFERROR(VLOOKUP(UPPER(TRIM(B714)), SETUP!$B$4:$C$11, 2, FALSE), UPPER(TRIM(B714)))))</f>
        <v>TONY</v>
      </c>
      <c r="K714" s="23">
        <f t="shared" si="2"/>
        <v>46076</v>
      </c>
      <c r="L714" s="17">
        <f t="shared" si="3"/>
        <v>46080</v>
      </c>
      <c r="M714" s="17" t="str">
        <f t="shared" si="4"/>
        <v>2026-02</v>
      </c>
    </row>
    <row r="715" ht="15.75" customHeight="1">
      <c r="A715" s="19">
        <v>46080.0</v>
      </c>
      <c r="B715" s="20" t="s">
        <v>21</v>
      </c>
      <c r="C715" s="20">
        <v>62.0</v>
      </c>
      <c r="D715" s="21"/>
      <c r="E715" s="11">
        <f>IF(J715="","", C715 * IFERROR(VLOOKUP(J715, SETUP!$A:$D, 3, FALSE), 0))</f>
        <v>37.2</v>
      </c>
      <c r="F715" s="11">
        <f>IF(J715="","", C715 * IFERROR(VLOOKUP(J715, SETUP!$A:$D, 4, FALSE), 0))</f>
        <v>24.8</v>
      </c>
      <c r="G715" s="11">
        <f t="shared" si="1"/>
        <v>24.8</v>
      </c>
      <c r="H715" s="22"/>
      <c r="I715" s="11"/>
      <c r="J715" s="17" t="str">
        <f>IF(TRIM(B715)="","",IF(ISNUMBER(SEARCH(" - ",B715)),TRIM(RIGHT(B715,LEN(B715)-FIND(" - ",B715)-2)),IFERROR(VLOOKUP(UPPER(TRIM(B715)), SETUP!$B$4:$C$11, 2, FALSE), UPPER(TRIM(B715)))))</f>
        <v>TONY</v>
      </c>
      <c r="K715" s="23">
        <f t="shared" si="2"/>
        <v>46076</v>
      </c>
      <c r="L715" s="17">
        <f t="shared" si="3"/>
        <v>46080</v>
      </c>
      <c r="M715" s="17" t="str">
        <f t="shared" si="4"/>
        <v>2026-02</v>
      </c>
    </row>
    <row r="716" ht="15.75" customHeight="1">
      <c r="A716" s="19">
        <v>46080.0</v>
      </c>
      <c r="B716" s="20" t="s">
        <v>21</v>
      </c>
      <c r="C716" s="20">
        <v>72.0</v>
      </c>
      <c r="D716" s="21"/>
      <c r="E716" s="11">
        <f>IF(J716="","", C716 * IFERROR(VLOOKUP(J716, SETUP!$A:$D, 3, FALSE), 0))</f>
        <v>43.2</v>
      </c>
      <c r="F716" s="11">
        <f>IF(J716="","", C716 * IFERROR(VLOOKUP(J716, SETUP!$A:$D, 4, FALSE), 0))</f>
        <v>28.8</v>
      </c>
      <c r="G716" s="11">
        <f t="shared" si="1"/>
        <v>28.8</v>
      </c>
      <c r="H716" s="22"/>
      <c r="I716" s="11"/>
      <c r="J716" s="17" t="str">
        <f>IF(TRIM(B716)="","",IF(ISNUMBER(SEARCH(" - ",B716)),TRIM(RIGHT(B716,LEN(B716)-FIND(" - ",B716)-2)),IFERROR(VLOOKUP(UPPER(TRIM(B716)), SETUP!$B$4:$C$11, 2, FALSE), UPPER(TRIM(B716)))))</f>
        <v>TONY</v>
      </c>
      <c r="K716" s="23">
        <f t="shared" si="2"/>
        <v>46076</v>
      </c>
      <c r="L716" s="17">
        <f t="shared" si="3"/>
        <v>46080</v>
      </c>
      <c r="M716" s="17" t="str">
        <f t="shared" si="4"/>
        <v>2026-02</v>
      </c>
    </row>
    <row r="717" ht="15.75" customHeight="1">
      <c r="A717" s="19">
        <v>46081.0</v>
      </c>
      <c r="B717" s="20" t="s">
        <v>16</v>
      </c>
      <c r="C717" s="20">
        <v>67.0</v>
      </c>
      <c r="D717" s="21"/>
      <c r="E717" s="11">
        <f>IF(J717="","", C717 * IFERROR(VLOOKUP(J717, SETUP!$A:$D, 3, FALSE), 0))</f>
        <v>0</v>
      </c>
      <c r="F717" s="11">
        <f>IF(J717="","", C717 * IFERROR(VLOOKUP(J717, SETUP!$A:$D, 4, FALSE), 0))</f>
        <v>67</v>
      </c>
      <c r="G717" s="11">
        <f t="shared" si="1"/>
        <v>67</v>
      </c>
      <c r="H717" s="22"/>
      <c r="I717" s="11"/>
      <c r="J717" s="17" t="str">
        <f>IF(TRIM(B717)="","",IF(ISNUMBER(SEARCH(" - ",B717)),TRIM(RIGHT(B717,LEN(B717)-FIND(" - ",B717)-2)),IFERROR(VLOOKUP(UPPER(TRIM(B717)), SETUP!$B$4:$C$11, 2, FALSE), UPPER(TRIM(B717)))))</f>
        <v>KEN</v>
      </c>
      <c r="K717" s="23">
        <f t="shared" si="2"/>
        <v>46076</v>
      </c>
      <c r="L717" s="17">
        <f t="shared" si="3"/>
        <v>46081</v>
      </c>
      <c r="M717" s="17" t="str">
        <f t="shared" si="4"/>
        <v>2026-02</v>
      </c>
    </row>
    <row r="718" ht="15.75" customHeight="1">
      <c r="A718" s="19">
        <v>46081.0</v>
      </c>
      <c r="B718" s="20" t="s">
        <v>17</v>
      </c>
      <c r="C718" s="20">
        <v>50.0</v>
      </c>
      <c r="D718" s="21"/>
      <c r="E718" s="11">
        <f>IF(J718="","", C718 * IFERROR(VLOOKUP(J718, SETUP!$A:$D, 3, FALSE), 0))</f>
        <v>30</v>
      </c>
      <c r="F718" s="11">
        <f>IF(J718="","", C718 * IFERROR(VLOOKUP(J718, SETUP!$A:$D, 4, FALSE), 0))</f>
        <v>20</v>
      </c>
      <c r="G718" s="11">
        <f t="shared" si="1"/>
        <v>20</v>
      </c>
      <c r="H718" s="22"/>
      <c r="I718" s="11"/>
      <c r="J718" s="17" t="str">
        <f>IF(TRIM(B718)="","",IF(ISNUMBER(SEARCH(" - ",B718)),TRIM(RIGHT(B718,LEN(B718)-FIND(" - ",B718)-2)),IFERROR(VLOOKUP(UPPER(TRIM(B718)), SETUP!$B$4:$C$11, 2, FALSE), UPPER(TRIM(B718)))))</f>
        <v>RYAN</v>
      </c>
      <c r="K718" s="23">
        <f t="shared" si="2"/>
        <v>46076</v>
      </c>
      <c r="L718" s="17">
        <f t="shared" si="3"/>
        <v>46081</v>
      </c>
      <c r="M718" s="17" t="str">
        <f t="shared" si="4"/>
        <v>2026-02</v>
      </c>
    </row>
    <row r="719" ht="15.75" customHeight="1">
      <c r="A719" s="19">
        <v>46081.0</v>
      </c>
      <c r="B719" s="20" t="s">
        <v>17</v>
      </c>
      <c r="C719" s="20">
        <v>105.0</v>
      </c>
      <c r="D719" s="21"/>
      <c r="E719" s="11">
        <f>IF(J719="","", C719 * IFERROR(VLOOKUP(J719, SETUP!$A:$D, 3, FALSE), 0))</f>
        <v>63</v>
      </c>
      <c r="F719" s="11">
        <f>IF(J719="","", C719 * IFERROR(VLOOKUP(J719, SETUP!$A:$D, 4, FALSE), 0))</f>
        <v>42</v>
      </c>
      <c r="G719" s="11">
        <f t="shared" si="1"/>
        <v>42</v>
      </c>
      <c r="H719" s="22"/>
      <c r="I719" s="11"/>
      <c r="J719" s="17" t="str">
        <f>IF(TRIM(B719)="","",IF(ISNUMBER(SEARCH(" - ",B719)),TRIM(RIGHT(B719,LEN(B719)-FIND(" - ",B719)-2)),IFERROR(VLOOKUP(UPPER(TRIM(B719)), SETUP!$B$4:$C$11, 2, FALSE), UPPER(TRIM(B719)))))</f>
        <v>RYAN</v>
      </c>
      <c r="K719" s="23">
        <f t="shared" si="2"/>
        <v>46076</v>
      </c>
      <c r="L719" s="17">
        <f t="shared" si="3"/>
        <v>46081</v>
      </c>
      <c r="M719" s="17" t="str">
        <f t="shared" si="4"/>
        <v>2026-02</v>
      </c>
    </row>
    <row r="720" ht="15.75" customHeight="1">
      <c r="A720" s="19">
        <v>46081.0</v>
      </c>
      <c r="B720" s="20" t="s">
        <v>17</v>
      </c>
      <c r="C720" s="20">
        <v>35.0</v>
      </c>
      <c r="D720" s="21"/>
      <c r="E720" s="11">
        <f>IF(J720="","", C720 * IFERROR(VLOOKUP(J720, SETUP!$A:$D, 3, FALSE), 0))</f>
        <v>21</v>
      </c>
      <c r="F720" s="11">
        <f>IF(J720="","", C720 * IFERROR(VLOOKUP(J720, SETUP!$A:$D, 4, FALSE), 0))</f>
        <v>14</v>
      </c>
      <c r="G720" s="11">
        <f t="shared" si="1"/>
        <v>14</v>
      </c>
      <c r="H720" s="22"/>
      <c r="I720" s="11"/>
      <c r="J720" s="17" t="str">
        <f>IF(TRIM(B720)="","",IF(ISNUMBER(SEARCH(" - ",B720)),TRIM(RIGHT(B720,LEN(B720)-FIND(" - ",B720)-2)),IFERROR(VLOOKUP(UPPER(TRIM(B720)), SETUP!$B$4:$C$11, 2, FALSE), UPPER(TRIM(B720)))))</f>
        <v>RYAN</v>
      </c>
      <c r="K720" s="23">
        <f t="shared" si="2"/>
        <v>46076</v>
      </c>
      <c r="L720" s="17">
        <f t="shared" si="3"/>
        <v>46081</v>
      </c>
      <c r="M720" s="17" t="str">
        <f t="shared" si="4"/>
        <v>2026-02</v>
      </c>
    </row>
    <row r="721" ht="15.75" customHeight="1">
      <c r="A721" s="19">
        <v>46081.0</v>
      </c>
      <c r="B721" s="20" t="s">
        <v>17</v>
      </c>
      <c r="C721" s="20">
        <v>52.0</v>
      </c>
      <c r="D721" s="21"/>
      <c r="E721" s="11">
        <f>IF(J721="","", C721 * IFERROR(VLOOKUP(J721, SETUP!$A:$D, 3, FALSE), 0))</f>
        <v>31.2</v>
      </c>
      <c r="F721" s="11">
        <f>IF(J721="","", C721 * IFERROR(VLOOKUP(J721, SETUP!$A:$D, 4, FALSE), 0))</f>
        <v>20.8</v>
      </c>
      <c r="G721" s="11">
        <f t="shared" si="1"/>
        <v>20.8</v>
      </c>
      <c r="H721" s="22"/>
      <c r="I721" s="11"/>
      <c r="J721" s="17" t="str">
        <f>IF(TRIM(B721)="","",IF(ISNUMBER(SEARCH(" - ",B721)),TRIM(RIGHT(B721,LEN(B721)-FIND(" - ",B721)-2)),IFERROR(VLOOKUP(UPPER(TRIM(B721)), SETUP!$B$4:$C$11, 2, FALSE), UPPER(TRIM(B721)))))</f>
        <v>RYAN</v>
      </c>
      <c r="K721" s="23">
        <f t="shared" si="2"/>
        <v>46076</v>
      </c>
      <c r="L721" s="17">
        <f t="shared" si="3"/>
        <v>46081</v>
      </c>
      <c r="M721" s="17" t="str">
        <f t="shared" si="4"/>
        <v>2026-02</v>
      </c>
    </row>
    <row r="722" ht="15.75" customHeight="1">
      <c r="A722" s="19">
        <v>46081.0</v>
      </c>
      <c r="B722" s="20" t="s">
        <v>17</v>
      </c>
      <c r="C722" s="20">
        <v>52.0</v>
      </c>
      <c r="D722" s="21"/>
      <c r="E722" s="11">
        <f>IF(J722="","", C722 * IFERROR(VLOOKUP(J722, SETUP!$A:$D, 3, FALSE), 0))</f>
        <v>31.2</v>
      </c>
      <c r="F722" s="11">
        <f>IF(J722="","", C722 * IFERROR(VLOOKUP(J722, SETUP!$A:$D, 4, FALSE), 0))</f>
        <v>20.8</v>
      </c>
      <c r="G722" s="11">
        <f t="shared" si="1"/>
        <v>20.8</v>
      </c>
      <c r="H722" s="22"/>
      <c r="I722" s="11"/>
      <c r="J722" s="17" t="str">
        <f>IF(TRIM(B722)="","",IF(ISNUMBER(SEARCH(" - ",B722)),TRIM(RIGHT(B722,LEN(B722)-FIND(" - ",B722)-2)),IFERROR(VLOOKUP(UPPER(TRIM(B722)), SETUP!$B$4:$C$11, 2, FALSE), UPPER(TRIM(B722)))))</f>
        <v>RYAN</v>
      </c>
      <c r="K722" s="23">
        <f t="shared" si="2"/>
        <v>46076</v>
      </c>
      <c r="L722" s="17">
        <f t="shared" si="3"/>
        <v>46081</v>
      </c>
      <c r="M722" s="17" t="str">
        <f t="shared" si="4"/>
        <v>2026-02</v>
      </c>
    </row>
    <row r="723" ht="15.75" customHeight="1">
      <c r="A723" s="19">
        <v>46081.0</v>
      </c>
      <c r="B723" s="20" t="s">
        <v>17</v>
      </c>
      <c r="C723" s="20">
        <v>67.0</v>
      </c>
      <c r="D723" s="21"/>
      <c r="E723" s="11">
        <f>IF(J723="","", C723 * IFERROR(VLOOKUP(J723, SETUP!$A:$D, 3, FALSE), 0))</f>
        <v>40.2</v>
      </c>
      <c r="F723" s="11">
        <f>IF(J723="","", C723 * IFERROR(VLOOKUP(J723, SETUP!$A:$D, 4, FALSE), 0))</f>
        <v>26.8</v>
      </c>
      <c r="G723" s="11">
        <f t="shared" si="1"/>
        <v>26.8</v>
      </c>
      <c r="H723" s="22"/>
      <c r="I723" s="11"/>
      <c r="J723" s="17" t="str">
        <f>IF(TRIM(B723)="","",IF(ISNUMBER(SEARCH(" - ",B723)),TRIM(RIGHT(B723,LEN(B723)-FIND(" - ",B723)-2)),IFERROR(VLOOKUP(UPPER(TRIM(B723)), SETUP!$B$4:$C$11, 2, FALSE), UPPER(TRIM(B723)))))</f>
        <v>RYAN</v>
      </c>
      <c r="K723" s="23">
        <f t="shared" si="2"/>
        <v>46076</v>
      </c>
      <c r="L723" s="17">
        <f t="shared" si="3"/>
        <v>46081</v>
      </c>
      <c r="M723" s="17" t="str">
        <f t="shared" si="4"/>
        <v>2026-02</v>
      </c>
    </row>
    <row r="724" ht="15.75" customHeight="1">
      <c r="A724" s="19">
        <v>46081.0</v>
      </c>
      <c r="B724" s="20" t="s">
        <v>17</v>
      </c>
      <c r="C724" s="20">
        <v>40.0</v>
      </c>
      <c r="D724" s="21"/>
      <c r="E724" s="11">
        <f>IF(J724="","", C724 * IFERROR(VLOOKUP(J724, SETUP!$A:$D, 3, FALSE), 0))</f>
        <v>24</v>
      </c>
      <c r="F724" s="11">
        <f>IF(J724="","", C724 * IFERROR(VLOOKUP(J724, SETUP!$A:$D, 4, FALSE), 0))</f>
        <v>16</v>
      </c>
      <c r="G724" s="11">
        <f t="shared" si="1"/>
        <v>16</v>
      </c>
      <c r="H724" s="22"/>
      <c r="I724" s="11"/>
      <c r="J724" s="17" t="str">
        <f>IF(TRIM(B724)="","",IF(ISNUMBER(SEARCH(" - ",B724)),TRIM(RIGHT(B724,LEN(B724)-FIND(" - ",B724)-2)),IFERROR(VLOOKUP(UPPER(TRIM(B724)), SETUP!$B$4:$C$11, 2, FALSE), UPPER(TRIM(B724)))))</f>
        <v>RYAN</v>
      </c>
      <c r="K724" s="23">
        <f t="shared" si="2"/>
        <v>46076</v>
      </c>
      <c r="L724" s="17">
        <f t="shared" si="3"/>
        <v>46081</v>
      </c>
      <c r="M724" s="17" t="str">
        <f t="shared" si="4"/>
        <v>2026-02</v>
      </c>
    </row>
    <row r="725" ht="15.75" customHeight="1">
      <c r="A725" s="19">
        <v>46081.0</v>
      </c>
      <c r="B725" s="20" t="s">
        <v>17</v>
      </c>
      <c r="C725" s="20">
        <v>65.0</v>
      </c>
      <c r="D725" s="21"/>
      <c r="E725" s="11">
        <f>IF(J725="","", C725 * IFERROR(VLOOKUP(J725, SETUP!$A:$D, 3, FALSE), 0))</f>
        <v>39</v>
      </c>
      <c r="F725" s="11">
        <f>IF(J725="","", C725 * IFERROR(VLOOKUP(J725, SETUP!$A:$D, 4, FALSE), 0))</f>
        <v>26</v>
      </c>
      <c r="G725" s="11">
        <f t="shared" si="1"/>
        <v>26</v>
      </c>
      <c r="H725" s="22"/>
      <c r="I725" s="11"/>
      <c r="J725" s="17" t="str">
        <f>IF(TRIM(B725)="","",IF(ISNUMBER(SEARCH(" - ",B725)),TRIM(RIGHT(B725,LEN(B725)-FIND(" - ",B725)-2)),IFERROR(VLOOKUP(UPPER(TRIM(B725)), SETUP!$B$4:$C$11, 2, FALSE), UPPER(TRIM(B725)))))</f>
        <v>RYAN</v>
      </c>
      <c r="K725" s="23">
        <f t="shared" si="2"/>
        <v>46076</v>
      </c>
      <c r="L725" s="17">
        <f t="shared" si="3"/>
        <v>46081</v>
      </c>
      <c r="M725" s="17" t="str">
        <f t="shared" si="4"/>
        <v>2026-02</v>
      </c>
    </row>
    <row r="726" ht="15.75" customHeight="1">
      <c r="A726" s="19">
        <v>46081.0</v>
      </c>
      <c r="B726" s="20" t="s">
        <v>18</v>
      </c>
      <c r="C726" s="20">
        <v>50.0</v>
      </c>
      <c r="D726" s="21"/>
      <c r="E726" s="11">
        <f>IF(J726="","", C726 * IFERROR(VLOOKUP(J726, SETUP!$A:$D, 3, FALSE), 0))</f>
        <v>25</v>
      </c>
      <c r="F726" s="11">
        <f>IF(J726="","", C726 * IFERROR(VLOOKUP(J726, SETUP!$A:$D, 4, FALSE), 0))</f>
        <v>25</v>
      </c>
      <c r="G726" s="11">
        <f t="shared" si="1"/>
        <v>25</v>
      </c>
      <c r="H726" s="22"/>
      <c r="I726" s="11"/>
      <c r="J726" s="17" t="str">
        <f>IF(TRIM(B726)="","",IF(ISNUMBER(SEARCH(" - ",B726)),TRIM(RIGHT(B726,LEN(B726)-FIND(" - ",B726)-2)),IFERROR(VLOOKUP(UPPER(TRIM(B726)), SETUP!$B$4:$C$11, 2, FALSE), UPPER(TRIM(B726)))))</f>
        <v>CRIS</v>
      </c>
      <c r="K726" s="23">
        <f t="shared" si="2"/>
        <v>46076</v>
      </c>
      <c r="L726" s="17">
        <f t="shared" si="3"/>
        <v>46081</v>
      </c>
      <c r="M726" s="17" t="str">
        <f t="shared" si="4"/>
        <v>2026-02</v>
      </c>
    </row>
    <row r="727" ht="15.75" customHeight="1">
      <c r="A727" s="19">
        <v>46081.0</v>
      </c>
      <c r="B727" s="20" t="s">
        <v>18</v>
      </c>
      <c r="C727" s="20">
        <v>15.0</v>
      </c>
      <c r="D727" s="21"/>
      <c r="E727" s="11">
        <f>IF(J727="","", C727 * IFERROR(VLOOKUP(J727, SETUP!$A:$D, 3, FALSE), 0))</f>
        <v>7.5</v>
      </c>
      <c r="F727" s="11">
        <f>IF(J727="","", C727 * IFERROR(VLOOKUP(J727, SETUP!$A:$D, 4, FALSE), 0))</f>
        <v>7.5</v>
      </c>
      <c r="G727" s="11">
        <f t="shared" si="1"/>
        <v>7.5</v>
      </c>
      <c r="H727" s="22"/>
      <c r="I727" s="11"/>
      <c r="J727" s="17" t="str">
        <f>IF(TRIM(B727)="","",IF(ISNUMBER(SEARCH(" - ",B727)),TRIM(RIGHT(B727,LEN(B727)-FIND(" - ",B727)-2)),IFERROR(VLOOKUP(UPPER(TRIM(B727)), SETUP!$B$4:$C$11, 2, FALSE), UPPER(TRIM(B727)))))</f>
        <v>CRIS</v>
      </c>
      <c r="K727" s="23">
        <f t="shared" si="2"/>
        <v>46076</v>
      </c>
      <c r="L727" s="17">
        <f t="shared" si="3"/>
        <v>46081</v>
      </c>
      <c r="M727" s="17" t="str">
        <f t="shared" si="4"/>
        <v>2026-02</v>
      </c>
    </row>
    <row r="728" ht="15.75" customHeight="1">
      <c r="A728" s="19">
        <v>46081.0</v>
      </c>
      <c r="B728" s="20" t="s">
        <v>18</v>
      </c>
      <c r="C728" s="20">
        <v>40.0</v>
      </c>
      <c r="D728" s="21"/>
      <c r="E728" s="11">
        <f>IF(J728="","", C728 * IFERROR(VLOOKUP(J728, SETUP!$A:$D, 3, FALSE), 0))</f>
        <v>20</v>
      </c>
      <c r="F728" s="11">
        <f>IF(J728="","", C728 * IFERROR(VLOOKUP(J728, SETUP!$A:$D, 4, FALSE), 0))</f>
        <v>20</v>
      </c>
      <c r="G728" s="11">
        <f t="shared" si="1"/>
        <v>20</v>
      </c>
      <c r="H728" s="22"/>
      <c r="I728" s="11"/>
      <c r="J728" s="17" t="str">
        <f>IF(TRIM(B728)="","",IF(ISNUMBER(SEARCH(" - ",B728)),TRIM(RIGHT(B728,LEN(B728)-FIND(" - ",B728)-2)),IFERROR(VLOOKUP(UPPER(TRIM(B728)), SETUP!$B$4:$C$11, 2, FALSE), UPPER(TRIM(B728)))))</f>
        <v>CRIS</v>
      </c>
      <c r="K728" s="23">
        <f t="shared" si="2"/>
        <v>46076</v>
      </c>
      <c r="L728" s="17">
        <f t="shared" si="3"/>
        <v>46081</v>
      </c>
      <c r="M728" s="17" t="str">
        <f t="shared" si="4"/>
        <v>2026-02</v>
      </c>
    </row>
    <row r="729" ht="15.75" customHeight="1">
      <c r="A729" s="19">
        <v>46081.0</v>
      </c>
      <c r="B729" s="20" t="s">
        <v>18</v>
      </c>
      <c r="C729" s="20">
        <v>50.0</v>
      </c>
      <c r="D729" s="21"/>
      <c r="E729" s="11">
        <f>IF(J729="","", C729 * IFERROR(VLOOKUP(J729, SETUP!$A:$D, 3, FALSE), 0))</f>
        <v>25</v>
      </c>
      <c r="F729" s="11">
        <f>IF(J729="","", C729 * IFERROR(VLOOKUP(J729, SETUP!$A:$D, 4, FALSE), 0))</f>
        <v>25</v>
      </c>
      <c r="G729" s="11">
        <f t="shared" si="1"/>
        <v>25</v>
      </c>
      <c r="H729" s="22"/>
      <c r="I729" s="11"/>
      <c r="J729" s="17" t="str">
        <f>IF(TRIM(B729)="","",IF(ISNUMBER(SEARCH(" - ",B729)),TRIM(RIGHT(B729,LEN(B729)-FIND(" - ",B729)-2)),IFERROR(VLOOKUP(UPPER(TRIM(B729)), SETUP!$B$4:$C$11, 2, FALSE), UPPER(TRIM(B729)))))</f>
        <v>CRIS</v>
      </c>
      <c r="K729" s="23">
        <f t="shared" si="2"/>
        <v>46076</v>
      </c>
      <c r="L729" s="17">
        <f t="shared" si="3"/>
        <v>46081</v>
      </c>
      <c r="M729" s="17" t="str">
        <f t="shared" si="4"/>
        <v>2026-02</v>
      </c>
    </row>
    <row r="730" ht="15.75" customHeight="1">
      <c r="A730" s="19">
        <v>46081.0</v>
      </c>
      <c r="B730" s="20" t="s">
        <v>18</v>
      </c>
      <c r="C730" s="20">
        <v>65.0</v>
      </c>
      <c r="D730" s="21"/>
      <c r="E730" s="11">
        <f>IF(J730="","", C730 * IFERROR(VLOOKUP(J730, SETUP!$A:$D, 3, FALSE), 0))</f>
        <v>32.5</v>
      </c>
      <c r="F730" s="11">
        <f>IF(J730="","", C730 * IFERROR(VLOOKUP(J730, SETUP!$A:$D, 4, FALSE), 0))</f>
        <v>32.5</v>
      </c>
      <c r="G730" s="11">
        <f t="shared" si="1"/>
        <v>32.5</v>
      </c>
      <c r="H730" s="22"/>
      <c r="I730" s="11"/>
      <c r="J730" s="17" t="str">
        <f>IF(TRIM(B730)="","",IF(ISNUMBER(SEARCH(" - ",B730)),TRIM(RIGHT(B730,LEN(B730)-FIND(" - ",B730)-2)),IFERROR(VLOOKUP(UPPER(TRIM(B730)), SETUP!$B$4:$C$11, 2, FALSE), UPPER(TRIM(B730)))))</f>
        <v>CRIS</v>
      </c>
      <c r="K730" s="23">
        <f t="shared" si="2"/>
        <v>46076</v>
      </c>
      <c r="L730" s="17">
        <f t="shared" si="3"/>
        <v>46081</v>
      </c>
      <c r="M730" s="17" t="str">
        <f t="shared" si="4"/>
        <v>2026-02</v>
      </c>
    </row>
    <row r="731" ht="15.75" customHeight="1">
      <c r="A731" s="19">
        <v>46081.0</v>
      </c>
      <c r="B731" s="20" t="s">
        <v>18</v>
      </c>
      <c r="C731" s="20">
        <v>30.0</v>
      </c>
      <c r="D731" s="21"/>
      <c r="E731" s="11">
        <f>IF(J731="","", C731 * IFERROR(VLOOKUP(J731, SETUP!$A:$D, 3, FALSE), 0))</f>
        <v>15</v>
      </c>
      <c r="F731" s="11">
        <f>IF(J731="","", C731 * IFERROR(VLOOKUP(J731, SETUP!$A:$D, 4, FALSE), 0))</f>
        <v>15</v>
      </c>
      <c r="G731" s="11">
        <f t="shared" si="1"/>
        <v>15</v>
      </c>
      <c r="H731" s="22"/>
      <c r="I731" s="11"/>
      <c r="J731" s="17" t="str">
        <f>IF(TRIM(B731)="","",IF(ISNUMBER(SEARCH(" - ",B731)),TRIM(RIGHT(B731,LEN(B731)-FIND(" - ",B731)-2)),IFERROR(VLOOKUP(UPPER(TRIM(B731)), SETUP!$B$4:$C$11, 2, FALSE), UPPER(TRIM(B731)))))</f>
        <v>CRIS</v>
      </c>
      <c r="K731" s="23">
        <f t="shared" si="2"/>
        <v>46076</v>
      </c>
      <c r="L731" s="17">
        <f t="shared" si="3"/>
        <v>46081</v>
      </c>
      <c r="M731" s="17" t="str">
        <f t="shared" si="4"/>
        <v>2026-02</v>
      </c>
    </row>
    <row r="732" ht="15.75" customHeight="1">
      <c r="A732" s="19">
        <v>46081.0</v>
      </c>
      <c r="B732" s="20" t="s">
        <v>18</v>
      </c>
      <c r="C732" s="20">
        <v>30.0</v>
      </c>
      <c r="D732" s="21"/>
      <c r="E732" s="11">
        <f>IF(J732="","", C732 * IFERROR(VLOOKUP(J732, SETUP!$A:$D, 3, FALSE), 0))</f>
        <v>15</v>
      </c>
      <c r="F732" s="11">
        <f>IF(J732="","", C732 * IFERROR(VLOOKUP(J732, SETUP!$A:$D, 4, FALSE), 0))</f>
        <v>15</v>
      </c>
      <c r="G732" s="11">
        <f t="shared" si="1"/>
        <v>15</v>
      </c>
      <c r="H732" s="22"/>
      <c r="I732" s="11"/>
      <c r="J732" s="17" t="str">
        <f>IF(TRIM(B732)="","",IF(ISNUMBER(SEARCH(" - ",B732)),TRIM(RIGHT(B732,LEN(B732)-FIND(" - ",B732)-2)),IFERROR(VLOOKUP(UPPER(TRIM(B732)), SETUP!$B$4:$C$11, 2, FALSE), UPPER(TRIM(B732)))))</f>
        <v>CRIS</v>
      </c>
      <c r="K732" s="23">
        <f t="shared" si="2"/>
        <v>46076</v>
      </c>
      <c r="L732" s="17">
        <f t="shared" si="3"/>
        <v>46081</v>
      </c>
      <c r="M732" s="17" t="str">
        <f t="shared" si="4"/>
        <v>2026-02</v>
      </c>
    </row>
    <row r="733" ht="15.75" customHeight="1">
      <c r="A733" s="19">
        <v>46081.0</v>
      </c>
      <c r="B733" s="20" t="s">
        <v>18</v>
      </c>
      <c r="C733" s="20">
        <v>50.0</v>
      </c>
      <c r="D733" s="21"/>
      <c r="E733" s="11">
        <f>IF(J733="","", C733 * IFERROR(VLOOKUP(J733, SETUP!$A:$D, 3, FALSE), 0))</f>
        <v>25</v>
      </c>
      <c r="F733" s="11">
        <f>IF(J733="","", C733 * IFERROR(VLOOKUP(J733, SETUP!$A:$D, 4, FALSE), 0))</f>
        <v>25</v>
      </c>
      <c r="G733" s="11">
        <f t="shared" si="1"/>
        <v>25</v>
      </c>
      <c r="H733" s="22"/>
      <c r="I733" s="11"/>
      <c r="J733" s="17" t="str">
        <f>IF(TRIM(B733)="","",IF(ISNUMBER(SEARCH(" - ",B733)),TRIM(RIGHT(B733,LEN(B733)-FIND(" - ",B733)-2)),IFERROR(VLOOKUP(UPPER(TRIM(B733)), SETUP!$B$4:$C$11, 2, FALSE), UPPER(TRIM(B733)))))</f>
        <v>CRIS</v>
      </c>
      <c r="K733" s="23">
        <f t="shared" si="2"/>
        <v>46076</v>
      </c>
      <c r="L733" s="17">
        <f t="shared" si="3"/>
        <v>46081</v>
      </c>
      <c r="M733" s="17" t="str">
        <f t="shared" si="4"/>
        <v>2026-02</v>
      </c>
    </row>
    <row r="734" ht="15.75" customHeight="1">
      <c r="A734" s="19">
        <v>46081.0</v>
      </c>
      <c r="B734" s="20" t="s">
        <v>18</v>
      </c>
      <c r="C734" s="20">
        <v>50.0</v>
      </c>
      <c r="D734" s="21"/>
      <c r="E734" s="11">
        <f>IF(J734="","", C734 * IFERROR(VLOOKUP(J734, SETUP!$A:$D, 3, FALSE), 0))</f>
        <v>25</v>
      </c>
      <c r="F734" s="11">
        <f>IF(J734="","", C734 * IFERROR(VLOOKUP(J734, SETUP!$A:$D, 4, FALSE), 0))</f>
        <v>25</v>
      </c>
      <c r="G734" s="11">
        <f t="shared" si="1"/>
        <v>25</v>
      </c>
      <c r="H734" s="22"/>
      <c r="I734" s="11"/>
      <c r="J734" s="17" t="str">
        <f>IF(TRIM(B734)="","",IF(ISNUMBER(SEARCH(" - ",B734)),TRIM(RIGHT(B734,LEN(B734)-FIND(" - ",B734)-2)),IFERROR(VLOOKUP(UPPER(TRIM(B734)), SETUP!$B$4:$C$11, 2, FALSE), UPPER(TRIM(B734)))))</f>
        <v>CRIS</v>
      </c>
      <c r="K734" s="23">
        <f t="shared" si="2"/>
        <v>46076</v>
      </c>
      <c r="L734" s="17">
        <f t="shared" si="3"/>
        <v>46081</v>
      </c>
      <c r="M734" s="17" t="str">
        <f t="shared" si="4"/>
        <v>2026-02</v>
      </c>
    </row>
    <row r="735" ht="15.75" customHeight="1">
      <c r="A735" s="19">
        <v>46081.0</v>
      </c>
      <c r="B735" s="20" t="s">
        <v>18</v>
      </c>
      <c r="C735" s="20">
        <v>65.0</v>
      </c>
      <c r="D735" s="21"/>
      <c r="E735" s="11">
        <f>IF(J735="","", C735 * IFERROR(VLOOKUP(J735, SETUP!$A:$D, 3, FALSE), 0))</f>
        <v>32.5</v>
      </c>
      <c r="F735" s="11">
        <f>IF(J735="","", C735 * IFERROR(VLOOKUP(J735, SETUP!$A:$D, 4, FALSE), 0))</f>
        <v>32.5</v>
      </c>
      <c r="G735" s="11">
        <f t="shared" si="1"/>
        <v>32.5</v>
      </c>
      <c r="H735" s="22"/>
      <c r="I735" s="11"/>
      <c r="J735" s="17" t="str">
        <f>IF(TRIM(B735)="","",IF(ISNUMBER(SEARCH(" - ",B735)),TRIM(RIGHT(B735,LEN(B735)-FIND(" - ",B735)-2)),IFERROR(VLOOKUP(UPPER(TRIM(B735)), SETUP!$B$4:$C$11, 2, FALSE), UPPER(TRIM(B735)))))</f>
        <v>CRIS</v>
      </c>
      <c r="K735" s="23">
        <f t="shared" si="2"/>
        <v>46076</v>
      </c>
      <c r="L735" s="17">
        <f t="shared" si="3"/>
        <v>46081</v>
      </c>
      <c r="M735" s="17" t="str">
        <f t="shared" si="4"/>
        <v>2026-02</v>
      </c>
    </row>
    <row r="736" ht="15.75" customHeight="1">
      <c r="A736" s="19">
        <v>46081.0</v>
      </c>
      <c r="B736" s="20" t="s">
        <v>19</v>
      </c>
      <c r="C736" s="20">
        <v>67.0</v>
      </c>
      <c r="D736" s="21"/>
      <c r="E736" s="11">
        <f>IF(J736="","", C736 * IFERROR(VLOOKUP(J736, SETUP!$A:$D, 3, FALSE), 0))</f>
        <v>0</v>
      </c>
      <c r="F736" s="11">
        <f>IF(J736="","", C736 * IFERROR(VLOOKUP(J736, SETUP!$A:$D, 4, FALSE), 0))</f>
        <v>67</v>
      </c>
      <c r="G736" s="11">
        <f t="shared" si="1"/>
        <v>67</v>
      </c>
      <c r="H736" s="22"/>
      <c r="I736" s="11"/>
      <c r="J736" s="17" t="str">
        <f>IF(TRIM(B736)="","",IF(ISNUMBER(SEARCH(" - ",B736)),TRIM(RIGHT(B736,LEN(B736)-FIND(" - ",B736)-2)),IFERROR(VLOOKUP(UPPER(TRIM(B736)), SETUP!$B$4:$C$11, 2, FALSE), UPPER(TRIM(B736)))))</f>
        <v>HANNI</v>
      </c>
      <c r="K736" s="23">
        <f t="shared" si="2"/>
        <v>46076</v>
      </c>
      <c r="L736" s="17">
        <f t="shared" si="3"/>
        <v>46081</v>
      </c>
      <c r="M736" s="17" t="str">
        <f t="shared" si="4"/>
        <v>2026-02</v>
      </c>
    </row>
    <row r="737" ht="15.75" customHeight="1">
      <c r="A737" s="19">
        <v>46081.0</v>
      </c>
      <c r="B737" s="20" t="s">
        <v>19</v>
      </c>
      <c r="C737" s="20">
        <v>137.0</v>
      </c>
      <c r="D737" s="21"/>
      <c r="E737" s="11">
        <f>IF(J737="","", C737 * IFERROR(VLOOKUP(J737, SETUP!$A:$D, 3, FALSE), 0))</f>
        <v>0</v>
      </c>
      <c r="F737" s="11">
        <f>IF(J737="","", C737 * IFERROR(VLOOKUP(J737, SETUP!$A:$D, 4, FALSE), 0))</f>
        <v>137</v>
      </c>
      <c r="G737" s="11">
        <f t="shared" si="1"/>
        <v>137</v>
      </c>
      <c r="H737" s="22"/>
      <c r="I737" s="11"/>
      <c r="J737" s="17" t="str">
        <f>IF(TRIM(B737)="","",IF(ISNUMBER(SEARCH(" - ",B737)),TRIM(RIGHT(B737,LEN(B737)-FIND(" - ",B737)-2)),IFERROR(VLOOKUP(UPPER(TRIM(B737)), SETUP!$B$4:$C$11, 2, FALSE), UPPER(TRIM(B737)))))</f>
        <v>HANNI</v>
      </c>
      <c r="K737" s="23">
        <f t="shared" si="2"/>
        <v>46076</v>
      </c>
      <c r="L737" s="17">
        <f t="shared" si="3"/>
        <v>46081</v>
      </c>
      <c r="M737" s="17" t="str">
        <f t="shared" si="4"/>
        <v>2026-02</v>
      </c>
    </row>
    <row r="738" ht="15.75" customHeight="1">
      <c r="A738" s="19">
        <v>46081.0</v>
      </c>
      <c r="B738" s="20" t="s">
        <v>19</v>
      </c>
      <c r="C738" s="20">
        <v>57.0</v>
      </c>
      <c r="D738" s="21"/>
      <c r="E738" s="11">
        <f>IF(J738="","", C738 * IFERROR(VLOOKUP(J738, SETUP!$A:$D, 3, FALSE), 0))</f>
        <v>0</v>
      </c>
      <c r="F738" s="11">
        <f>IF(J738="","", C738 * IFERROR(VLOOKUP(J738, SETUP!$A:$D, 4, FALSE), 0))</f>
        <v>57</v>
      </c>
      <c r="G738" s="11">
        <f t="shared" si="1"/>
        <v>57</v>
      </c>
      <c r="H738" s="22"/>
      <c r="I738" s="11"/>
      <c r="J738" s="17" t="str">
        <f>IF(TRIM(B738)="","",IF(ISNUMBER(SEARCH(" - ",B738)),TRIM(RIGHT(B738,LEN(B738)-FIND(" - ",B738)-2)),IFERROR(VLOOKUP(UPPER(TRIM(B738)), SETUP!$B$4:$C$11, 2, FALSE), UPPER(TRIM(B738)))))</f>
        <v>HANNI</v>
      </c>
      <c r="K738" s="23">
        <f t="shared" si="2"/>
        <v>46076</v>
      </c>
      <c r="L738" s="17">
        <f t="shared" si="3"/>
        <v>46081</v>
      </c>
      <c r="M738" s="17" t="str">
        <f t="shared" si="4"/>
        <v>2026-02</v>
      </c>
    </row>
    <row r="739" ht="15.75" customHeight="1">
      <c r="A739" s="19">
        <v>46081.0</v>
      </c>
      <c r="B739" s="20" t="s">
        <v>19</v>
      </c>
      <c r="C739" s="20">
        <v>75.0</v>
      </c>
      <c r="D739" s="21"/>
      <c r="E739" s="11">
        <f>IF(J739="","", C739 * IFERROR(VLOOKUP(J739, SETUP!$A:$D, 3, FALSE), 0))</f>
        <v>0</v>
      </c>
      <c r="F739" s="11">
        <f>IF(J739="","", C739 * IFERROR(VLOOKUP(J739, SETUP!$A:$D, 4, FALSE), 0))</f>
        <v>75</v>
      </c>
      <c r="G739" s="11">
        <f t="shared" si="1"/>
        <v>75</v>
      </c>
      <c r="H739" s="22"/>
      <c r="I739" s="11"/>
      <c r="J739" s="17" t="str">
        <f>IF(TRIM(B739)="","",IF(ISNUMBER(SEARCH(" - ",B739)),TRIM(RIGHT(B739,LEN(B739)-FIND(" - ",B739)-2)),IFERROR(VLOOKUP(UPPER(TRIM(B739)), SETUP!$B$4:$C$11, 2, FALSE), UPPER(TRIM(B739)))))</f>
        <v>HANNI</v>
      </c>
      <c r="K739" s="23">
        <f t="shared" si="2"/>
        <v>46076</v>
      </c>
      <c r="L739" s="17">
        <f t="shared" si="3"/>
        <v>46081</v>
      </c>
      <c r="M739" s="17" t="str">
        <f t="shared" si="4"/>
        <v>2026-02</v>
      </c>
    </row>
    <row r="740" ht="15.75" customHeight="1">
      <c r="A740" s="19">
        <v>46081.0</v>
      </c>
      <c r="B740" s="20" t="s">
        <v>19</v>
      </c>
      <c r="C740" s="20">
        <v>80.0</v>
      </c>
      <c r="D740" s="21"/>
      <c r="E740" s="11">
        <f>IF(J740="","", C740 * IFERROR(VLOOKUP(J740, SETUP!$A:$D, 3, FALSE), 0))</f>
        <v>0</v>
      </c>
      <c r="F740" s="11">
        <f>IF(J740="","", C740 * IFERROR(VLOOKUP(J740, SETUP!$A:$D, 4, FALSE), 0))</f>
        <v>80</v>
      </c>
      <c r="G740" s="11">
        <f t="shared" si="1"/>
        <v>80</v>
      </c>
      <c r="H740" s="22"/>
      <c r="I740" s="11"/>
      <c r="J740" s="17" t="str">
        <f>IF(TRIM(B740)="","",IF(ISNUMBER(SEARCH(" - ",B740)),TRIM(RIGHT(B740,LEN(B740)-FIND(" - ",B740)-2)),IFERROR(VLOOKUP(UPPER(TRIM(B740)), SETUP!$B$4:$C$11, 2, FALSE), UPPER(TRIM(B740)))))</f>
        <v>HANNI</v>
      </c>
      <c r="K740" s="23">
        <f t="shared" si="2"/>
        <v>46076</v>
      </c>
      <c r="L740" s="17">
        <f t="shared" si="3"/>
        <v>46081</v>
      </c>
      <c r="M740" s="17" t="str">
        <f t="shared" si="4"/>
        <v>2026-02</v>
      </c>
    </row>
    <row r="741" ht="15.75" customHeight="1">
      <c r="A741" s="19">
        <v>46081.0</v>
      </c>
      <c r="B741" s="20" t="s">
        <v>20</v>
      </c>
      <c r="C741" s="20">
        <v>52.0</v>
      </c>
      <c r="D741" s="21"/>
      <c r="E741" s="11">
        <f>IF(J741="","", C741 * IFERROR(VLOOKUP(J741, SETUP!$A:$D, 3, FALSE), 0))</f>
        <v>31.2</v>
      </c>
      <c r="F741" s="11">
        <f>IF(J741="","", C741 * IFERROR(VLOOKUP(J741, SETUP!$A:$D, 4, FALSE), 0))</f>
        <v>20.8</v>
      </c>
      <c r="G741" s="11">
        <f t="shared" si="1"/>
        <v>20.8</v>
      </c>
      <c r="H741" s="22"/>
      <c r="I741" s="11"/>
      <c r="J741" s="17" t="str">
        <f>IF(TRIM(B741)="","",IF(ISNUMBER(SEARCH(" - ",B741)),TRIM(RIGHT(B741,LEN(B741)-FIND(" - ",B741)-2)),IFERROR(VLOOKUP(UPPER(TRIM(B741)), SETUP!$B$4:$C$11, 2, FALSE), UPPER(TRIM(B741)))))</f>
        <v>AMY</v>
      </c>
      <c r="K741" s="23">
        <f t="shared" si="2"/>
        <v>46076</v>
      </c>
      <c r="L741" s="17">
        <f t="shared" si="3"/>
        <v>46081</v>
      </c>
      <c r="M741" s="17" t="str">
        <f t="shared" si="4"/>
        <v>2026-02</v>
      </c>
    </row>
    <row r="742" ht="15.75" customHeight="1">
      <c r="A742" s="19">
        <v>46081.0</v>
      </c>
      <c r="B742" s="20" t="s">
        <v>20</v>
      </c>
      <c r="C742" s="20">
        <v>47.0</v>
      </c>
      <c r="D742" s="21"/>
      <c r="E742" s="11">
        <f>IF(J742="","", C742 * IFERROR(VLOOKUP(J742, SETUP!$A:$D, 3, FALSE), 0))</f>
        <v>28.2</v>
      </c>
      <c r="F742" s="11">
        <f>IF(J742="","", C742 * IFERROR(VLOOKUP(J742, SETUP!$A:$D, 4, FALSE), 0))</f>
        <v>18.8</v>
      </c>
      <c r="G742" s="11">
        <f t="shared" si="1"/>
        <v>18.8</v>
      </c>
      <c r="H742" s="22"/>
      <c r="I742" s="11"/>
      <c r="J742" s="17" t="str">
        <f>IF(TRIM(B742)="","",IF(ISNUMBER(SEARCH(" - ",B742)),TRIM(RIGHT(B742,LEN(B742)-FIND(" - ",B742)-2)),IFERROR(VLOOKUP(UPPER(TRIM(B742)), SETUP!$B$4:$C$11, 2, FALSE), UPPER(TRIM(B742)))))</f>
        <v>AMY</v>
      </c>
      <c r="K742" s="23">
        <f t="shared" si="2"/>
        <v>46076</v>
      </c>
      <c r="L742" s="17">
        <f t="shared" si="3"/>
        <v>46081</v>
      </c>
      <c r="M742" s="17" t="str">
        <f t="shared" si="4"/>
        <v>2026-02</v>
      </c>
    </row>
    <row r="743" ht="15.75" customHeight="1">
      <c r="A743" s="19">
        <v>46081.0</v>
      </c>
      <c r="B743" s="20" t="s">
        <v>20</v>
      </c>
      <c r="C743" s="20">
        <v>65.0</v>
      </c>
      <c r="D743" s="21"/>
      <c r="E743" s="11">
        <f>IF(J743="","", C743 * IFERROR(VLOOKUP(J743, SETUP!$A:$D, 3, FALSE), 0))</f>
        <v>39</v>
      </c>
      <c r="F743" s="11">
        <f>IF(J743="","", C743 * IFERROR(VLOOKUP(J743, SETUP!$A:$D, 4, FALSE), 0))</f>
        <v>26</v>
      </c>
      <c r="G743" s="11">
        <f t="shared" si="1"/>
        <v>26</v>
      </c>
      <c r="H743" s="22"/>
      <c r="I743" s="11"/>
      <c r="J743" s="17" t="str">
        <f>IF(TRIM(B743)="","",IF(ISNUMBER(SEARCH(" - ",B743)),TRIM(RIGHT(B743,LEN(B743)-FIND(" - ",B743)-2)),IFERROR(VLOOKUP(UPPER(TRIM(B743)), SETUP!$B$4:$C$11, 2, FALSE), UPPER(TRIM(B743)))))</f>
        <v>AMY</v>
      </c>
      <c r="K743" s="23">
        <f t="shared" si="2"/>
        <v>46076</v>
      </c>
      <c r="L743" s="17">
        <f t="shared" si="3"/>
        <v>46081</v>
      </c>
      <c r="M743" s="17" t="str">
        <f t="shared" si="4"/>
        <v>2026-02</v>
      </c>
    </row>
    <row r="744" ht="15.75" customHeight="1">
      <c r="A744" s="19">
        <v>46081.0</v>
      </c>
      <c r="B744" s="20" t="s">
        <v>20</v>
      </c>
      <c r="C744" s="20">
        <v>85.0</v>
      </c>
      <c r="D744" s="21"/>
      <c r="E744" s="11">
        <f>IF(J744="","", C744 * IFERROR(VLOOKUP(J744, SETUP!$A:$D, 3, FALSE), 0))</f>
        <v>51</v>
      </c>
      <c r="F744" s="11">
        <f>IF(J744="","", C744 * IFERROR(VLOOKUP(J744, SETUP!$A:$D, 4, FALSE), 0))</f>
        <v>34</v>
      </c>
      <c r="G744" s="11">
        <f t="shared" si="1"/>
        <v>34</v>
      </c>
      <c r="H744" s="22"/>
      <c r="I744" s="11"/>
      <c r="J744" s="17" t="str">
        <f>IF(TRIM(B744)="","",IF(ISNUMBER(SEARCH(" - ",B744)),TRIM(RIGHT(B744,LEN(B744)-FIND(" - ",B744)-2)),IFERROR(VLOOKUP(UPPER(TRIM(B744)), SETUP!$B$4:$C$11, 2, FALSE), UPPER(TRIM(B744)))))</f>
        <v>AMY</v>
      </c>
      <c r="K744" s="23">
        <f t="shared" si="2"/>
        <v>46076</v>
      </c>
      <c r="L744" s="17">
        <f t="shared" si="3"/>
        <v>46081</v>
      </c>
      <c r="M744" s="17" t="str">
        <f t="shared" si="4"/>
        <v>2026-02</v>
      </c>
    </row>
    <row r="745" ht="15.75" customHeight="1">
      <c r="A745" s="19">
        <v>46081.0</v>
      </c>
      <c r="B745" s="20" t="s">
        <v>20</v>
      </c>
      <c r="C745" s="20">
        <v>102.0</v>
      </c>
      <c r="D745" s="21"/>
      <c r="E745" s="11">
        <f>IF(J745="","", C745 * IFERROR(VLOOKUP(J745, SETUP!$A:$D, 3, FALSE), 0))</f>
        <v>61.2</v>
      </c>
      <c r="F745" s="11">
        <f>IF(J745="","", C745 * IFERROR(VLOOKUP(J745, SETUP!$A:$D, 4, FALSE), 0))</f>
        <v>40.8</v>
      </c>
      <c r="G745" s="11">
        <f t="shared" si="1"/>
        <v>40.8</v>
      </c>
      <c r="H745" s="22"/>
      <c r="I745" s="11"/>
      <c r="J745" s="17" t="str">
        <f>IF(TRIM(B745)="","",IF(ISNUMBER(SEARCH(" - ",B745)),TRIM(RIGHT(B745,LEN(B745)-FIND(" - ",B745)-2)),IFERROR(VLOOKUP(UPPER(TRIM(B745)), SETUP!$B$4:$C$11, 2, FALSE), UPPER(TRIM(B745)))))</f>
        <v>AMY</v>
      </c>
      <c r="K745" s="23">
        <f t="shared" si="2"/>
        <v>46076</v>
      </c>
      <c r="L745" s="17">
        <f t="shared" si="3"/>
        <v>46081</v>
      </c>
      <c r="M745" s="17" t="str">
        <f t="shared" si="4"/>
        <v>2026-02</v>
      </c>
    </row>
    <row r="746" ht="15.75" customHeight="1">
      <c r="A746" s="19">
        <v>46081.0</v>
      </c>
      <c r="B746" s="20" t="s">
        <v>20</v>
      </c>
      <c r="C746" s="20">
        <v>57.0</v>
      </c>
      <c r="D746" s="21"/>
      <c r="E746" s="11">
        <f>IF(J746="","", C746 * IFERROR(VLOOKUP(J746, SETUP!$A:$D, 3, FALSE), 0))</f>
        <v>34.2</v>
      </c>
      <c r="F746" s="11">
        <f>IF(J746="","", C746 * IFERROR(VLOOKUP(J746, SETUP!$A:$D, 4, FALSE), 0))</f>
        <v>22.8</v>
      </c>
      <c r="G746" s="11">
        <f t="shared" si="1"/>
        <v>22.8</v>
      </c>
      <c r="H746" s="22"/>
      <c r="I746" s="11"/>
      <c r="J746" s="17" t="str">
        <f>IF(TRIM(B746)="","",IF(ISNUMBER(SEARCH(" - ",B746)),TRIM(RIGHT(B746,LEN(B746)-FIND(" - ",B746)-2)),IFERROR(VLOOKUP(UPPER(TRIM(B746)), SETUP!$B$4:$C$11, 2, FALSE), UPPER(TRIM(B746)))))</f>
        <v>AMY</v>
      </c>
      <c r="K746" s="23">
        <f t="shared" si="2"/>
        <v>46076</v>
      </c>
      <c r="L746" s="17">
        <f t="shared" si="3"/>
        <v>46081</v>
      </c>
      <c r="M746" s="17" t="str">
        <f t="shared" si="4"/>
        <v>2026-02</v>
      </c>
    </row>
    <row r="747" ht="15.75" customHeight="1">
      <c r="A747" s="19">
        <v>46081.0</v>
      </c>
      <c r="B747" s="20" t="s">
        <v>20</v>
      </c>
      <c r="C747" s="20">
        <v>85.0</v>
      </c>
      <c r="D747" s="21"/>
      <c r="E747" s="11">
        <f>IF(J747="","", C747 * IFERROR(VLOOKUP(J747, SETUP!$A:$D, 3, FALSE), 0))</f>
        <v>51</v>
      </c>
      <c r="F747" s="11">
        <f>IF(J747="","", C747 * IFERROR(VLOOKUP(J747, SETUP!$A:$D, 4, FALSE), 0))</f>
        <v>34</v>
      </c>
      <c r="G747" s="11">
        <f t="shared" si="1"/>
        <v>34</v>
      </c>
      <c r="H747" s="22"/>
      <c r="I747" s="11"/>
      <c r="J747" s="17" t="str">
        <f>IF(TRIM(B747)="","",IF(ISNUMBER(SEARCH(" - ",B747)),TRIM(RIGHT(B747,LEN(B747)-FIND(" - ",B747)-2)),IFERROR(VLOOKUP(UPPER(TRIM(B747)), SETUP!$B$4:$C$11, 2, FALSE), UPPER(TRIM(B747)))))</f>
        <v>AMY</v>
      </c>
      <c r="K747" s="23">
        <f t="shared" si="2"/>
        <v>46076</v>
      </c>
      <c r="L747" s="17">
        <f t="shared" si="3"/>
        <v>46081</v>
      </c>
      <c r="M747" s="17" t="str">
        <f t="shared" si="4"/>
        <v>2026-02</v>
      </c>
    </row>
    <row r="748" ht="15.75" customHeight="1">
      <c r="A748" s="19">
        <v>46081.0</v>
      </c>
      <c r="B748" s="20" t="s">
        <v>21</v>
      </c>
      <c r="C748" s="20">
        <v>20.0</v>
      </c>
      <c r="D748" s="21"/>
      <c r="E748" s="11">
        <f>IF(J748="","", C748 * IFERROR(VLOOKUP(J748, SETUP!$A:$D, 3, FALSE), 0))</f>
        <v>12</v>
      </c>
      <c r="F748" s="11">
        <f>IF(J748="","", C748 * IFERROR(VLOOKUP(J748, SETUP!$A:$D, 4, FALSE), 0))</f>
        <v>8</v>
      </c>
      <c r="G748" s="11">
        <f t="shared" si="1"/>
        <v>8</v>
      </c>
      <c r="H748" s="22"/>
      <c r="I748" s="11"/>
      <c r="J748" s="17" t="str">
        <f>IF(TRIM(B748)="","",IF(ISNUMBER(SEARCH(" - ",B748)),TRIM(RIGHT(B748,LEN(B748)-FIND(" - ",B748)-2)),IFERROR(VLOOKUP(UPPER(TRIM(B748)), SETUP!$B$4:$C$11, 2, FALSE), UPPER(TRIM(B748)))))</f>
        <v>TONY</v>
      </c>
      <c r="K748" s="23">
        <f t="shared" si="2"/>
        <v>46076</v>
      </c>
      <c r="L748" s="17">
        <f t="shared" si="3"/>
        <v>46081</v>
      </c>
      <c r="M748" s="17" t="str">
        <f t="shared" si="4"/>
        <v>2026-02</v>
      </c>
    </row>
    <row r="749" ht="15.75" customHeight="1">
      <c r="A749" s="19">
        <v>46081.0</v>
      </c>
      <c r="B749" s="20" t="s">
        <v>21</v>
      </c>
      <c r="C749" s="20">
        <v>47.0</v>
      </c>
      <c r="D749" s="21"/>
      <c r="E749" s="11">
        <f>IF(J749="","", C749 * IFERROR(VLOOKUP(J749, SETUP!$A:$D, 3, FALSE), 0))</f>
        <v>28.2</v>
      </c>
      <c r="F749" s="11">
        <f>IF(J749="","", C749 * IFERROR(VLOOKUP(J749, SETUP!$A:$D, 4, FALSE), 0))</f>
        <v>18.8</v>
      </c>
      <c r="G749" s="11">
        <f t="shared" si="1"/>
        <v>18.8</v>
      </c>
      <c r="H749" s="22"/>
      <c r="I749" s="11"/>
      <c r="J749" s="17" t="str">
        <f>IF(TRIM(B749)="","",IF(ISNUMBER(SEARCH(" - ",B749)),TRIM(RIGHT(B749,LEN(B749)-FIND(" - ",B749)-2)),IFERROR(VLOOKUP(UPPER(TRIM(B749)), SETUP!$B$4:$C$11, 2, FALSE), UPPER(TRIM(B749)))))</f>
        <v>TONY</v>
      </c>
      <c r="K749" s="23">
        <f t="shared" si="2"/>
        <v>46076</v>
      </c>
      <c r="L749" s="17">
        <f t="shared" si="3"/>
        <v>46081</v>
      </c>
      <c r="M749" s="17" t="str">
        <f t="shared" si="4"/>
        <v>2026-02</v>
      </c>
    </row>
    <row r="750" ht="15.75" customHeight="1">
      <c r="A750" s="19">
        <v>46081.0</v>
      </c>
      <c r="B750" s="20" t="s">
        <v>21</v>
      </c>
      <c r="C750" s="20">
        <v>137.0</v>
      </c>
      <c r="D750" s="21"/>
      <c r="E750" s="11">
        <f>IF(J750="","", C750 * IFERROR(VLOOKUP(J750, SETUP!$A:$D, 3, FALSE), 0))</f>
        <v>82.2</v>
      </c>
      <c r="F750" s="11">
        <f>IF(J750="","", C750 * IFERROR(VLOOKUP(J750, SETUP!$A:$D, 4, FALSE), 0))</f>
        <v>54.8</v>
      </c>
      <c r="G750" s="11">
        <f t="shared" si="1"/>
        <v>54.8</v>
      </c>
      <c r="H750" s="22"/>
      <c r="I750" s="11"/>
      <c r="J750" s="17" t="str">
        <f>IF(TRIM(B750)="","",IF(ISNUMBER(SEARCH(" - ",B750)),TRIM(RIGHT(B750,LEN(B750)-FIND(" - ",B750)-2)),IFERROR(VLOOKUP(UPPER(TRIM(B750)), SETUP!$B$4:$C$11, 2, FALSE), UPPER(TRIM(B750)))))</f>
        <v>TONY</v>
      </c>
      <c r="K750" s="23">
        <f t="shared" si="2"/>
        <v>46076</v>
      </c>
      <c r="L750" s="17">
        <f t="shared" si="3"/>
        <v>46081</v>
      </c>
      <c r="M750" s="17" t="str">
        <f t="shared" si="4"/>
        <v>2026-02</v>
      </c>
    </row>
    <row r="751" ht="15.75" customHeight="1">
      <c r="A751" s="19">
        <v>46081.0</v>
      </c>
      <c r="B751" s="20" t="s">
        <v>21</v>
      </c>
      <c r="C751" s="20">
        <v>62.0</v>
      </c>
      <c r="D751" s="21"/>
      <c r="E751" s="11">
        <f>IF(J751="","", C751 * IFERROR(VLOOKUP(J751, SETUP!$A:$D, 3, FALSE), 0))</f>
        <v>37.2</v>
      </c>
      <c r="F751" s="11">
        <f>IF(J751="","", C751 * IFERROR(VLOOKUP(J751, SETUP!$A:$D, 4, FALSE), 0))</f>
        <v>24.8</v>
      </c>
      <c r="G751" s="11">
        <f t="shared" si="1"/>
        <v>24.8</v>
      </c>
      <c r="H751" s="22"/>
      <c r="I751" s="11"/>
      <c r="J751" s="17" t="str">
        <f>IF(TRIM(B751)="","",IF(ISNUMBER(SEARCH(" - ",B751)),TRIM(RIGHT(B751,LEN(B751)-FIND(" - ",B751)-2)),IFERROR(VLOOKUP(UPPER(TRIM(B751)), SETUP!$B$4:$C$11, 2, FALSE), UPPER(TRIM(B751)))))</f>
        <v>TONY</v>
      </c>
      <c r="K751" s="23">
        <f t="shared" si="2"/>
        <v>46076</v>
      </c>
      <c r="L751" s="17">
        <f t="shared" si="3"/>
        <v>46081</v>
      </c>
      <c r="M751" s="17" t="str">
        <f t="shared" si="4"/>
        <v>2026-02</v>
      </c>
    </row>
    <row r="752" ht="15.75" customHeight="1">
      <c r="A752" s="19">
        <v>46081.0</v>
      </c>
      <c r="B752" s="20" t="s">
        <v>21</v>
      </c>
      <c r="C752" s="20">
        <v>57.0</v>
      </c>
      <c r="D752" s="21"/>
      <c r="E752" s="11">
        <f>IF(J752="","", C752 * IFERROR(VLOOKUP(J752, SETUP!$A:$D, 3, FALSE), 0))</f>
        <v>34.2</v>
      </c>
      <c r="F752" s="11">
        <f>IF(J752="","", C752 * IFERROR(VLOOKUP(J752, SETUP!$A:$D, 4, FALSE), 0))</f>
        <v>22.8</v>
      </c>
      <c r="G752" s="11">
        <f t="shared" si="1"/>
        <v>22.8</v>
      </c>
      <c r="H752" s="22"/>
      <c r="I752" s="11"/>
      <c r="J752" s="17" t="str">
        <f>IF(TRIM(B752)="","",IF(ISNUMBER(SEARCH(" - ",B752)),TRIM(RIGHT(B752,LEN(B752)-FIND(" - ",B752)-2)),IFERROR(VLOOKUP(UPPER(TRIM(B752)), SETUP!$B$4:$C$11, 2, FALSE), UPPER(TRIM(B752)))))</f>
        <v>TONY</v>
      </c>
      <c r="K752" s="23">
        <f t="shared" si="2"/>
        <v>46076</v>
      </c>
      <c r="L752" s="17">
        <f t="shared" si="3"/>
        <v>46081</v>
      </c>
      <c r="M752" s="17" t="str">
        <f t="shared" si="4"/>
        <v>2026-02</v>
      </c>
    </row>
    <row r="753" ht="15.75" customHeight="1">
      <c r="A753" s="19">
        <v>46081.0</v>
      </c>
      <c r="B753" s="20" t="s">
        <v>21</v>
      </c>
      <c r="C753" s="20">
        <v>57.0</v>
      </c>
      <c r="D753" s="21"/>
      <c r="E753" s="11">
        <f>IF(J753="","", C753 * IFERROR(VLOOKUP(J753, SETUP!$A:$D, 3, FALSE), 0))</f>
        <v>34.2</v>
      </c>
      <c r="F753" s="11">
        <f>IF(J753="","", C753 * IFERROR(VLOOKUP(J753, SETUP!$A:$D, 4, FALSE), 0))</f>
        <v>22.8</v>
      </c>
      <c r="G753" s="11">
        <f t="shared" si="1"/>
        <v>22.8</v>
      </c>
      <c r="H753" s="22"/>
      <c r="I753" s="11"/>
      <c r="J753" s="17" t="str">
        <f>IF(TRIM(B753)="","",IF(ISNUMBER(SEARCH(" - ",B753)),TRIM(RIGHT(B753,LEN(B753)-FIND(" - ",B753)-2)),IFERROR(VLOOKUP(UPPER(TRIM(B753)), SETUP!$B$4:$C$11, 2, FALSE), UPPER(TRIM(B753)))))</f>
        <v>TONY</v>
      </c>
      <c r="K753" s="23">
        <f t="shared" si="2"/>
        <v>46076</v>
      </c>
      <c r="L753" s="17">
        <f t="shared" si="3"/>
        <v>46081</v>
      </c>
      <c r="M753" s="17" t="str">
        <f t="shared" si="4"/>
        <v>2026-02</v>
      </c>
    </row>
    <row r="754" ht="15.75" customHeight="1">
      <c r="A754" s="4">
        <v>46082.0</v>
      </c>
      <c r="B754" s="5" t="s">
        <v>17</v>
      </c>
      <c r="C754" s="5">
        <v>72.0</v>
      </c>
      <c r="D754" s="11"/>
      <c r="E754" s="11">
        <f>IF(J754="","", C754 * IFERROR(VLOOKUP(J754, SETUP!$A:$D, 3, FALSE), 0))</f>
        <v>43.2</v>
      </c>
      <c r="F754" s="11">
        <f>IF(J754="","", C754 * IFERROR(VLOOKUP(J754, SETUP!$A:$D, 4, FALSE), 0))</f>
        <v>28.8</v>
      </c>
      <c r="G754" s="11">
        <f t="shared" si="1"/>
        <v>28.8</v>
      </c>
      <c r="H754" s="22"/>
      <c r="I754" s="11"/>
      <c r="J754" s="17" t="str">
        <f>IF(TRIM(B754)="","",IF(ISNUMBER(SEARCH(" - ",B754)),TRIM(RIGHT(B754,LEN(B754)-FIND(" - ",B754)-2)),IFERROR(VLOOKUP(UPPER(TRIM(B754)), SETUP!$B$4:$C$11, 2, FALSE), UPPER(TRIM(B754)))))</f>
        <v>RYAN</v>
      </c>
      <c r="K754" s="23">
        <f t="shared" si="2"/>
        <v>46076</v>
      </c>
      <c r="L754" s="17">
        <f t="shared" si="3"/>
        <v>46082</v>
      </c>
      <c r="M754" s="17" t="str">
        <f t="shared" si="4"/>
        <v>2026-03</v>
      </c>
    </row>
    <row r="755" ht="15.75" customHeight="1">
      <c r="A755" s="4">
        <v>46082.0</v>
      </c>
      <c r="B755" s="5" t="s">
        <v>17</v>
      </c>
      <c r="C755" s="5">
        <v>57.0</v>
      </c>
      <c r="D755" s="11"/>
      <c r="E755" s="11">
        <f>IF(J755="","", C755 * IFERROR(VLOOKUP(J755, SETUP!$A:$D, 3, FALSE), 0))</f>
        <v>34.2</v>
      </c>
      <c r="F755" s="11">
        <f>IF(J755="","", C755 * IFERROR(VLOOKUP(J755, SETUP!$A:$D, 4, FALSE), 0))</f>
        <v>22.8</v>
      </c>
      <c r="G755" s="11">
        <f t="shared" si="1"/>
        <v>22.8</v>
      </c>
      <c r="H755" s="22"/>
      <c r="I755" s="11"/>
      <c r="J755" s="17" t="str">
        <f>IF(TRIM(B755)="","",IF(ISNUMBER(SEARCH(" - ",B755)),TRIM(RIGHT(B755,LEN(B755)-FIND(" - ",B755)-2)),IFERROR(VLOOKUP(UPPER(TRIM(B755)), SETUP!$B$4:$C$11, 2, FALSE), UPPER(TRIM(B755)))))</f>
        <v>RYAN</v>
      </c>
      <c r="K755" s="23">
        <f t="shared" si="2"/>
        <v>46076</v>
      </c>
      <c r="L755" s="17">
        <f t="shared" si="3"/>
        <v>46082</v>
      </c>
      <c r="M755" s="17" t="str">
        <f t="shared" si="4"/>
        <v>2026-03</v>
      </c>
    </row>
    <row r="756" ht="15.75" customHeight="1">
      <c r="A756" s="4">
        <v>46082.0</v>
      </c>
      <c r="B756" s="5" t="s">
        <v>17</v>
      </c>
      <c r="C756" s="5">
        <v>65.0</v>
      </c>
      <c r="D756" s="11"/>
      <c r="E756" s="11">
        <f>IF(J756="","", C756 * IFERROR(VLOOKUP(J756, SETUP!$A:$D, 3, FALSE), 0))</f>
        <v>39</v>
      </c>
      <c r="F756" s="11">
        <f>IF(J756="","", C756 * IFERROR(VLOOKUP(J756, SETUP!$A:$D, 4, FALSE), 0))</f>
        <v>26</v>
      </c>
      <c r="G756" s="11">
        <f t="shared" si="1"/>
        <v>26</v>
      </c>
      <c r="H756" s="22"/>
      <c r="I756" s="11"/>
      <c r="J756" s="17" t="str">
        <f>IF(TRIM(B756)="","",IF(ISNUMBER(SEARCH(" - ",B756)),TRIM(RIGHT(B756,LEN(B756)-FIND(" - ",B756)-2)),IFERROR(VLOOKUP(UPPER(TRIM(B756)), SETUP!$B$4:$C$11, 2, FALSE), UPPER(TRIM(B756)))))</f>
        <v>RYAN</v>
      </c>
      <c r="K756" s="23">
        <f t="shared" si="2"/>
        <v>46076</v>
      </c>
      <c r="L756" s="17">
        <f t="shared" si="3"/>
        <v>46082</v>
      </c>
      <c r="M756" s="17" t="str">
        <f t="shared" si="4"/>
        <v>2026-03</v>
      </c>
    </row>
    <row r="757" ht="15.75" customHeight="1">
      <c r="A757" s="4">
        <v>46082.0</v>
      </c>
      <c r="B757" s="5" t="s">
        <v>18</v>
      </c>
      <c r="C757" s="5">
        <v>55.0</v>
      </c>
      <c r="D757" s="11"/>
      <c r="E757" s="11">
        <f>IF(J757="","", C757 * IFERROR(VLOOKUP(J757, SETUP!$A:$D, 3, FALSE), 0))</f>
        <v>27.5</v>
      </c>
      <c r="F757" s="11">
        <f>IF(J757="","", C757 * IFERROR(VLOOKUP(J757, SETUP!$A:$D, 4, FALSE), 0))</f>
        <v>27.5</v>
      </c>
      <c r="G757" s="11">
        <f t="shared" si="1"/>
        <v>27.5</v>
      </c>
      <c r="H757" s="22"/>
      <c r="I757" s="11"/>
      <c r="J757" s="17" t="str">
        <f>IF(TRIM(B757)="","",IF(ISNUMBER(SEARCH(" - ",B757)),TRIM(RIGHT(B757,LEN(B757)-FIND(" - ",B757)-2)),IFERROR(VLOOKUP(UPPER(TRIM(B757)), SETUP!$B$4:$C$11, 2, FALSE), UPPER(TRIM(B757)))))</f>
        <v>CRIS</v>
      </c>
      <c r="K757" s="23">
        <f t="shared" si="2"/>
        <v>46076</v>
      </c>
      <c r="L757" s="17">
        <f t="shared" si="3"/>
        <v>46082</v>
      </c>
      <c r="M757" s="17" t="str">
        <f t="shared" si="4"/>
        <v>2026-03</v>
      </c>
    </row>
    <row r="758" ht="15.75" customHeight="1">
      <c r="A758" s="4">
        <v>46082.0</v>
      </c>
      <c r="B758" s="5" t="s">
        <v>18</v>
      </c>
      <c r="C758" s="5">
        <v>30.0</v>
      </c>
      <c r="D758" s="11"/>
      <c r="E758" s="11">
        <f>IF(J758="","", C758 * IFERROR(VLOOKUP(J758, SETUP!$A:$D, 3, FALSE), 0))</f>
        <v>15</v>
      </c>
      <c r="F758" s="11">
        <f>IF(J758="","", C758 * IFERROR(VLOOKUP(J758, SETUP!$A:$D, 4, FALSE), 0))</f>
        <v>15</v>
      </c>
      <c r="G758" s="11">
        <f t="shared" si="1"/>
        <v>15</v>
      </c>
      <c r="H758" s="22"/>
      <c r="I758" s="11"/>
      <c r="J758" s="17" t="str">
        <f>IF(TRIM(B758)="","",IF(ISNUMBER(SEARCH(" - ",B758)),TRIM(RIGHT(B758,LEN(B758)-FIND(" - ",B758)-2)),IFERROR(VLOOKUP(UPPER(TRIM(B758)), SETUP!$B$4:$C$11, 2, FALSE), UPPER(TRIM(B758)))))</f>
        <v>CRIS</v>
      </c>
      <c r="K758" s="23">
        <f t="shared" si="2"/>
        <v>46076</v>
      </c>
      <c r="L758" s="17">
        <f t="shared" si="3"/>
        <v>46082</v>
      </c>
      <c r="M758" s="17" t="str">
        <f t="shared" si="4"/>
        <v>2026-03</v>
      </c>
    </row>
    <row r="759" ht="15.75" customHeight="1">
      <c r="A759" s="4">
        <v>46082.0</v>
      </c>
      <c r="B759" s="5" t="s">
        <v>18</v>
      </c>
      <c r="C759" s="5">
        <v>50.0</v>
      </c>
      <c r="D759" s="11"/>
      <c r="E759" s="11">
        <f>IF(J759="","", C759 * IFERROR(VLOOKUP(J759, SETUP!$A:$D, 3, FALSE), 0))</f>
        <v>25</v>
      </c>
      <c r="F759" s="11">
        <f>IF(J759="","", C759 * IFERROR(VLOOKUP(J759, SETUP!$A:$D, 4, FALSE), 0))</f>
        <v>25</v>
      </c>
      <c r="G759" s="11">
        <f t="shared" si="1"/>
        <v>25</v>
      </c>
      <c r="H759" s="22"/>
      <c r="I759" s="11"/>
      <c r="J759" s="17" t="str">
        <f>IF(TRIM(B759)="","",IF(ISNUMBER(SEARCH(" - ",B759)),TRIM(RIGHT(B759,LEN(B759)-FIND(" - ",B759)-2)),IFERROR(VLOOKUP(UPPER(TRIM(B759)), SETUP!$B$4:$C$11, 2, FALSE), UPPER(TRIM(B759)))))</f>
        <v>CRIS</v>
      </c>
      <c r="K759" s="23">
        <f t="shared" si="2"/>
        <v>46076</v>
      </c>
      <c r="L759" s="17">
        <f t="shared" si="3"/>
        <v>46082</v>
      </c>
      <c r="M759" s="17" t="str">
        <f t="shared" si="4"/>
        <v>2026-03</v>
      </c>
    </row>
    <row r="760" ht="15.75" customHeight="1">
      <c r="A760" s="4">
        <v>46082.0</v>
      </c>
      <c r="B760" s="5" t="s">
        <v>20</v>
      </c>
      <c r="C760" s="5">
        <v>55.0</v>
      </c>
      <c r="D760" s="11"/>
      <c r="E760" s="11">
        <f>IF(J760="","", C760 * IFERROR(VLOOKUP(J760, SETUP!$A:$D, 3, FALSE), 0))</f>
        <v>33</v>
      </c>
      <c r="F760" s="11">
        <f>IF(J760="","", C760 * IFERROR(VLOOKUP(J760, SETUP!$A:$D, 4, FALSE), 0))</f>
        <v>22</v>
      </c>
      <c r="G760" s="11">
        <f t="shared" si="1"/>
        <v>22</v>
      </c>
      <c r="H760" s="22"/>
      <c r="I760" s="11"/>
      <c r="J760" s="17" t="str">
        <f>IF(TRIM(B760)="","",IF(ISNUMBER(SEARCH(" - ",B760)),TRIM(RIGHT(B760,LEN(B760)-FIND(" - ",B760)-2)),IFERROR(VLOOKUP(UPPER(TRIM(B760)), SETUP!$B$4:$C$11, 2, FALSE), UPPER(TRIM(B760)))))</f>
        <v>AMY</v>
      </c>
      <c r="K760" s="23">
        <f t="shared" si="2"/>
        <v>46076</v>
      </c>
      <c r="L760" s="17">
        <f t="shared" si="3"/>
        <v>46082</v>
      </c>
      <c r="M760" s="17" t="str">
        <f t="shared" si="4"/>
        <v>2026-03</v>
      </c>
    </row>
    <row r="761" ht="15.75" customHeight="1">
      <c r="A761" s="4">
        <v>46082.0</v>
      </c>
      <c r="B761" s="5" t="s">
        <v>20</v>
      </c>
      <c r="C761" s="5">
        <v>60.0</v>
      </c>
      <c r="D761" s="11"/>
      <c r="E761" s="11">
        <f>IF(J761="","", C761 * IFERROR(VLOOKUP(J761, SETUP!$A:$D, 3, FALSE), 0))</f>
        <v>36</v>
      </c>
      <c r="F761" s="11">
        <f>IF(J761="","", C761 * IFERROR(VLOOKUP(J761, SETUP!$A:$D, 4, FALSE), 0))</f>
        <v>24</v>
      </c>
      <c r="G761" s="11">
        <f t="shared" si="1"/>
        <v>24</v>
      </c>
      <c r="H761" s="22"/>
      <c r="I761" s="11"/>
      <c r="J761" s="17" t="str">
        <f>IF(TRIM(B761)="","",IF(ISNUMBER(SEARCH(" - ",B761)),TRIM(RIGHT(B761,LEN(B761)-FIND(" - ",B761)-2)),IFERROR(VLOOKUP(UPPER(TRIM(B761)), SETUP!$B$4:$C$11, 2, FALSE), UPPER(TRIM(B761)))))</f>
        <v>AMY</v>
      </c>
      <c r="K761" s="23">
        <f t="shared" si="2"/>
        <v>46076</v>
      </c>
      <c r="L761" s="17">
        <f t="shared" si="3"/>
        <v>46082</v>
      </c>
      <c r="M761" s="17" t="str">
        <f t="shared" si="4"/>
        <v>2026-03</v>
      </c>
    </row>
    <row r="762" ht="15.75" customHeight="1">
      <c r="A762" s="4">
        <v>46082.0</v>
      </c>
      <c r="B762" s="5" t="s">
        <v>20</v>
      </c>
      <c r="C762" s="5">
        <v>35.0</v>
      </c>
      <c r="D762" s="11"/>
      <c r="E762" s="11">
        <f>IF(J762="","", C762 * IFERROR(VLOOKUP(J762, SETUP!$A:$D, 3, FALSE), 0))</f>
        <v>21</v>
      </c>
      <c r="F762" s="11">
        <f>IF(J762="","", C762 * IFERROR(VLOOKUP(J762, SETUP!$A:$D, 4, FALSE), 0))</f>
        <v>14</v>
      </c>
      <c r="G762" s="11">
        <f t="shared" si="1"/>
        <v>14</v>
      </c>
      <c r="H762" s="22"/>
      <c r="I762" s="11"/>
      <c r="J762" s="17" t="str">
        <f>IF(TRIM(B762)="","",IF(ISNUMBER(SEARCH(" - ",B762)),TRIM(RIGHT(B762,LEN(B762)-FIND(" - ",B762)-2)),IFERROR(VLOOKUP(UPPER(TRIM(B762)), SETUP!$B$4:$C$11, 2, FALSE), UPPER(TRIM(B762)))))</f>
        <v>AMY</v>
      </c>
      <c r="K762" s="23">
        <f t="shared" si="2"/>
        <v>46076</v>
      </c>
      <c r="L762" s="17">
        <f t="shared" si="3"/>
        <v>46082</v>
      </c>
      <c r="M762" s="17" t="str">
        <f t="shared" si="4"/>
        <v>2026-03</v>
      </c>
    </row>
    <row r="763" ht="15.75" customHeight="1">
      <c r="A763" s="4">
        <v>46082.0</v>
      </c>
      <c r="B763" s="5" t="s">
        <v>20</v>
      </c>
      <c r="C763" s="5">
        <v>57.0</v>
      </c>
      <c r="D763" s="11"/>
      <c r="E763" s="11">
        <f>IF(J763="","", C763 * IFERROR(VLOOKUP(J763, SETUP!$A:$D, 3, FALSE), 0))</f>
        <v>34.2</v>
      </c>
      <c r="F763" s="11">
        <f>IF(J763="","", C763 * IFERROR(VLOOKUP(J763, SETUP!$A:$D, 4, FALSE), 0))</f>
        <v>22.8</v>
      </c>
      <c r="G763" s="11">
        <f t="shared" si="1"/>
        <v>22.8</v>
      </c>
      <c r="H763" s="22"/>
      <c r="I763" s="11"/>
      <c r="J763" s="17" t="str">
        <f>IF(TRIM(B763)="","",IF(ISNUMBER(SEARCH(" - ",B763)),TRIM(RIGHT(B763,LEN(B763)-FIND(" - ",B763)-2)),IFERROR(VLOOKUP(UPPER(TRIM(B763)), SETUP!$B$4:$C$11, 2, FALSE), UPPER(TRIM(B763)))))</f>
        <v>AMY</v>
      </c>
      <c r="K763" s="23">
        <f t="shared" si="2"/>
        <v>46076</v>
      </c>
      <c r="L763" s="17">
        <f t="shared" si="3"/>
        <v>46082</v>
      </c>
      <c r="M763" s="17" t="str">
        <f t="shared" si="4"/>
        <v>2026-03</v>
      </c>
    </row>
    <row r="764" ht="15.75" customHeight="1">
      <c r="A764" s="4">
        <v>46082.0</v>
      </c>
      <c r="B764" s="5" t="s">
        <v>21</v>
      </c>
      <c r="C764" s="5">
        <v>65.0</v>
      </c>
      <c r="D764" s="11"/>
      <c r="E764" s="11">
        <f>IF(J764="","", C764 * IFERROR(VLOOKUP(J764, SETUP!$A:$D, 3, FALSE), 0))</f>
        <v>39</v>
      </c>
      <c r="F764" s="11">
        <f>IF(J764="","", C764 * IFERROR(VLOOKUP(J764, SETUP!$A:$D, 4, FALSE), 0))</f>
        <v>26</v>
      </c>
      <c r="G764" s="11">
        <f t="shared" si="1"/>
        <v>26</v>
      </c>
      <c r="H764" s="22"/>
      <c r="I764" s="11"/>
      <c r="J764" s="17" t="str">
        <f>IF(TRIM(B764)="","",IF(ISNUMBER(SEARCH(" - ",B764)),TRIM(RIGHT(B764,LEN(B764)-FIND(" - ",B764)-2)),IFERROR(VLOOKUP(UPPER(TRIM(B764)), SETUP!$B$4:$C$11, 2, FALSE), UPPER(TRIM(B764)))))</f>
        <v>TONY</v>
      </c>
      <c r="K764" s="23">
        <f t="shared" si="2"/>
        <v>46076</v>
      </c>
      <c r="L764" s="17">
        <f t="shared" si="3"/>
        <v>46082</v>
      </c>
      <c r="M764" s="17" t="str">
        <f t="shared" si="4"/>
        <v>2026-03</v>
      </c>
    </row>
    <row r="765" ht="15.75" customHeight="1">
      <c r="A765" s="4">
        <v>46082.0</v>
      </c>
      <c r="B765" s="5" t="s">
        <v>21</v>
      </c>
      <c r="C765" s="5">
        <v>57.0</v>
      </c>
      <c r="D765" s="11"/>
      <c r="E765" s="11">
        <f>IF(J765="","", C765 * IFERROR(VLOOKUP(J765, SETUP!$A:$D, 3, FALSE), 0))</f>
        <v>34.2</v>
      </c>
      <c r="F765" s="11">
        <f>IF(J765="","", C765 * IFERROR(VLOOKUP(J765, SETUP!$A:$D, 4, FALSE), 0))</f>
        <v>22.8</v>
      </c>
      <c r="G765" s="11">
        <f t="shared" si="1"/>
        <v>22.8</v>
      </c>
      <c r="H765" s="22"/>
      <c r="I765" s="11"/>
      <c r="J765" s="17" t="str">
        <f>IF(TRIM(B765)="","",IF(ISNUMBER(SEARCH(" - ",B765)),TRIM(RIGHT(B765,LEN(B765)-FIND(" - ",B765)-2)),IFERROR(VLOOKUP(UPPER(TRIM(B765)), SETUP!$B$4:$C$11, 2, FALSE), UPPER(TRIM(B765)))))</f>
        <v>TONY</v>
      </c>
      <c r="K765" s="23">
        <f t="shared" si="2"/>
        <v>46076</v>
      </c>
      <c r="L765" s="17">
        <f t="shared" si="3"/>
        <v>46082</v>
      </c>
      <c r="M765" s="17" t="str">
        <f t="shared" si="4"/>
        <v>2026-03</v>
      </c>
    </row>
    <row r="766" ht="15.75" customHeight="1">
      <c r="A766" s="4">
        <v>46082.0</v>
      </c>
      <c r="B766" s="5" t="s">
        <v>21</v>
      </c>
      <c r="C766" s="5">
        <v>35.0</v>
      </c>
      <c r="D766" s="11"/>
      <c r="E766" s="11">
        <f>IF(J766="","", C766 * IFERROR(VLOOKUP(J766, SETUP!$A:$D, 3, FALSE), 0))</f>
        <v>21</v>
      </c>
      <c r="F766" s="11">
        <f>IF(J766="","", C766 * IFERROR(VLOOKUP(J766, SETUP!$A:$D, 4, FALSE), 0))</f>
        <v>14</v>
      </c>
      <c r="G766" s="11">
        <f t="shared" si="1"/>
        <v>14</v>
      </c>
      <c r="H766" s="22"/>
      <c r="I766" s="11"/>
      <c r="J766" s="17" t="str">
        <f>IF(TRIM(B766)="","",IF(ISNUMBER(SEARCH(" - ",B766)),TRIM(RIGHT(B766,LEN(B766)-FIND(" - ",B766)-2)),IFERROR(VLOOKUP(UPPER(TRIM(B766)), SETUP!$B$4:$C$11, 2, FALSE), UPPER(TRIM(B766)))))</f>
        <v>TONY</v>
      </c>
      <c r="K766" s="23">
        <f t="shared" si="2"/>
        <v>46076</v>
      </c>
      <c r="L766" s="17">
        <f t="shared" si="3"/>
        <v>46082</v>
      </c>
      <c r="M766" s="17" t="str">
        <f t="shared" si="4"/>
        <v>2026-03</v>
      </c>
    </row>
    <row r="767" ht="15.75" customHeight="1">
      <c r="A767" s="4">
        <v>46082.0</v>
      </c>
      <c r="B767" s="5" t="s">
        <v>21</v>
      </c>
      <c r="C767" s="5">
        <v>57.0</v>
      </c>
      <c r="D767" s="11"/>
      <c r="E767" s="11">
        <f>IF(J767="","", C767 * IFERROR(VLOOKUP(J767, SETUP!$A:$D, 3, FALSE), 0))</f>
        <v>34.2</v>
      </c>
      <c r="F767" s="11">
        <f>IF(J767="","", C767 * IFERROR(VLOOKUP(J767, SETUP!$A:$D, 4, FALSE), 0))</f>
        <v>22.8</v>
      </c>
      <c r="G767" s="11">
        <f t="shared" si="1"/>
        <v>22.8</v>
      </c>
      <c r="H767" s="22"/>
      <c r="I767" s="11"/>
      <c r="J767" s="17" t="str">
        <f>IF(TRIM(B767)="","",IF(ISNUMBER(SEARCH(" - ",B767)),TRIM(RIGHT(B767,LEN(B767)-FIND(" - ",B767)-2)),IFERROR(VLOOKUP(UPPER(TRIM(B767)), SETUP!$B$4:$C$11, 2, FALSE), UPPER(TRIM(B767)))))</f>
        <v>TONY</v>
      </c>
      <c r="K767" s="23">
        <f t="shared" si="2"/>
        <v>46076</v>
      </c>
      <c r="L767" s="17">
        <f t="shared" si="3"/>
        <v>46082</v>
      </c>
      <c r="M767" s="17" t="str">
        <f t="shared" si="4"/>
        <v>2026-03</v>
      </c>
    </row>
    <row r="768" ht="15.75" customHeight="1">
      <c r="A768" s="4">
        <v>46082.0</v>
      </c>
      <c r="B768" s="5" t="s">
        <v>20</v>
      </c>
      <c r="C768" s="5">
        <v>29.0</v>
      </c>
      <c r="D768" s="11"/>
      <c r="E768" s="11">
        <f>IF(J768="","", C768 * IFERROR(VLOOKUP(J768, SETUP!$A:$D, 3, FALSE), 0))</f>
        <v>17.4</v>
      </c>
      <c r="F768" s="11">
        <f>IF(J768="","", C768 * IFERROR(VLOOKUP(J768, SETUP!$A:$D, 4, FALSE), 0))</f>
        <v>11.6</v>
      </c>
      <c r="G768" s="11">
        <f t="shared" si="1"/>
        <v>11.6</v>
      </c>
      <c r="H768" s="22"/>
      <c r="I768" s="11"/>
      <c r="J768" s="17" t="str">
        <f>IF(TRIM(B768)="","",IF(ISNUMBER(SEARCH(" - ",B768)),TRIM(RIGHT(B768,LEN(B768)-FIND(" - ",B768)-2)),IFERROR(VLOOKUP(UPPER(TRIM(B768)), SETUP!$B$4:$C$11, 2, FALSE), UPPER(TRIM(B768)))))</f>
        <v>AMY</v>
      </c>
      <c r="K768" s="23">
        <f t="shared" si="2"/>
        <v>46076</v>
      </c>
      <c r="L768" s="17">
        <f t="shared" si="3"/>
        <v>46082</v>
      </c>
      <c r="M768" s="17" t="str">
        <f t="shared" si="4"/>
        <v>2026-03</v>
      </c>
    </row>
    <row r="769" ht="15.75" customHeight="1">
      <c r="A769" s="4">
        <v>46082.0</v>
      </c>
      <c r="B769" s="5" t="s">
        <v>17</v>
      </c>
      <c r="C769" s="5">
        <v>65.0</v>
      </c>
      <c r="D769" s="11"/>
      <c r="E769" s="11">
        <f>IF(J769="","", C769 * IFERROR(VLOOKUP(J769, SETUP!$A:$D, 3, FALSE), 0))</f>
        <v>39</v>
      </c>
      <c r="F769" s="11">
        <f>IF(J769="","", C769 * IFERROR(VLOOKUP(J769, SETUP!$A:$D, 4, FALSE), 0))</f>
        <v>26</v>
      </c>
      <c r="G769" s="11">
        <f t="shared" si="1"/>
        <v>26</v>
      </c>
      <c r="H769" s="22"/>
      <c r="I769" s="11"/>
      <c r="J769" s="17" t="str">
        <f>IF(TRIM(B769)="","",IF(ISNUMBER(SEARCH(" - ",B769)),TRIM(RIGHT(B769,LEN(B769)-FIND(" - ",B769)-2)),IFERROR(VLOOKUP(UPPER(TRIM(B769)), SETUP!$B$4:$C$11, 2, FALSE), UPPER(TRIM(B769)))))</f>
        <v>RYAN</v>
      </c>
      <c r="K769" s="23">
        <f t="shared" si="2"/>
        <v>46076</v>
      </c>
      <c r="L769" s="17">
        <f t="shared" si="3"/>
        <v>46082</v>
      </c>
      <c r="M769" s="17" t="str">
        <f t="shared" si="4"/>
        <v>2026-03</v>
      </c>
    </row>
    <row r="770" ht="15.75" customHeight="1">
      <c r="A770" s="4">
        <v>46082.0</v>
      </c>
      <c r="B770" s="5" t="s">
        <v>21</v>
      </c>
      <c r="C770" s="5">
        <v>72.0</v>
      </c>
      <c r="D770" s="11"/>
      <c r="E770" s="11">
        <f>IF(J770="","", C770 * IFERROR(VLOOKUP(J770, SETUP!$A:$D, 3, FALSE), 0))</f>
        <v>43.2</v>
      </c>
      <c r="F770" s="11">
        <f>IF(J770="","", C770 * IFERROR(VLOOKUP(J770, SETUP!$A:$D, 4, FALSE), 0))</f>
        <v>28.8</v>
      </c>
      <c r="G770" s="11">
        <f t="shared" si="1"/>
        <v>28.8</v>
      </c>
      <c r="H770" s="22"/>
      <c r="I770" s="11"/>
      <c r="J770" s="17" t="str">
        <f>IF(TRIM(B770)="","",IF(ISNUMBER(SEARCH(" - ",B770)),TRIM(RIGHT(B770,LEN(B770)-FIND(" - ",B770)-2)),IFERROR(VLOOKUP(UPPER(TRIM(B770)), SETUP!$B$4:$C$11, 2, FALSE), UPPER(TRIM(B770)))))</f>
        <v>TONY</v>
      </c>
      <c r="K770" s="23">
        <f t="shared" si="2"/>
        <v>46076</v>
      </c>
      <c r="L770" s="17">
        <f t="shared" si="3"/>
        <v>46082</v>
      </c>
      <c r="M770" s="17" t="str">
        <f t="shared" si="4"/>
        <v>2026-03</v>
      </c>
    </row>
    <row r="771" ht="15.75" customHeight="1">
      <c r="A771" s="4">
        <v>46082.0</v>
      </c>
      <c r="B771" s="11"/>
      <c r="C771" s="11"/>
      <c r="D771" s="11"/>
      <c r="E771" s="11" t="str">
        <f>IF(J771="","", C771 * IFERROR(VLOOKUP(J771, SETUP!$A:$D, 3, FALSE), 0))</f>
        <v/>
      </c>
      <c r="F771" s="11" t="str">
        <f>IF(J771="","", C771 * IFERROR(VLOOKUP(J771, SETUP!$A:$D, 4, FALSE), 0))</f>
        <v/>
      </c>
      <c r="G771" s="11" t="str">
        <f t="shared" si="1"/>
        <v/>
      </c>
      <c r="H771" s="22"/>
      <c r="I771" s="11"/>
      <c r="J771" s="17" t="str">
        <f>IF(TRIM(B771)="","",IF(ISNUMBER(SEARCH(" - ",B771)),TRIM(RIGHT(B771,LEN(B771)-FIND(" - ",B771)-2)),IFERROR(VLOOKUP(UPPER(TRIM(B771)), SETUP!$B$4:$C$11, 2, FALSE), UPPER(TRIM(B771)))))</f>
        <v/>
      </c>
      <c r="K771" s="23">
        <f t="shared" si="2"/>
        <v>46076</v>
      </c>
      <c r="L771" s="17">
        <f t="shared" si="3"/>
        <v>46082</v>
      </c>
      <c r="M771" s="17" t="str">
        <f t="shared" si="4"/>
        <v>2026-03</v>
      </c>
    </row>
    <row r="772" ht="15.75" customHeight="1">
      <c r="A772" s="4">
        <v>46083.0</v>
      </c>
      <c r="B772" s="11"/>
      <c r="C772" s="11"/>
      <c r="D772" s="11"/>
      <c r="E772" s="11" t="str">
        <f>IF(J772="","", C772 * IFERROR(VLOOKUP(J772, SETUP!$A:$D, 3, FALSE), 0))</f>
        <v/>
      </c>
      <c r="F772" s="11" t="str">
        <f>IF(J772="","", C772 * IFERROR(VLOOKUP(J772, SETUP!$A:$D, 4, FALSE), 0))</f>
        <v/>
      </c>
      <c r="G772" s="11" t="str">
        <f t="shared" si="1"/>
        <v/>
      </c>
      <c r="H772" s="22"/>
      <c r="I772" s="11"/>
      <c r="J772" s="17" t="str">
        <f>IF(TRIM(B772)="","",IF(ISNUMBER(SEARCH(" - ",B772)),TRIM(RIGHT(B772,LEN(B772)-FIND(" - ",B772)-2)),IFERROR(VLOOKUP(UPPER(TRIM(B772)), SETUP!$B$4:$C$11, 2, FALSE), UPPER(TRIM(B772)))))</f>
        <v/>
      </c>
      <c r="K772" s="23">
        <f t="shared" si="2"/>
        <v>46083</v>
      </c>
      <c r="L772" s="17">
        <f t="shared" si="3"/>
        <v>46083</v>
      </c>
      <c r="M772" s="17" t="str">
        <f t="shared" si="4"/>
        <v>2026-03</v>
      </c>
    </row>
    <row r="773" ht="15.75" customHeight="1">
      <c r="A773" s="4">
        <v>46084.0</v>
      </c>
      <c r="B773" s="11"/>
      <c r="C773" s="11"/>
      <c r="D773" s="11"/>
      <c r="E773" s="11" t="str">
        <f>IF(J773="","", C773 * IFERROR(VLOOKUP(J773, SETUP!$A:$D, 3, FALSE), 0))</f>
        <v/>
      </c>
      <c r="F773" s="11" t="str">
        <f>IF(J773="","", C773 * IFERROR(VLOOKUP(J773, SETUP!$A:$D, 4, FALSE), 0))</f>
        <v/>
      </c>
      <c r="G773" s="11" t="str">
        <f t="shared" si="1"/>
        <v/>
      </c>
      <c r="H773" s="22"/>
      <c r="I773" s="11"/>
      <c r="J773" s="17" t="str">
        <f>IF(TRIM(B773)="","",IF(ISNUMBER(SEARCH(" - ",B773)),TRIM(RIGHT(B773,LEN(B773)-FIND(" - ",B773)-2)),IFERROR(VLOOKUP(UPPER(TRIM(B773)), SETUP!$B$4:$C$11, 2, FALSE), UPPER(TRIM(B773)))))</f>
        <v/>
      </c>
      <c r="K773" s="23">
        <f t="shared" si="2"/>
        <v>46083</v>
      </c>
      <c r="L773" s="17">
        <f t="shared" si="3"/>
        <v>46084</v>
      </c>
      <c r="M773" s="17" t="str">
        <f t="shared" si="4"/>
        <v>2026-03</v>
      </c>
    </row>
    <row r="774" ht="15.75" customHeight="1">
      <c r="A774" s="4">
        <v>46085.0</v>
      </c>
      <c r="B774" s="11"/>
      <c r="C774" s="11"/>
      <c r="D774" s="11"/>
      <c r="E774" s="11" t="str">
        <f>IF(J774="","", C774 * IFERROR(VLOOKUP(J774, SETUP!$A:$D, 3, FALSE), 0))</f>
        <v/>
      </c>
      <c r="F774" s="11" t="str">
        <f>IF(J774="","", C774 * IFERROR(VLOOKUP(J774, SETUP!$A:$D, 4, FALSE), 0))</f>
        <v/>
      </c>
      <c r="G774" s="11" t="str">
        <f t="shared" si="1"/>
        <v/>
      </c>
      <c r="H774" s="22"/>
      <c r="I774" s="11"/>
      <c r="J774" s="17" t="str">
        <f>IF(TRIM(B774)="","",IF(ISNUMBER(SEARCH(" - ",B774)),TRIM(RIGHT(B774,LEN(B774)-FIND(" - ",B774)-2)),IFERROR(VLOOKUP(UPPER(TRIM(B774)), SETUP!$B$4:$C$11, 2, FALSE), UPPER(TRIM(B774)))))</f>
        <v/>
      </c>
      <c r="K774" s="23">
        <f t="shared" si="2"/>
        <v>46083</v>
      </c>
      <c r="L774" s="17">
        <f t="shared" si="3"/>
        <v>46085</v>
      </c>
      <c r="M774" s="17" t="str">
        <f t="shared" si="4"/>
        <v>2026-03</v>
      </c>
    </row>
    <row r="775" ht="15.75" customHeight="1">
      <c r="A775" s="4">
        <v>46086.0</v>
      </c>
      <c r="B775" s="11"/>
      <c r="C775" s="11"/>
      <c r="D775" s="11"/>
      <c r="E775" s="11" t="str">
        <f>IF(J775="","", C775 * IFERROR(VLOOKUP(J775, SETUP!$A:$D, 3, FALSE), 0))</f>
        <v/>
      </c>
      <c r="F775" s="11" t="str">
        <f>IF(J775="","", C775 * IFERROR(VLOOKUP(J775, SETUP!$A:$D, 4, FALSE), 0))</f>
        <v/>
      </c>
      <c r="G775" s="11" t="str">
        <f t="shared" si="1"/>
        <v/>
      </c>
      <c r="H775" s="22"/>
      <c r="I775" s="11"/>
      <c r="J775" s="17" t="str">
        <f>IF(TRIM(B775)="","",IF(ISNUMBER(SEARCH(" - ",B775)),TRIM(RIGHT(B775,LEN(B775)-FIND(" - ",B775)-2)),IFERROR(VLOOKUP(UPPER(TRIM(B775)), SETUP!$B$4:$C$11, 2, FALSE), UPPER(TRIM(B775)))))</f>
        <v/>
      </c>
      <c r="K775" s="23">
        <f t="shared" si="2"/>
        <v>46083</v>
      </c>
      <c r="L775" s="17">
        <f t="shared" si="3"/>
        <v>46086</v>
      </c>
      <c r="M775" s="17" t="str">
        <f t="shared" si="4"/>
        <v>2026-03</v>
      </c>
    </row>
    <row r="776" ht="15.75" customHeight="1">
      <c r="A776" s="4">
        <v>46087.0</v>
      </c>
      <c r="B776" s="11"/>
      <c r="C776" s="11"/>
      <c r="D776" s="11"/>
      <c r="E776" s="11" t="str">
        <f>IF(J776="","", C776 * IFERROR(VLOOKUP(J776, SETUP!$A:$D, 3, FALSE), 0))</f>
        <v/>
      </c>
      <c r="F776" s="11" t="str">
        <f>IF(J776="","", C776 * IFERROR(VLOOKUP(J776, SETUP!$A:$D, 4, FALSE), 0))</f>
        <v/>
      </c>
      <c r="G776" s="11" t="str">
        <f t="shared" si="1"/>
        <v/>
      </c>
      <c r="H776" s="22"/>
      <c r="I776" s="11"/>
      <c r="J776" s="17" t="str">
        <f>IF(TRIM(B776)="","",IF(ISNUMBER(SEARCH(" - ",B776)),TRIM(RIGHT(B776,LEN(B776)-FIND(" - ",B776)-2)),IFERROR(VLOOKUP(UPPER(TRIM(B776)), SETUP!$B$4:$C$11, 2, FALSE), UPPER(TRIM(B776)))))</f>
        <v/>
      </c>
      <c r="K776" s="23">
        <f t="shared" si="2"/>
        <v>46083</v>
      </c>
      <c r="L776" s="17">
        <f t="shared" si="3"/>
        <v>46087</v>
      </c>
      <c r="M776" s="17" t="str">
        <f t="shared" si="4"/>
        <v>2026-03</v>
      </c>
    </row>
    <row r="777" ht="15.75" customHeight="1">
      <c r="A777" s="4">
        <v>46088.0</v>
      </c>
      <c r="B777" s="11"/>
      <c r="C777" s="11"/>
      <c r="D777" s="11"/>
      <c r="E777" s="11" t="str">
        <f>IF(J777="","", C777 * IFERROR(VLOOKUP(J777, SETUP!$A:$D, 3, FALSE), 0))</f>
        <v/>
      </c>
      <c r="F777" s="11" t="str">
        <f>IF(J777="","", C777 * IFERROR(VLOOKUP(J777, SETUP!$A:$D, 4, FALSE), 0))</f>
        <v/>
      </c>
      <c r="G777" s="11" t="str">
        <f t="shared" si="1"/>
        <v/>
      </c>
      <c r="H777" s="22"/>
      <c r="I777" s="11"/>
      <c r="J777" s="17" t="str">
        <f>IF(TRIM(B777)="","",IF(ISNUMBER(SEARCH(" - ",B777)),TRIM(RIGHT(B777,LEN(B777)-FIND(" - ",B777)-2)),IFERROR(VLOOKUP(UPPER(TRIM(B777)), SETUP!$B$4:$C$11, 2, FALSE), UPPER(TRIM(B777)))))</f>
        <v/>
      </c>
      <c r="K777" s="23">
        <f t="shared" si="2"/>
        <v>46083</v>
      </c>
      <c r="L777" s="17">
        <f t="shared" si="3"/>
        <v>46088</v>
      </c>
      <c r="M777" s="17" t="str">
        <f t="shared" si="4"/>
        <v>2026-03</v>
      </c>
    </row>
    <row r="778" ht="15.75" customHeight="1">
      <c r="A778" s="4">
        <v>46089.0</v>
      </c>
      <c r="B778" s="11"/>
      <c r="C778" s="11"/>
      <c r="D778" s="11"/>
      <c r="E778" s="11" t="str">
        <f>IF(J778="","", C778 * IFERROR(VLOOKUP(J778, SETUP!$A:$D, 3, FALSE), 0))</f>
        <v/>
      </c>
      <c r="F778" s="11" t="str">
        <f>IF(J778="","", C778 * IFERROR(VLOOKUP(J778, SETUP!$A:$D, 4, FALSE), 0))</f>
        <v/>
      </c>
      <c r="G778" s="11" t="str">
        <f t="shared" si="1"/>
        <v/>
      </c>
      <c r="H778" s="22"/>
      <c r="I778" s="11"/>
      <c r="J778" s="17" t="str">
        <f>IF(TRIM(B778)="","",IF(ISNUMBER(SEARCH(" - ",B778)),TRIM(RIGHT(B778,LEN(B778)-FIND(" - ",B778)-2)),IFERROR(VLOOKUP(UPPER(TRIM(B778)), SETUP!$B$4:$C$11, 2, FALSE), UPPER(TRIM(B778)))))</f>
        <v/>
      </c>
      <c r="K778" s="23">
        <f t="shared" si="2"/>
        <v>46083</v>
      </c>
      <c r="L778" s="17">
        <f t="shared" si="3"/>
        <v>46089</v>
      </c>
      <c r="M778" s="17" t="str">
        <f t="shared" si="4"/>
        <v>2026-03</v>
      </c>
    </row>
    <row r="779" ht="15.75" customHeight="1">
      <c r="A779" s="12"/>
      <c r="B779" s="11"/>
      <c r="C779" s="11"/>
      <c r="D779" s="11"/>
      <c r="E779" s="11" t="str">
        <f>IF(J779="","", C779 * IFERROR(VLOOKUP(J779, SETUP!$A:$D, 3, FALSE), 0))</f>
        <v/>
      </c>
      <c r="F779" s="11" t="str">
        <f>IF(J779="","", C779 * IFERROR(VLOOKUP(J779, SETUP!$A:$D, 4, FALSE), 0))</f>
        <v/>
      </c>
      <c r="G779" s="11" t="str">
        <f t="shared" si="1"/>
        <v/>
      </c>
      <c r="H779" s="22"/>
      <c r="I779" s="11"/>
      <c r="J779" s="17" t="str">
        <f>IF(TRIM(B779)="","",IF(ISNUMBER(SEARCH(" - ",B779)),TRIM(RIGHT(B779,LEN(B779)-FIND(" - ",B779)-2)),IFERROR(VLOOKUP(UPPER(TRIM(B779)), SETUP!$B$4:$C$11, 2, FALSE), UPPER(TRIM(B779)))))</f>
        <v/>
      </c>
      <c r="K779" s="23" t="str">
        <f t="shared" si="2"/>
        <v/>
      </c>
      <c r="L779" s="17" t="str">
        <f t="shared" si="3"/>
        <v/>
      </c>
      <c r="M779" s="17" t="str">
        <f t="shared" si="4"/>
        <v/>
      </c>
    </row>
    <row r="780" ht="15.75" customHeight="1">
      <c r="A780" s="12"/>
      <c r="B780" s="11"/>
      <c r="C780" s="11"/>
      <c r="D780" s="11"/>
      <c r="E780" s="11" t="str">
        <f>IF(J780="","", C780 * IFERROR(VLOOKUP(J780, SETUP!$A:$D, 3, FALSE), 0))</f>
        <v/>
      </c>
      <c r="F780" s="11" t="str">
        <f>IF(J780="","", C780 * IFERROR(VLOOKUP(J780, SETUP!$A:$D, 4, FALSE), 0))</f>
        <v/>
      </c>
      <c r="G780" s="11" t="str">
        <f t="shared" si="1"/>
        <v/>
      </c>
      <c r="H780" s="22"/>
      <c r="I780" s="11"/>
      <c r="J780" s="17" t="str">
        <f>IF(TRIM(B780)="","",IF(ISNUMBER(SEARCH(" - ",B780)),TRIM(RIGHT(B780,LEN(B780)-FIND(" - ",B780)-2)),IFERROR(VLOOKUP(UPPER(TRIM(B780)), SETUP!$B$4:$C$11, 2, FALSE), UPPER(TRIM(B780)))))</f>
        <v/>
      </c>
      <c r="K780" s="23" t="str">
        <f t="shared" si="2"/>
        <v/>
      </c>
      <c r="L780" s="17" t="str">
        <f t="shared" si="3"/>
        <v/>
      </c>
      <c r="M780" s="17" t="str">
        <f t="shared" si="4"/>
        <v/>
      </c>
    </row>
    <row r="781" ht="15.75" customHeight="1">
      <c r="A781" s="12"/>
      <c r="B781" s="11"/>
      <c r="C781" s="11"/>
      <c r="D781" s="11"/>
      <c r="E781" s="11" t="str">
        <f>IF(J781="","", C781 * IFERROR(VLOOKUP(J781, SETUP!$A:$D, 3, FALSE), 0))</f>
        <v/>
      </c>
      <c r="F781" s="11" t="str">
        <f>IF(J781="","", C781 * IFERROR(VLOOKUP(J781, SETUP!$A:$D, 4, FALSE), 0))</f>
        <v/>
      </c>
      <c r="G781" s="11" t="str">
        <f t="shared" si="1"/>
        <v/>
      </c>
      <c r="H781" s="22"/>
      <c r="I781" s="11"/>
      <c r="J781" s="17" t="str">
        <f>IF(TRIM(B781)="","",IF(ISNUMBER(SEARCH(" - ",B781)),TRIM(RIGHT(B781,LEN(B781)-FIND(" - ",B781)-2)),IFERROR(VLOOKUP(UPPER(TRIM(B781)), SETUP!$B$4:$C$11, 2, FALSE), UPPER(TRIM(B781)))))</f>
        <v/>
      </c>
      <c r="K781" s="23" t="str">
        <f t="shared" si="2"/>
        <v/>
      </c>
      <c r="L781" s="17" t="str">
        <f t="shared" si="3"/>
        <v/>
      </c>
      <c r="M781" s="17" t="str">
        <f t="shared" si="4"/>
        <v/>
      </c>
    </row>
    <row r="782" ht="15.75" customHeight="1">
      <c r="A782" s="12"/>
      <c r="B782" s="11"/>
      <c r="C782" s="11"/>
      <c r="D782" s="11"/>
      <c r="E782" s="11" t="str">
        <f>IF(J782="","", C782 * IFERROR(VLOOKUP(J782, SETUP!$A:$D, 3, FALSE), 0))</f>
        <v/>
      </c>
      <c r="F782" s="11" t="str">
        <f>IF(J782="","", C782 * IFERROR(VLOOKUP(J782, SETUP!$A:$D, 4, FALSE), 0))</f>
        <v/>
      </c>
      <c r="G782" s="11" t="str">
        <f t="shared" si="1"/>
        <v/>
      </c>
      <c r="H782" s="22"/>
      <c r="I782" s="11"/>
      <c r="J782" s="17" t="str">
        <f>IF(TRIM(B782)="","",IF(ISNUMBER(SEARCH(" - ",B782)),TRIM(RIGHT(B782,LEN(B782)-FIND(" - ",B782)-2)),IFERROR(VLOOKUP(UPPER(TRIM(B782)), SETUP!$B$4:$C$11, 2, FALSE), UPPER(TRIM(B782)))))</f>
        <v/>
      </c>
      <c r="K782" s="23" t="str">
        <f t="shared" si="2"/>
        <v/>
      </c>
      <c r="L782" s="17" t="str">
        <f t="shared" si="3"/>
        <v/>
      </c>
      <c r="M782" s="17" t="str">
        <f t="shared" si="4"/>
        <v/>
      </c>
    </row>
    <row r="783" ht="15.75" customHeight="1">
      <c r="A783" s="12"/>
      <c r="B783" s="11"/>
      <c r="C783" s="11"/>
      <c r="D783" s="11"/>
      <c r="E783" s="11" t="str">
        <f>IF(J783="","", C783 * IFERROR(VLOOKUP(J783, SETUP!$A:$D, 3, FALSE), 0))</f>
        <v/>
      </c>
      <c r="F783" s="11" t="str">
        <f>IF(J783="","", C783 * IFERROR(VLOOKUP(J783, SETUP!$A:$D, 4, FALSE), 0))</f>
        <v/>
      </c>
      <c r="G783" s="11" t="str">
        <f t="shared" si="1"/>
        <v/>
      </c>
      <c r="H783" s="22"/>
      <c r="I783" s="11"/>
      <c r="J783" s="17" t="str">
        <f>IF(TRIM(B783)="","",IF(ISNUMBER(SEARCH(" - ",B783)),TRIM(RIGHT(B783,LEN(B783)-FIND(" - ",B783)-2)),IFERROR(VLOOKUP(UPPER(TRIM(B783)), SETUP!$B$4:$C$11, 2, FALSE), UPPER(TRIM(B783)))))</f>
        <v/>
      </c>
      <c r="K783" s="23" t="str">
        <f t="shared" si="2"/>
        <v/>
      </c>
      <c r="L783" s="17" t="str">
        <f t="shared" si="3"/>
        <v/>
      </c>
      <c r="M783" s="17" t="str">
        <f t="shared" si="4"/>
        <v/>
      </c>
    </row>
    <row r="784" ht="15.75" customHeight="1">
      <c r="A784" s="12"/>
      <c r="B784" s="11"/>
      <c r="C784" s="11"/>
      <c r="D784" s="11"/>
      <c r="E784" s="11" t="str">
        <f>IF(J784="","", C784 * IFERROR(VLOOKUP(J784, SETUP!$A:$D, 3, FALSE), 0))</f>
        <v/>
      </c>
      <c r="F784" s="11" t="str">
        <f>IF(J784="","", C784 * IFERROR(VLOOKUP(J784, SETUP!$A:$D, 4, FALSE), 0))</f>
        <v/>
      </c>
      <c r="G784" s="11" t="str">
        <f t="shared" si="1"/>
        <v/>
      </c>
      <c r="H784" s="22"/>
      <c r="I784" s="11"/>
      <c r="J784" s="17" t="str">
        <f>IF(TRIM(B784)="","",IF(ISNUMBER(SEARCH(" - ",B784)),TRIM(RIGHT(B784,LEN(B784)-FIND(" - ",B784)-2)),IFERROR(VLOOKUP(UPPER(TRIM(B784)), SETUP!$B$4:$C$11, 2, FALSE), UPPER(TRIM(B784)))))</f>
        <v/>
      </c>
      <c r="K784" s="23" t="str">
        <f t="shared" si="2"/>
        <v/>
      </c>
      <c r="L784" s="17" t="str">
        <f t="shared" si="3"/>
        <v/>
      </c>
      <c r="M784" s="17" t="str">
        <f t="shared" si="4"/>
        <v/>
      </c>
    </row>
    <row r="785" ht="15.75" customHeight="1">
      <c r="A785" s="12"/>
      <c r="B785" s="11"/>
      <c r="C785" s="11"/>
      <c r="D785" s="11"/>
      <c r="E785" s="11" t="str">
        <f>IF(J785="","", C785 * IFERROR(VLOOKUP(J785, SETUP!$A:$D, 3, FALSE), 0))</f>
        <v/>
      </c>
      <c r="F785" s="11" t="str">
        <f>IF(J785="","", C785 * IFERROR(VLOOKUP(J785, SETUP!$A:$D, 4, FALSE), 0))</f>
        <v/>
      </c>
      <c r="G785" s="11" t="str">
        <f t="shared" si="1"/>
        <v/>
      </c>
      <c r="H785" s="22"/>
      <c r="I785" s="11"/>
      <c r="J785" s="17" t="str">
        <f>IF(TRIM(B785)="","",IF(ISNUMBER(SEARCH(" - ",B785)),TRIM(RIGHT(B785,LEN(B785)-FIND(" - ",B785)-2)),IFERROR(VLOOKUP(UPPER(TRIM(B785)), SETUP!$B$4:$C$11, 2, FALSE), UPPER(TRIM(B785)))))</f>
        <v/>
      </c>
      <c r="K785" s="23" t="str">
        <f t="shared" si="2"/>
        <v/>
      </c>
      <c r="L785" s="17" t="str">
        <f t="shared" si="3"/>
        <v/>
      </c>
      <c r="M785" s="17" t="str">
        <f t="shared" si="4"/>
        <v/>
      </c>
    </row>
    <row r="786" ht="15.75" customHeight="1">
      <c r="A786" s="12"/>
      <c r="B786" s="11"/>
      <c r="C786" s="11"/>
      <c r="D786" s="11"/>
      <c r="E786" s="11" t="str">
        <f>IF(J786="","", C786 * IFERROR(VLOOKUP(J786, SETUP!$A:$D, 3, FALSE), 0))</f>
        <v/>
      </c>
      <c r="F786" s="11" t="str">
        <f>IF(J786="","", C786 * IFERROR(VLOOKUP(J786, SETUP!$A:$D, 4, FALSE), 0))</f>
        <v/>
      </c>
      <c r="G786" s="11" t="str">
        <f t="shared" si="1"/>
        <v/>
      </c>
      <c r="H786" s="22"/>
      <c r="I786" s="11"/>
      <c r="J786" s="17" t="str">
        <f>IF(TRIM(B786)="","",IF(ISNUMBER(SEARCH(" - ",B786)),TRIM(RIGHT(B786,LEN(B786)-FIND(" - ",B786)-2)),IFERROR(VLOOKUP(UPPER(TRIM(B786)), SETUP!$B$4:$C$11, 2, FALSE), UPPER(TRIM(B786)))))</f>
        <v/>
      </c>
      <c r="K786" s="23" t="str">
        <f t="shared" si="2"/>
        <v/>
      </c>
      <c r="L786" s="17" t="str">
        <f t="shared" si="3"/>
        <v/>
      </c>
      <c r="M786" s="17" t="str">
        <f t="shared" si="4"/>
        <v/>
      </c>
    </row>
    <row r="787" ht="15.75" customHeight="1">
      <c r="A787" s="12"/>
      <c r="B787" s="11"/>
      <c r="C787" s="11"/>
      <c r="D787" s="11"/>
      <c r="E787" s="11" t="str">
        <f>IF(J787="","", C787 * IFERROR(VLOOKUP(J787, SETUP!$A:$D, 3, FALSE), 0))</f>
        <v/>
      </c>
      <c r="F787" s="11" t="str">
        <f>IF(J787="","", C787 * IFERROR(VLOOKUP(J787, SETUP!$A:$D, 4, FALSE), 0))</f>
        <v/>
      </c>
      <c r="G787" s="11" t="str">
        <f t="shared" si="1"/>
        <v/>
      </c>
      <c r="H787" s="22"/>
      <c r="I787" s="11"/>
      <c r="J787" s="17" t="str">
        <f>IF(TRIM(B787)="","",IF(ISNUMBER(SEARCH(" - ",B787)),TRIM(RIGHT(B787,LEN(B787)-FIND(" - ",B787)-2)),IFERROR(VLOOKUP(UPPER(TRIM(B787)), SETUP!$B$4:$C$11, 2, FALSE), UPPER(TRIM(B787)))))</f>
        <v/>
      </c>
      <c r="K787" s="23" t="str">
        <f t="shared" si="2"/>
        <v/>
      </c>
      <c r="L787" s="17" t="str">
        <f t="shared" si="3"/>
        <v/>
      </c>
      <c r="M787" s="17" t="str">
        <f t="shared" si="4"/>
        <v/>
      </c>
    </row>
    <row r="788" ht="15.75" customHeight="1">
      <c r="A788" s="12"/>
      <c r="B788" s="11"/>
      <c r="C788" s="11"/>
      <c r="D788" s="11"/>
      <c r="E788" s="11" t="str">
        <f>IF(J788="","", C788 * IFERROR(VLOOKUP(J788, SETUP!$A:$D, 3, FALSE), 0))</f>
        <v/>
      </c>
      <c r="F788" s="11" t="str">
        <f>IF(J788="","", C788 * IFERROR(VLOOKUP(J788, SETUP!$A:$D, 4, FALSE), 0))</f>
        <v/>
      </c>
      <c r="G788" s="11" t="str">
        <f t="shared" si="1"/>
        <v/>
      </c>
      <c r="H788" s="22"/>
      <c r="I788" s="11"/>
      <c r="J788" s="17" t="str">
        <f>IF(TRIM(B788)="","",IF(ISNUMBER(SEARCH(" - ",B788)),TRIM(RIGHT(B788,LEN(B788)-FIND(" - ",B788)-2)),IFERROR(VLOOKUP(UPPER(TRIM(B788)), SETUP!$B$4:$C$11, 2, FALSE), UPPER(TRIM(B788)))))</f>
        <v/>
      </c>
      <c r="K788" s="23" t="str">
        <f t="shared" si="2"/>
        <v/>
      </c>
      <c r="L788" s="17" t="str">
        <f t="shared" si="3"/>
        <v/>
      </c>
      <c r="M788" s="17" t="str">
        <f t="shared" si="4"/>
        <v/>
      </c>
    </row>
    <row r="789" ht="15.75" customHeight="1">
      <c r="A789" s="12"/>
      <c r="B789" s="11"/>
      <c r="C789" s="11"/>
      <c r="D789" s="11"/>
      <c r="E789" s="11" t="str">
        <f>IF(J789="","", C789 * IFERROR(VLOOKUP(J789, SETUP!$A:$D, 3, FALSE), 0))</f>
        <v/>
      </c>
      <c r="F789" s="11" t="str">
        <f>IF(J789="","", C789 * IFERROR(VLOOKUP(J789, SETUP!$A:$D, 4, FALSE), 0))</f>
        <v/>
      </c>
      <c r="G789" s="11" t="str">
        <f t="shared" si="1"/>
        <v/>
      </c>
      <c r="H789" s="22"/>
      <c r="I789" s="11"/>
      <c r="J789" s="17" t="str">
        <f>IF(TRIM(B789)="","",IF(ISNUMBER(SEARCH(" - ",B789)),TRIM(RIGHT(B789,LEN(B789)-FIND(" - ",B789)-2)),IFERROR(VLOOKUP(UPPER(TRIM(B789)), SETUP!$B$4:$C$11, 2, FALSE), UPPER(TRIM(B789)))))</f>
        <v/>
      </c>
      <c r="K789" s="23" t="str">
        <f t="shared" si="2"/>
        <v/>
      </c>
      <c r="L789" s="17" t="str">
        <f t="shared" si="3"/>
        <v/>
      </c>
      <c r="M789" s="17" t="str">
        <f t="shared" si="4"/>
        <v/>
      </c>
    </row>
    <row r="790" ht="15.75" customHeight="1">
      <c r="A790" s="12"/>
      <c r="B790" s="11"/>
      <c r="C790" s="11"/>
      <c r="D790" s="11"/>
      <c r="E790" s="11" t="str">
        <f>IF(J790="","", C790 * IFERROR(VLOOKUP(J790, SETUP!$A:$D, 3, FALSE), 0))</f>
        <v/>
      </c>
      <c r="F790" s="11" t="str">
        <f>IF(J790="","", C790 * IFERROR(VLOOKUP(J790, SETUP!$A:$D, 4, FALSE), 0))</f>
        <v/>
      </c>
      <c r="G790" s="11" t="str">
        <f t="shared" si="1"/>
        <v/>
      </c>
      <c r="H790" s="22"/>
      <c r="I790" s="11"/>
      <c r="J790" s="17" t="str">
        <f>IF(TRIM(B790)="","",IF(ISNUMBER(SEARCH(" - ",B790)),TRIM(RIGHT(B790,LEN(B790)-FIND(" - ",B790)-2)),IFERROR(VLOOKUP(UPPER(TRIM(B790)), SETUP!$B$4:$C$11, 2, FALSE), UPPER(TRIM(B790)))))</f>
        <v/>
      </c>
      <c r="K790" s="23" t="str">
        <f t="shared" si="2"/>
        <v/>
      </c>
      <c r="L790" s="17" t="str">
        <f t="shared" si="3"/>
        <v/>
      </c>
      <c r="M790" s="17" t="str">
        <f t="shared" si="4"/>
        <v/>
      </c>
    </row>
    <row r="791" ht="15.75" customHeight="1">
      <c r="A791" s="12"/>
      <c r="B791" s="11"/>
      <c r="C791" s="11"/>
      <c r="D791" s="11"/>
      <c r="E791" s="11" t="str">
        <f>IF(J791="","", C791 * IFERROR(VLOOKUP(J791, SETUP!$A:$D, 3, FALSE), 0))</f>
        <v/>
      </c>
      <c r="F791" s="11" t="str">
        <f>IF(J791="","", C791 * IFERROR(VLOOKUP(J791, SETUP!$A:$D, 4, FALSE), 0))</f>
        <v/>
      </c>
      <c r="G791" s="11" t="str">
        <f t="shared" si="1"/>
        <v/>
      </c>
      <c r="H791" s="22"/>
      <c r="I791" s="11"/>
      <c r="J791" s="17" t="str">
        <f>IF(TRIM(B791)="","",IF(ISNUMBER(SEARCH(" - ",B791)),TRIM(RIGHT(B791,LEN(B791)-FIND(" - ",B791)-2)),IFERROR(VLOOKUP(UPPER(TRIM(B791)), SETUP!$B$4:$C$11, 2, FALSE), UPPER(TRIM(B791)))))</f>
        <v/>
      </c>
      <c r="K791" s="23" t="str">
        <f t="shared" si="2"/>
        <v/>
      </c>
      <c r="L791" s="17" t="str">
        <f t="shared" si="3"/>
        <v/>
      </c>
      <c r="M791" s="17" t="str">
        <f t="shared" si="4"/>
        <v/>
      </c>
    </row>
    <row r="792" ht="15.75" customHeight="1">
      <c r="A792" s="12"/>
      <c r="B792" s="11"/>
      <c r="C792" s="11"/>
      <c r="D792" s="11"/>
      <c r="E792" s="11" t="str">
        <f>IF(J792="","", C792 * IFERROR(VLOOKUP(J792, SETUP!$A:$D, 3, FALSE), 0))</f>
        <v/>
      </c>
      <c r="F792" s="11" t="str">
        <f>IF(J792="","", C792 * IFERROR(VLOOKUP(J792, SETUP!$A:$D, 4, FALSE), 0))</f>
        <v/>
      </c>
      <c r="G792" s="11" t="str">
        <f t="shared" si="1"/>
        <v/>
      </c>
      <c r="H792" s="22"/>
      <c r="I792" s="11"/>
      <c r="J792" s="17" t="str">
        <f>IF(TRIM(B792)="","",IF(ISNUMBER(SEARCH(" - ",B792)),TRIM(RIGHT(B792,LEN(B792)-FIND(" - ",B792)-2)),IFERROR(VLOOKUP(UPPER(TRIM(B792)), SETUP!$B$4:$C$11, 2, FALSE), UPPER(TRIM(B792)))))</f>
        <v/>
      </c>
      <c r="K792" s="23" t="str">
        <f t="shared" si="2"/>
        <v/>
      </c>
      <c r="L792" s="17" t="str">
        <f t="shared" si="3"/>
        <v/>
      </c>
      <c r="M792" s="17" t="str">
        <f t="shared" si="4"/>
        <v/>
      </c>
    </row>
    <row r="793" ht="15.75" customHeight="1">
      <c r="A793" s="12"/>
      <c r="B793" s="11"/>
      <c r="C793" s="11"/>
      <c r="D793" s="11"/>
      <c r="E793" s="11" t="str">
        <f>IF(J793="","", C793 * IFERROR(VLOOKUP(J793, SETUP!$A:$D, 3, FALSE), 0))</f>
        <v/>
      </c>
      <c r="F793" s="11" t="str">
        <f>IF(J793="","", C793 * IFERROR(VLOOKUP(J793, SETUP!$A:$D, 4, FALSE), 0))</f>
        <v/>
      </c>
      <c r="G793" s="11" t="str">
        <f t="shared" si="1"/>
        <v/>
      </c>
      <c r="H793" s="22"/>
      <c r="I793" s="11"/>
      <c r="J793" s="17" t="str">
        <f>IF(TRIM(B793)="","",IF(ISNUMBER(SEARCH(" - ",B793)),TRIM(RIGHT(B793,LEN(B793)-FIND(" - ",B793)-2)),IFERROR(VLOOKUP(UPPER(TRIM(B793)), SETUP!$B$4:$C$11, 2, FALSE), UPPER(TRIM(B793)))))</f>
        <v/>
      </c>
      <c r="K793" s="23" t="str">
        <f t="shared" si="2"/>
        <v/>
      </c>
      <c r="L793" s="17" t="str">
        <f t="shared" si="3"/>
        <v/>
      </c>
      <c r="M793" s="17" t="str">
        <f t="shared" si="4"/>
        <v/>
      </c>
    </row>
    <row r="794" ht="15.75" customHeight="1">
      <c r="A794" s="12"/>
      <c r="B794" s="11"/>
      <c r="C794" s="11"/>
      <c r="D794" s="11"/>
      <c r="E794" s="11" t="str">
        <f>IF(J794="","", C794 * IFERROR(VLOOKUP(J794, SETUP!$A:$D, 3, FALSE), 0))</f>
        <v/>
      </c>
      <c r="F794" s="11" t="str">
        <f>IF(J794="","", C794 * IFERROR(VLOOKUP(J794, SETUP!$A:$D, 4, FALSE), 0))</f>
        <v/>
      </c>
      <c r="G794" s="11" t="str">
        <f t="shared" si="1"/>
        <v/>
      </c>
      <c r="H794" s="22"/>
      <c r="I794" s="11"/>
      <c r="J794" s="17" t="str">
        <f>IF(TRIM(B794)="","",IF(ISNUMBER(SEARCH(" - ",B794)),TRIM(RIGHT(B794,LEN(B794)-FIND(" - ",B794)-2)),IFERROR(VLOOKUP(UPPER(TRIM(B794)), SETUP!$B$4:$C$11, 2, FALSE), UPPER(TRIM(B794)))))</f>
        <v/>
      </c>
      <c r="K794" s="23" t="str">
        <f t="shared" si="2"/>
        <v/>
      </c>
      <c r="L794" s="17" t="str">
        <f t="shared" si="3"/>
        <v/>
      </c>
      <c r="M794" s="17" t="str">
        <f t="shared" si="4"/>
        <v/>
      </c>
    </row>
    <row r="795" ht="15.75" customHeight="1">
      <c r="A795" s="12"/>
      <c r="B795" s="11"/>
      <c r="C795" s="11"/>
      <c r="D795" s="11"/>
      <c r="E795" s="11" t="str">
        <f>IF(J795="","", C795 * IFERROR(VLOOKUP(J795, SETUP!$A:$D, 3, FALSE), 0))</f>
        <v/>
      </c>
      <c r="F795" s="11" t="str">
        <f>IF(J795="","", C795 * IFERROR(VLOOKUP(J795, SETUP!$A:$D, 4, FALSE), 0))</f>
        <v/>
      </c>
      <c r="G795" s="11" t="str">
        <f t="shared" si="1"/>
        <v/>
      </c>
      <c r="H795" s="22"/>
      <c r="I795" s="11"/>
      <c r="J795" s="17" t="str">
        <f>IF(TRIM(B795)="","",IF(ISNUMBER(SEARCH(" - ",B795)),TRIM(RIGHT(B795,LEN(B795)-FIND(" - ",B795)-2)),IFERROR(VLOOKUP(UPPER(TRIM(B795)), SETUP!$B$4:$C$11, 2, FALSE), UPPER(TRIM(B795)))))</f>
        <v/>
      </c>
      <c r="K795" s="23" t="str">
        <f t="shared" si="2"/>
        <v/>
      </c>
      <c r="L795" s="17" t="str">
        <f t="shared" si="3"/>
        <v/>
      </c>
      <c r="M795" s="17" t="str">
        <f t="shared" si="4"/>
        <v/>
      </c>
    </row>
    <row r="796" ht="15.75" customHeight="1">
      <c r="A796" s="12"/>
      <c r="B796" s="11"/>
      <c r="C796" s="11"/>
      <c r="D796" s="11"/>
      <c r="E796" s="11" t="str">
        <f>IF(J796="","", C796 * IFERROR(VLOOKUP(J796, SETUP!$A:$D, 3, FALSE), 0))</f>
        <v/>
      </c>
      <c r="F796" s="11" t="str">
        <f>IF(J796="","", C796 * IFERROR(VLOOKUP(J796, SETUP!$A:$D, 4, FALSE), 0))</f>
        <v/>
      </c>
      <c r="G796" s="11" t="str">
        <f t="shared" si="1"/>
        <v/>
      </c>
      <c r="H796" s="22"/>
      <c r="I796" s="11"/>
      <c r="J796" s="17" t="str">
        <f>IF(TRIM(B796)="","",IF(ISNUMBER(SEARCH(" - ",B796)),TRIM(RIGHT(B796,LEN(B796)-FIND(" - ",B796)-2)),IFERROR(VLOOKUP(UPPER(TRIM(B796)), SETUP!$B$4:$C$11, 2, FALSE), UPPER(TRIM(B796)))))</f>
        <v/>
      </c>
      <c r="K796" s="23" t="str">
        <f t="shared" si="2"/>
        <v/>
      </c>
      <c r="L796" s="17" t="str">
        <f t="shared" si="3"/>
        <v/>
      </c>
      <c r="M796" s="17" t="str">
        <f t="shared" si="4"/>
        <v/>
      </c>
    </row>
    <row r="797" ht="15.75" customHeight="1">
      <c r="A797" s="12"/>
      <c r="B797" s="11"/>
      <c r="C797" s="11"/>
      <c r="D797" s="11"/>
      <c r="E797" s="11" t="str">
        <f>IF(J797="","", C797 * IFERROR(VLOOKUP(J797, SETUP!$A:$D, 3, FALSE), 0))</f>
        <v/>
      </c>
      <c r="F797" s="11" t="str">
        <f>IF(J797="","", C797 * IFERROR(VLOOKUP(J797, SETUP!$A:$D, 4, FALSE), 0))</f>
        <v/>
      </c>
      <c r="G797" s="11" t="str">
        <f t="shared" si="1"/>
        <v/>
      </c>
      <c r="H797" s="22"/>
      <c r="I797" s="11"/>
      <c r="J797" s="17" t="str">
        <f>IF(TRIM(B797)="","",IF(ISNUMBER(SEARCH(" - ",B797)),TRIM(RIGHT(B797,LEN(B797)-FIND(" - ",B797)-2)),IFERROR(VLOOKUP(UPPER(TRIM(B797)), SETUP!$B$4:$C$11, 2, FALSE), UPPER(TRIM(B797)))))</f>
        <v/>
      </c>
      <c r="K797" s="23" t="str">
        <f t="shared" si="2"/>
        <v/>
      </c>
      <c r="L797" s="17" t="str">
        <f t="shared" si="3"/>
        <v/>
      </c>
      <c r="M797" s="17" t="str">
        <f t="shared" si="4"/>
        <v/>
      </c>
    </row>
    <row r="798" ht="15.75" customHeight="1">
      <c r="A798" s="12"/>
      <c r="B798" s="11"/>
      <c r="C798" s="11"/>
      <c r="D798" s="11"/>
      <c r="E798" s="11" t="str">
        <f>IF(J798="","", C798 * IFERROR(VLOOKUP(J798, SETUP!$A:$D, 3, FALSE), 0))</f>
        <v/>
      </c>
      <c r="F798" s="11" t="str">
        <f>IF(J798="","", C798 * IFERROR(VLOOKUP(J798, SETUP!$A:$D, 4, FALSE), 0))</f>
        <v/>
      </c>
      <c r="G798" s="11" t="str">
        <f t="shared" si="1"/>
        <v/>
      </c>
      <c r="H798" s="22"/>
      <c r="I798" s="11"/>
      <c r="J798" s="17" t="str">
        <f>IF(TRIM(B798)="","",IF(ISNUMBER(SEARCH(" - ",B798)),TRIM(RIGHT(B798,LEN(B798)-FIND(" - ",B798)-2)),IFERROR(VLOOKUP(UPPER(TRIM(B798)), SETUP!$B$4:$C$11, 2, FALSE), UPPER(TRIM(B798)))))</f>
        <v/>
      </c>
      <c r="K798" s="23" t="str">
        <f t="shared" si="2"/>
        <v/>
      </c>
      <c r="L798" s="17" t="str">
        <f t="shared" si="3"/>
        <v/>
      </c>
      <c r="M798" s="17" t="str">
        <f t="shared" si="4"/>
        <v/>
      </c>
    </row>
    <row r="799" ht="15.75" customHeight="1">
      <c r="A799" s="12"/>
      <c r="B799" s="11"/>
      <c r="C799" s="11"/>
      <c r="D799" s="11"/>
      <c r="E799" s="11" t="str">
        <f>IF(J799="","", C799 * IFERROR(VLOOKUP(J799, SETUP!$A:$D, 3, FALSE), 0))</f>
        <v/>
      </c>
      <c r="F799" s="11" t="str">
        <f>IF(J799="","", C799 * IFERROR(VLOOKUP(J799, SETUP!$A:$D, 4, FALSE), 0))</f>
        <v/>
      </c>
      <c r="G799" s="11" t="str">
        <f t="shared" si="1"/>
        <v/>
      </c>
      <c r="H799" s="22"/>
      <c r="I799" s="11"/>
      <c r="J799" s="17" t="str">
        <f>IF(TRIM(B799)="","",IF(ISNUMBER(SEARCH(" - ",B799)),TRIM(RIGHT(B799,LEN(B799)-FIND(" - ",B799)-2)),IFERROR(VLOOKUP(UPPER(TRIM(B799)), SETUP!$B$4:$C$11, 2, FALSE), UPPER(TRIM(B799)))))</f>
        <v/>
      </c>
      <c r="K799" s="23" t="str">
        <f t="shared" si="2"/>
        <v/>
      </c>
      <c r="L799" s="17" t="str">
        <f t="shared" si="3"/>
        <v/>
      </c>
      <c r="M799" s="17" t="str">
        <f t="shared" si="4"/>
        <v/>
      </c>
    </row>
    <row r="800" ht="15.75" customHeight="1">
      <c r="A800" s="12"/>
      <c r="B800" s="11"/>
      <c r="C800" s="11"/>
      <c r="D800" s="11"/>
      <c r="E800" s="11" t="str">
        <f>IF(J800="","", C800 * IFERROR(VLOOKUP(J800, SETUP!$A:$D, 3, FALSE), 0))</f>
        <v/>
      </c>
      <c r="F800" s="11" t="str">
        <f>IF(J800="","", C800 * IFERROR(VLOOKUP(J800, SETUP!$A:$D, 4, FALSE), 0))</f>
        <v/>
      </c>
      <c r="G800" s="11" t="str">
        <f t="shared" si="1"/>
        <v/>
      </c>
      <c r="H800" s="22"/>
      <c r="I800" s="11"/>
      <c r="J800" s="17" t="str">
        <f>IF(TRIM(B800)="","",IF(ISNUMBER(SEARCH(" - ",B800)),TRIM(RIGHT(B800,LEN(B800)-FIND(" - ",B800)-2)),IFERROR(VLOOKUP(UPPER(TRIM(B800)), SETUP!$B$4:$C$11, 2, FALSE), UPPER(TRIM(B800)))))</f>
        <v/>
      </c>
      <c r="K800" s="23" t="str">
        <f t="shared" si="2"/>
        <v/>
      </c>
      <c r="L800" s="17" t="str">
        <f t="shared" si="3"/>
        <v/>
      </c>
      <c r="M800" s="17" t="str">
        <f t="shared" si="4"/>
        <v/>
      </c>
    </row>
    <row r="801" ht="15.75" customHeight="1">
      <c r="A801" s="12"/>
      <c r="B801" s="11"/>
      <c r="C801" s="11"/>
      <c r="D801" s="11"/>
      <c r="E801" s="11" t="str">
        <f>IF(J801="","", C801 * IFERROR(VLOOKUP(J801, SETUP!$A:$D, 3, FALSE), 0))</f>
        <v/>
      </c>
      <c r="F801" s="11" t="str">
        <f>IF(J801="","", C801 * IFERROR(VLOOKUP(J801, SETUP!$A:$D, 4, FALSE), 0))</f>
        <v/>
      </c>
      <c r="G801" s="11" t="str">
        <f t="shared" si="1"/>
        <v/>
      </c>
      <c r="H801" s="22"/>
      <c r="I801" s="11"/>
      <c r="J801" s="17" t="str">
        <f>IF(TRIM(B801)="","",IF(ISNUMBER(SEARCH(" - ",B801)),TRIM(RIGHT(B801,LEN(B801)-FIND(" - ",B801)-2)),IFERROR(VLOOKUP(UPPER(TRIM(B801)), SETUP!$B$4:$C$11, 2, FALSE), UPPER(TRIM(B801)))))</f>
        <v/>
      </c>
      <c r="K801" s="23" t="str">
        <f t="shared" si="2"/>
        <v/>
      </c>
      <c r="L801" s="17" t="str">
        <f t="shared" si="3"/>
        <v/>
      </c>
      <c r="M801" s="17" t="str">
        <f t="shared" si="4"/>
        <v/>
      </c>
    </row>
    <row r="802" ht="15.75" customHeight="1">
      <c r="A802" s="12"/>
      <c r="B802" s="11"/>
      <c r="C802" s="11"/>
      <c r="D802" s="11"/>
      <c r="E802" s="11" t="str">
        <f>IF(J802="","", C802 * IFERROR(VLOOKUP(J802, SETUP!$A:$D, 3, FALSE), 0))</f>
        <v/>
      </c>
      <c r="F802" s="11" t="str">
        <f>IF(J802="","", C802 * IFERROR(VLOOKUP(J802, SETUP!$A:$D, 4, FALSE), 0))</f>
        <v/>
      </c>
      <c r="G802" s="11" t="str">
        <f t="shared" si="1"/>
        <v/>
      </c>
      <c r="H802" s="22"/>
      <c r="I802" s="11"/>
      <c r="J802" s="17" t="str">
        <f>IF(TRIM(B802)="","",IF(ISNUMBER(SEARCH(" - ",B802)),TRIM(RIGHT(B802,LEN(B802)-FIND(" - ",B802)-2)),IFERROR(VLOOKUP(UPPER(TRIM(B802)), SETUP!$B$4:$C$11, 2, FALSE), UPPER(TRIM(B802)))))</f>
        <v/>
      </c>
      <c r="K802" s="23" t="str">
        <f t="shared" si="2"/>
        <v/>
      </c>
      <c r="L802" s="17" t="str">
        <f t="shared" si="3"/>
        <v/>
      </c>
      <c r="M802" s="17" t="str">
        <f t="shared" si="4"/>
        <v/>
      </c>
    </row>
    <row r="803" ht="15.75" customHeight="1">
      <c r="A803" s="12"/>
      <c r="B803" s="11"/>
      <c r="C803" s="11"/>
      <c r="D803" s="11"/>
      <c r="E803" s="11" t="str">
        <f>IF(J803="","", C803 * IFERROR(VLOOKUP(J803, SETUP!$A:$D, 3, FALSE), 0))</f>
        <v/>
      </c>
      <c r="F803" s="11" t="str">
        <f>IF(J803="","", C803 * IFERROR(VLOOKUP(J803, SETUP!$A:$D, 4, FALSE), 0))</f>
        <v/>
      </c>
      <c r="G803" s="11" t="str">
        <f t="shared" si="1"/>
        <v/>
      </c>
      <c r="H803" s="22"/>
      <c r="I803" s="11"/>
      <c r="J803" s="17" t="str">
        <f>IF(TRIM(B803)="","",IF(ISNUMBER(SEARCH(" - ",B803)),TRIM(RIGHT(B803,LEN(B803)-FIND(" - ",B803)-2)),IFERROR(VLOOKUP(UPPER(TRIM(B803)), SETUP!$B$4:$C$11, 2, FALSE), UPPER(TRIM(B803)))))</f>
        <v/>
      </c>
      <c r="K803" s="23" t="str">
        <f t="shared" si="2"/>
        <v/>
      </c>
      <c r="L803" s="17" t="str">
        <f t="shared" si="3"/>
        <v/>
      </c>
      <c r="M803" s="17" t="str">
        <f t="shared" si="4"/>
        <v/>
      </c>
    </row>
    <row r="804" ht="15.75" customHeight="1">
      <c r="A804" s="12"/>
      <c r="B804" s="11"/>
      <c r="C804" s="11"/>
      <c r="D804" s="11"/>
      <c r="E804" s="11" t="str">
        <f>IF(J804="","", C804 * IFERROR(VLOOKUP(J804, SETUP!$A:$D, 3, FALSE), 0))</f>
        <v/>
      </c>
      <c r="F804" s="11" t="str">
        <f>IF(J804="","", C804 * IFERROR(VLOOKUP(J804, SETUP!$A:$D, 4, FALSE), 0))</f>
        <v/>
      </c>
      <c r="G804" s="11" t="str">
        <f t="shared" si="1"/>
        <v/>
      </c>
      <c r="H804" s="22"/>
      <c r="I804" s="11"/>
      <c r="J804" s="17" t="str">
        <f>IF(TRIM(B804)="","",IF(ISNUMBER(SEARCH(" - ",B804)),TRIM(RIGHT(B804,LEN(B804)-FIND(" - ",B804)-2)),IFERROR(VLOOKUP(UPPER(TRIM(B804)), SETUP!$B$4:$C$11, 2, FALSE), UPPER(TRIM(B804)))))</f>
        <v/>
      </c>
      <c r="K804" s="23" t="str">
        <f t="shared" si="2"/>
        <v/>
      </c>
      <c r="L804" s="17" t="str">
        <f t="shared" si="3"/>
        <v/>
      </c>
      <c r="M804" s="17" t="str">
        <f t="shared" si="4"/>
        <v/>
      </c>
    </row>
    <row r="805" ht="15.75" customHeight="1">
      <c r="A805" s="12"/>
      <c r="B805" s="11"/>
      <c r="C805" s="11"/>
      <c r="D805" s="11"/>
      <c r="E805" s="11" t="str">
        <f>IF(J805="","", C805 * IFERROR(VLOOKUP(J805, SETUP!$A:$D, 3, FALSE), 0))</f>
        <v/>
      </c>
      <c r="F805" s="11" t="str">
        <f>IF(J805="","", C805 * IFERROR(VLOOKUP(J805, SETUP!$A:$D, 4, FALSE), 0))</f>
        <v/>
      </c>
      <c r="G805" s="11" t="str">
        <f t="shared" si="1"/>
        <v/>
      </c>
      <c r="H805" s="22"/>
      <c r="I805" s="11"/>
      <c r="J805" s="17" t="str">
        <f>IF(TRIM(B805)="","",IF(ISNUMBER(SEARCH(" - ",B805)),TRIM(RIGHT(B805,LEN(B805)-FIND(" - ",B805)-2)),IFERROR(VLOOKUP(UPPER(TRIM(B805)), SETUP!$B$4:$C$11, 2, FALSE), UPPER(TRIM(B805)))))</f>
        <v/>
      </c>
      <c r="K805" s="23" t="str">
        <f t="shared" si="2"/>
        <v/>
      </c>
      <c r="L805" s="17" t="str">
        <f t="shared" si="3"/>
        <v/>
      </c>
      <c r="M805" s="17" t="str">
        <f t="shared" si="4"/>
        <v/>
      </c>
    </row>
    <row r="806" ht="15.75" customHeight="1">
      <c r="A806" s="12"/>
      <c r="B806" s="11"/>
      <c r="C806" s="11"/>
      <c r="D806" s="11"/>
      <c r="E806" s="11" t="str">
        <f>IF(J806="","", C806 * IFERROR(VLOOKUP(J806, SETUP!$A:$D, 3, FALSE), 0))</f>
        <v/>
      </c>
      <c r="F806" s="11" t="str">
        <f>IF(J806="","", C806 * IFERROR(VLOOKUP(J806, SETUP!$A:$D, 4, FALSE), 0))</f>
        <v/>
      </c>
      <c r="G806" s="11" t="str">
        <f t="shared" si="1"/>
        <v/>
      </c>
      <c r="H806" s="22"/>
      <c r="I806" s="11"/>
      <c r="J806" s="17" t="str">
        <f>IF(TRIM(B806)="","",IF(ISNUMBER(SEARCH(" - ",B806)),TRIM(RIGHT(B806,LEN(B806)-FIND(" - ",B806)-2)),IFERROR(VLOOKUP(UPPER(TRIM(B806)), SETUP!$B$4:$C$11, 2, FALSE), UPPER(TRIM(B806)))))</f>
        <v/>
      </c>
      <c r="K806" s="23" t="str">
        <f t="shared" si="2"/>
        <v/>
      </c>
      <c r="L806" s="17" t="str">
        <f t="shared" si="3"/>
        <v/>
      </c>
      <c r="M806" s="17" t="str">
        <f t="shared" si="4"/>
        <v/>
      </c>
    </row>
    <row r="807" ht="15.75" customHeight="1">
      <c r="A807" s="12"/>
      <c r="B807" s="11"/>
      <c r="C807" s="11"/>
      <c r="D807" s="11"/>
      <c r="E807" s="11" t="str">
        <f>IF(J807="","", C807 * IFERROR(VLOOKUP(J807, SETUP!$A:$D, 3, FALSE), 0))</f>
        <v/>
      </c>
      <c r="F807" s="11" t="str">
        <f>IF(J807="","", C807 * IFERROR(VLOOKUP(J807, SETUP!$A:$D, 4, FALSE), 0))</f>
        <v/>
      </c>
      <c r="G807" s="11" t="str">
        <f t="shared" si="1"/>
        <v/>
      </c>
      <c r="H807" s="22"/>
      <c r="I807" s="11"/>
      <c r="J807" s="17" t="str">
        <f>IF(TRIM(B807)="","",IF(ISNUMBER(SEARCH(" - ",B807)),TRIM(RIGHT(B807,LEN(B807)-FIND(" - ",B807)-2)),IFERROR(VLOOKUP(UPPER(TRIM(B807)), SETUP!$B$4:$C$11, 2, FALSE), UPPER(TRIM(B807)))))</f>
        <v/>
      </c>
      <c r="K807" s="23" t="str">
        <f t="shared" si="2"/>
        <v/>
      </c>
      <c r="L807" s="17" t="str">
        <f t="shared" si="3"/>
        <v/>
      </c>
      <c r="M807" s="17" t="str">
        <f t="shared" si="4"/>
        <v/>
      </c>
    </row>
    <row r="808" ht="15.75" customHeight="1">
      <c r="A808" s="12"/>
      <c r="B808" s="11"/>
      <c r="C808" s="11"/>
      <c r="D808" s="11"/>
      <c r="E808" s="11" t="str">
        <f>IF(J808="","", C808 * IFERROR(VLOOKUP(J808, SETUP!$A:$D, 3, FALSE), 0))</f>
        <v/>
      </c>
      <c r="F808" s="11" t="str">
        <f>IF(J808="","", C808 * IFERROR(VLOOKUP(J808, SETUP!$A:$D, 4, FALSE), 0))</f>
        <v/>
      </c>
      <c r="G808" s="11" t="str">
        <f t="shared" si="1"/>
        <v/>
      </c>
      <c r="H808" s="22"/>
      <c r="I808" s="11"/>
      <c r="J808" s="17" t="str">
        <f>IF(TRIM(B808)="","",IF(ISNUMBER(SEARCH(" - ",B808)),TRIM(RIGHT(B808,LEN(B808)-FIND(" - ",B808)-2)),IFERROR(VLOOKUP(UPPER(TRIM(B808)), SETUP!$B$4:$C$11, 2, FALSE), UPPER(TRIM(B808)))))</f>
        <v/>
      </c>
      <c r="K808" s="23" t="str">
        <f t="shared" si="2"/>
        <v/>
      </c>
      <c r="L808" s="17" t="str">
        <f t="shared" si="3"/>
        <v/>
      </c>
      <c r="M808" s="17" t="str">
        <f t="shared" si="4"/>
        <v/>
      </c>
    </row>
    <row r="809" ht="15.75" customHeight="1">
      <c r="A809" s="12"/>
      <c r="B809" s="11"/>
      <c r="C809" s="11"/>
      <c r="D809" s="11"/>
      <c r="E809" s="11" t="str">
        <f>IF(J809="","", C809 * IFERROR(VLOOKUP(J809, SETUP!$A:$D, 3, FALSE), 0))</f>
        <v/>
      </c>
      <c r="F809" s="11" t="str">
        <f>IF(J809="","", C809 * IFERROR(VLOOKUP(J809, SETUP!$A:$D, 4, FALSE), 0))</f>
        <v/>
      </c>
      <c r="G809" s="11" t="str">
        <f t="shared" si="1"/>
        <v/>
      </c>
      <c r="H809" s="22"/>
      <c r="I809" s="11"/>
      <c r="J809" s="17" t="str">
        <f>IF(TRIM(B809)="","",IF(ISNUMBER(SEARCH(" - ",B809)),TRIM(RIGHT(B809,LEN(B809)-FIND(" - ",B809)-2)),IFERROR(VLOOKUP(UPPER(TRIM(B809)), SETUP!$B$4:$C$11, 2, FALSE), UPPER(TRIM(B809)))))</f>
        <v/>
      </c>
      <c r="K809" s="23" t="str">
        <f t="shared" si="2"/>
        <v/>
      </c>
      <c r="L809" s="17" t="str">
        <f t="shared" si="3"/>
        <v/>
      </c>
      <c r="M809" s="17" t="str">
        <f t="shared" si="4"/>
        <v/>
      </c>
    </row>
    <row r="810" ht="15.75" customHeight="1">
      <c r="A810" s="12"/>
      <c r="B810" s="11"/>
      <c r="C810" s="11"/>
      <c r="D810" s="11"/>
      <c r="E810" s="11" t="str">
        <f>IF(J810="","", C810 * IFERROR(VLOOKUP(J810, SETUP!$A:$D, 3, FALSE), 0))</f>
        <v/>
      </c>
      <c r="F810" s="11" t="str">
        <f>IF(J810="","", C810 * IFERROR(VLOOKUP(J810, SETUP!$A:$D, 4, FALSE), 0))</f>
        <v/>
      </c>
      <c r="G810" s="11" t="str">
        <f t="shared" si="1"/>
        <v/>
      </c>
      <c r="H810" s="22"/>
      <c r="I810" s="11"/>
      <c r="J810" s="17" t="str">
        <f>IF(TRIM(B810)="","",IF(ISNUMBER(SEARCH(" - ",B810)),TRIM(RIGHT(B810,LEN(B810)-FIND(" - ",B810)-2)),IFERROR(VLOOKUP(UPPER(TRIM(B810)), SETUP!$B$4:$C$11, 2, FALSE), UPPER(TRIM(B810)))))</f>
        <v/>
      </c>
      <c r="K810" s="23" t="str">
        <f t="shared" si="2"/>
        <v/>
      </c>
      <c r="L810" s="17" t="str">
        <f t="shared" si="3"/>
        <v/>
      </c>
      <c r="M810" s="17" t="str">
        <f t="shared" si="4"/>
        <v/>
      </c>
    </row>
    <row r="811" ht="15.75" customHeight="1">
      <c r="A811" s="12"/>
      <c r="B811" s="11"/>
      <c r="C811" s="11"/>
      <c r="D811" s="11"/>
      <c r="E811" s="11" t="str">
        <f>IF(J811="","", C811 * IFERROR(VLOOKUP(J811, SETUP!$A:$D, 3, FALSE), 0))</f>
        <v/>
      </c>
      <c r="F811" s="11" t="str">
        <f>IF(J811="","", C811 * IFERROR(VLOOKUP(J811, SETUP!$A:$D, 4, FALSE), 0))</f>
        <v/>
      </c>
      <c r="G811" s="11" t="str">
        <f t="shared" si="1"/>
        <v/>
      </c>
      <c r="H811" s="22"/>
      <c r="I811" s="11"/>
      <c r="J811" s="17" t="str">
        <f>IF(TRIM(B811)="","",IF(ISNUMBER(SEARCH(" - ",B811)),TRIM(RIGHT(B811,LEN(B811)-FIND(" - ",B811)-2)),IFERROR(VLOOKUP(UPPER(TRIM(B811)), SETUP!$B$4:$C$11, 2, FALSE), UPPER(TRIM(B811)))))</f>
        <v/>
      </c>
      <c r="K811" s="23" t="str">
        <f t="shared" si="2"/>
        <v/>
      </c>
      <c r="L811" s="17" t="str">
        <f t="shared" si="3"/>
        <v/>
      </c>
      <c r="M811" s="17" t="str">
        <f t="shared" si="4"/>
        <v/>
      </c>
    </row>
    <row r="812" ht="15.75" customHeight="1">
      <c r="A812" s="12"/>
      <c r="B812" s="11"/>
      <c r="C812" s="11"/>
      <c r="D812" s="11"/>
      <c r="E812" s="11" t="str">
        <f>IF(J812="","", C812 * IFERROR(VLOOKUP(J812, SETUP!$A:$D, 3, FALSE), 0))</f>
        <v/>
      </c>
      <c r="F812" s="11" t="str">
        <f>IF(J812="","", C812 * IFERROR(VLOOKUP(J812, SETUP!$A:$D, 4, FALSE), 0))</f>
        <v/>
      </c>
      <c r="G812" s="11" t="str">
        <f t="shared" si="1"/>
        <v/>
      </c>
      <c r="H812" s="22"/>
      <c r="I812" s="11"/>
      <c r="J812" s="17" t="str">
        <f>IF(TRIM(B812)="","",IF(ISNUMBER(SEARCH(" - ",B812)),TRIM(RIGHT(B812,LEN(B812)-FIND(" - ",B812)-2)),IFERROR(VLOOKUP(UPPER(TRIM(B812)), SETUP!$B$4:$C$11, 2, FALSE), UPPER(TRIM(B812)))))</f>
        <v/>
      </c>
      <c r="K812" s="23" t="str">
        <f t="shared" si="2"/>
        <v/>
      </c>
      <c r="L812" s="17" t="str">
        <f t="shared" si="3"/>
        <v/>
      </c>
      <c r="M812" s="17" t="str">
        <f t="shared" si="4"/>
        <v/>
      </c>
    </row>
    <row r="813" ht="15.75" customHeight="1">
      <c r="A813" s="12"/>
      <c r="B813" s="11"/>
      <c r="C813" s="11"/>
      <c r="D813" s="11"/>
      <c r="E813" s="11" t="str">
        <f>IF(J813="","", C813 * IFERROR(VLOOKUP(J813, SETUP!$A:$D, 3, FALSE), 0))</f>
        <v/>
      </c>
      <c r="F813" s="11" t="str">
        <f>IF(J813="","", C813 * IFERROR(VLOOKUP(J813, SETUP!$A:$D, 4, FALSE), 0))</f>
        <v/>
      </c>
      <c r="G813" s="11" t="str">
        <f t="shared" si="1"/>
        <v/>
      </c>
      <c r="H813" s="22"/>
      <c r="I813" s="11"/>
      <c r="J813" s="17" t="str">
        <f>IF(TRIM(B813)="","",IF(ISNUMBER(SEARCH(" - ",B813)),TRIM(RIGHT(B813,LEN(B813)-FIND(" - ",B813)-2)),IFERROR(VLOOKUP(UPPER(TRIM(B813)), SETUP!$B$4:$C$11, 2, FALSE), UPPER(TRIM(B813)))))</f>
        <v/>
      </c>
      <c r="K813" s="23" t="str">
        <f t="shared" si="2"/>
        <v/>
      </c>
      <c r="L813" s="17" t="str">
        <f t="shared" si="3"/>
        <v/>
      </c>
      <c r="M813" s="17" t="str">
        <f t="shared" si="4"/>
        <v/>
      </c>
    </row>
    <row r="814" ht="15.75" customHeight="1">
      <c r="A814" s="12"/>
      <c r="B814" s="11"/>
      <c r="C814" s="11"/>
      <c r="D814" s="11"/>
      <c r="E814" s="11" t="str">
        <f>IF(J814="","", C814 * IFERROR(VLOOKUP(J814, SETUP!$A:$D, 3, FALSE), 0))</f>
        <v/>
      </c>
      <c r="F814" s="11" t="str">
        <f>IF(J814="","", C814 * IFERROR(VLOOKUP(J814, SETUP!$A:$D, 4, FALSE), 0))</f>
        <v/>
      </c>
      <c r="G814" s="11" t="str">
        <f t="shared" si="1"/>
        <v/>
      </c>
      <c r="H814" s="22"/>
      <c r="I814" s="11"/>
      <c r="J814" s="17" t="str">
        <f>IF(TRIM(B814)="","",IF(ISNUMBER(SEARCH(" - ",B814)),TRIM(RIGHT(B814,LEN(B814)-FIND(" - ",B814)-2)),IFERROR(VLOOKUP(UPPER(TRIM(B814)), SETUP!$B$4:$C$11, 2, FALSE), UPPER(TRIM(B814)))))</f>
        <v/>
      </c>
      <c r="K814" s="23" t="str">
        <f t="shared" si="2"/>
        <v/>
      </c>
      <c r="L814" s="17" t="str">
        <f t="shared" si="3"/>
        <v/>
      </c>
      <c r="M814" s="17" t="str">
        <f t="shared" si="4"/>
        <v/>
      </c>
    </row>
    <row r="815" ht="15.75" customHeight="1">
      <c r="A815" s="12"/>
      <c r="B815" s="11"/>
      <c r="C815" s="11"/>
      <c r="D815" s="11"/>
      <c r="E815" s="11" t="str">
        <f>IF(J815="","", C815 * IFERROR(VLOOKUP(J815, SETUP!$A:$D, 3, FALSE), 0))</f>
        <v/>
      </c>
      <c r="F815" s="11" t="str">
        <f>IF(J815="","", C815 * IFERROR(VLOOKUP(J815, SETUP!$A:$D, 4, FALSE), 0))</f>
        <v/>
      </c>
      <c r="G815" s="11" t="str">
        <f t="shared" si="1"/>
        <v/>
      </c>
      <c r="H815" s="22"/>
      <c r="I815" s="11"/>
      <c r="J815" s="17" t="str">
        <f>IF(TRIM(B815)="","",IF(ISNUMBER(SEARCH(" - ",B815)),TRIM(RIGHT(B815,LEN(B815)-FIND(" - ",B815)-2)),IFERROR(VLOOKUP(UPPER(TRIM(B815)), SETUP!$B$4:$C$11, 2, FALSE), UPPER(TRIM(B815)))))</f>
        <v/>
      </c>
      <c r="K815" s="23" t="str">
        <f t="shared" si="2"/>
        <v/>
      </c>
      <c r="L815" s="17" t="str">
        <f t="shared" si="3"/>
        <v/>
      </c>
      <c r="M815" s="17" t="str">
        <f t="shared" si="4"/>
        <v/>
      </c>
    </row>
    <row r="816" ht="15.75" customHeight="1">
      <c r="A816" s="12"/>
      <c r="B816" s="11"/>
      <c r="C816" s="11"/>
      <c r="D816" s="11"/>
      <c r="E816" s="11" t="str">
        <f>IF(J816="","", C816 * IFERROR(VLOOKUP(J816, SETUP!$A:$D, 3, FALSE), 0))</f>
        <v/>
      </c>
      <c r="F816" s="11" t="str">
        <f>IF(J816="","", C816 * IFERROR(VLOOKUP(J816, SETUP!$A:$D, 4, FALSE), 0))</f>
        <v/>
      </c>
      <c r="G816" s="11" t="str">
        <f t="shared" si="1"/>
        <v/>
      </c>
      <c r="H816" s="22"/>
      <c r="I816" s="11"/>
      <c r="J816" s="17" t="str">
        <f>IF(TRIM(B816)="","",IF(ISNUMBER(SEARCH(" - ",B816)),TRIM(RIGHT(B816,LEN(B816)-FIND(" - ",B816)-2)),IFERROR(VLOOKUP(UPPER(TRIM(B816)), SETUP!$B$4:$C$11, 2, FALSE), UPPER(TRIM(B816)))))</f>
        <v/>
      </c>
      <c r="K816" s="23" t="str">
        <f t="shared" si="2"/>
        <v/>
      </c>
      <c r="L816" s="17" t="str">
        <f t="shared" si="3"/>
        <v/>
      </c>
      <c r="M816" s="17" t="str">
        <f t="shared" si="4"/>
        <v/>
      </c>
    </row>
    <row r="817" ht="15.75" customHeight="1">
      <c r="A817" s="12"/>
      <c r="B817" s="11"/>
      <c r="C817" s="11"/>
      <c r="D817" s="11"/>
      <c r="E817" s="11" t="str">
        <f>IF(J817="","", C817 * IFERROR(VLOOKUP(J817, SETUP!$A:$D, 3, FALSE), 0))</f>
        <v/>
      </c>
      <c r="F817" s="11" t="str">
        <f>IF(J817="","", C817 * IFERROR(VLOOKUP(J817, SETUP!$A:$D, 4, FALSE), 0))</f>
        <v/>
      </c>
      <c r="G817" s="11" t="str">
        <f t="shared" si="1"/>
        <v/>
      </c>
      <c r="H817" s="22"/>
      <c r="I817" s="11"/>
      <c r="J817" s="17" t="str">
        <f>IF(TRIM(B817)="","",IF(ISNUMBER(SEARCH(" - ",B817)),TRIM(RIGHT(B817,LEN(B817)-FIND(" - ",B817)-2)),IFERROR(VLOOKUP(UPPER(TRIM(B817)), SETUP!$B$4:$C$11, 2, FALSE), UPPER(TRIM(B817)))))</f>
        <v/>
      </c>
      <c r="K817" s="23" t="str">
        <f t="shared" si="2"/>
        <v/>
      </c>
      <c r="L817" s="17" t="str">
        <f t="shared" si="3"/>
        <v/>
      </c>
      <c r="M817" s="17" t="str">
        <f t="shared" si="4"/>
        <v/>
      </c>
    </row>
    <row r="818" ht="15.75" customHeight="1">
      <c r="A818" s="12"/>
      <c r="B818" s="11"/>
      <c r="C818" s="11"/>
      <c r="D818" s="11"/>
      <c r="E818" s="11" t="str">
        <f>IF(J818="","", C818 * IFERROR(VLOOKUP(J818, SETUP!$A:$D, 3, FALSE), 0))</f>
        <v/>
      </c>
      <c r="F818" s="11" t="str">
        <f>IF(J818="","", C818 * IFERROR(VLOOKUP(J818, SETUP!$A:$D, 4, FALSE), 0))</f>
        <v/>
      </c>
      <c r="G818" s="11" t="str">
        <f t="shared" si="1"/>
        <v/>
      </c>
      <c r="H818" s="22"/>
      <c r="I818" s="11"/>
      <c r="J818" s="17" t="str">
        <f>IF(TRIM(B818)="","",IF(ISNUMBER(SEARCH(" - ",B818)),TRIM(RIGHT(B818,LEN(B818)-FIND(" - ",B818)-2)),IFERROR(VLOOKUP(UPPER(TRIM(B818)), SETUP!$B$4:$C$11, 2, FALSE), UPPER(TRIM(B818)))))</f>
        <v/>
      </c>
      <c r="K818" s="23" t="str">
        <f t="shared" si="2"/>
        <v/>
      </c>
      <c r="L818" s="17" t="str">
        <f t="shared" si="3"/>
        <v/>
      </c>
      <c r="M818" s="17" t="str">
        <f t="shared" si="4"/>
        <v/>
      </c>
    </row>
    <row r="819" ht="15.75" customHeight="1">
      <c r="A819" s="12"/>
      <c r="B819" s="11"/>
      <c r="C819" s="11"/>
      <c r="D819" s="11"/>
      <c r="E819" s="11" t="str">
        <f>IF(J819="","", C819 * IFERROR(VLOOKUP(J819, SETUP!$A:$D, 3, FALSE), 0))</f>
        <v/>
      </c>
      <c r="F819" s="11" t="str">
        <f>IF(J819="","", C819 * IFERROR(VLOOKUP(J819, SETUP!$A:$D, 4, FALSE), 0))</f>
        <v/>
      </c>
      <c r="G819" s="11" t="str">
        <f t="shared" si="1"/>
        <v/>
      </c>
      <c r="H819" s="22"/>
      <c r="I819" s="11"/>
      <c r="J819" s="17" t="str">
        <f>IF(TRIM(B819)="","",IF(ISNUMBER(SEARCH(" - ",B819)),TRIM(RIGHT(B819,LEN(B819)-FIND(" - ",B819)-2)),IFERROR(VLOOKUP(UPPER(TRIM(B819)), SETUP!$B$4:$C$11, 2, FALSE), UPPER(TRIM(B819)))))</f>
        <v/>
      </c>
      <c r="K819" s="23" t="str">
        <f t="shared" si="2"/>
        <v/>
      </c>
      <c r="L819" s="17" t="str">
        <f t="shared" si="3"/>
        <v/>
      </c>
      <c r="M819" s="17" t="str">
        <f t="shared" si="4"/>
        <v/>
      </c>
    </row>
    <row r="820" ht="15.75" customHeight="1">
      <c r="A820" s="12"/>
      <c r="B820" s="11"/>
      <c r="C820" s="11"/>
      <c r="D820" s="11"/>
      <c r="E820" s="11" t="str">
        <f>IF(J820="","", C820 * IFERROR(VLOOKUP(J820, SETUP!$A:$D, 3, FALSE), 0))</f>
        <v/>
      </c>
      <c r="F820" s="11" t="str">
        <f>IF(J820="","", C820 * IFERROR(VLOOKUP(J820, SETUP!$A:$D, 4, FALSE), 0))</f>
        <v/>
      </c>
      <c r="G820" s="11" t="str">
        <f t="shared" si="1"/>
        <v/>
      </c>
      <c r="H820" s="22"/>
      <c r="I820" s="11"/>
      <c r="J820" s="17" t="str">
        <f>IF(TRIM(B820)="","",IF(ISNUMBER(SEARCH(" - ",B820)),TRIM(RIGHT(B820,LEN(B820)-FIND(" - ",B820)-2)),IFERROR(VLOOKUP(UPPER(TRIM(B820)), SETUP!$B$4:$C$11, 2, FALSE), UPPER(TRIM(B820)))))</f>
        <v/>
      </c>
      <c r="K820" s="23" t="str">
        <f t="shared" si="2"/>
        <v/>
      </c>
      <c r="L820" s="17" t="str">
        <f t="shared" si="3"/>
        <v/>
      </c>
      <c r="M820" s="17" t="str">
        <f t="shared" si="4"/>
        <v/>
      </c>
    </row>
    <row r="821" ht="15.75" customHeight="1">
      <c r="A821" s="12"/>
      <c r="B821" s="11"/>
      <c r="C821" s="11"/>
      <c r="D821" s="11"/>
      <c r="E821" s="11" t="str">
        <f>IF(J821="","", C821 * IFERROR(VLOOKUP(J821, SETUP!$A:$D, 3, FALSE), 0))</f>
        <v/>
      </c>
      <c r="F821" s="11" t="str">
        <f>IF(J821="","", C821 * IFERROR(VLOOKUP(J821, SETUP!$A:$D, 4, FALSE), 0))</f>
        <v/>
      </c>
      <c r="G821" s="11" t="str">
        <f t="shared" si="1"/>
        <v/>
      </c>
      <c r="H821" s="22"/>
      <c r="I821" s="11"/>
      <c r="J821" s="17" t="str">
        <f>IF(TRIM(B821)="","",IF(ISNUMBER(SEARCH(" - ",B821)),TRIM(RIGHT(B821,LEN(B821)-FIND(" - ",B821)-2)),IFERROR(VLOOKUP(UPPER(TRIM(B821)), SETUP!$B$4:$C$11, 2, FALSE), UPPER(TRIM(B821)))))</f>
        <v/>
      </c>
      <c r="K821" s="23" t="str">
        <f t="shared" si="2"/>
        <v/>
      </c>
      <c r="L821" s="17" t="str">
        <f t="shared" si="3"/>
        <v/>
      </c>
      <c r="M821" s="17" t="str">
        <f t="shared" si="4"/>
        <v/>
      </c>
    </row>
    <row r="822" ht="15.75" customHeight="1">
      <c r="A822" s="12"/>
      <c r="B822" s="11"/>
      <c r="C822" s="11"/>
      <c r="D822" s="11"/>
      <c r="E822" s="11" t="str">
        <f>IF(J822="","", C822 * IFERROR(VLOOKUP(J822, SETUP!$A:$D, 3, FALSE), 0))</f>
        <v/>
      </c>
      <c r="F822" s="11" t="str">
        <f>IF(J822="","", C822 * IFERROR(VLOOKUP(J822, SETUP!$A:$D, 4, FALSE), 0))</f>
        <v/>
      </c>
      <c r="G822" s="11" t="str">
        <f t="shared" si="1"/>
        <v/>
      </c>
      <c r="H822" s="22"/>
      <c r="I822" s="11"/>
      <c r="J822" s="17" t="str">
        <f>IF(TRIM(B822)="","",IF(ISNUMBER(SEARCH(" - ",B822)),TRIM(RIGHT(B822,LEN(B822)-FIND(" - ",B822)-2)),IFERROR(VLOOKUP(UPPER(TRIM(B822)), SETUP!$B$4:$C$11, 2, FALSE), UPPER(TRIM(B822)))))</f>
        <v/>
      </c>
      <c r="K822" s="23" t="str">
        <f t="shared" si="2"/>
        <v/>
      </c>
      <c r="L822" s="17" t="str">
        <f t="shared" si="3"/>
        <v/>
      </c>
      <c r="M822" s="17" t="str">
        <f t="shared" si="4"/>
        <v/>
      </c>
    </row>
    <row r="823" ht="15.75" customHeight="1">
      <c r="A823" s="12"/>
      <c r="B823" s="11"/>
      <c r="C823" s="11"/>
      <c r="D823" s="11"/>
      <c r="E823" s="11" t="str">
        <f>IF(J823="","", C823 * IFERROR(VLOOKUP(J823, SETUP!$A:$D, 3, FALSE), 0))</f>
        <v/>
      </c>
      <c r="F823" s="11" t="str">
        <f>IF(J823="","", C823 * IFERROR(VLOOKUP(J823, SETUP!$A:$D, 4, FALSE), 0))</f>
        <v/>
      </c>
      <c r="G823" s="11" t="str">
        <f t="shared" si="1"/>
        <v/>
      </c>
      <c r="H823" s="22"/>
      <c r="I823" s="11"/>
      <c r="J823" s="17" t="str">
        <f>IF(TRIM(B823)="","",IF(ISNUMBER(SEARCH(" - ",B823)),TRIM(RIGHT(B823,LEN(B823)-FIND(" - ",B823)-2)),IFERROR(VLOOKUP(UPPER(TRIM(B823)), SETUP!$B$4:$C$11, 2, FALSE), UPPER(TRIM(B823)))))</f>
        <v/>
      </c>
      <c r="K823" s="23" t="str">
        <f t="shared" si="2"/>
        <v/>
      </c>
      <c r="L823" s="17" t="str">
        <f t="shared" si="3"/>
        <v/>
      </c>
      <c r="M823" s="17" t="str">
        <f t="shared" si="4"/>
        <v/>
      </c>
    </row>
    <row r="824" ht="15.75" customHeight="1">
      <c r="A824" s="12"/>
      <c r="B824" s="11"/>
      <c r="C824" s="11"/>
      <c r="D824" s="11"/>
      <c r="E824" s="11" t="str">
        <f>IF(J824="","", C824 * IFERROR(VLOOKUP(J824, SETUP!$A:$D, 3, FALSE), 0))</f>
        <v/>
      </c>
      <c r="F824" s="11" t="str">
        <f>IF(J824="","", C824 * IFERROR(VLOOKUP(J824, SETUP!$A:$D, 4, FALSE), 0))</f>
        <v/>
      </c>
      <c r="G824" s="11" t="str">
        <f t="shared" si="1"/>
        <v/>
      </c>
      <c r="H824" s="22"/>
      <c r="I824" s="11"/>
      <c r="J824" s="17" t="str">
        <f>IF(TRIM(B824)="","",IF(ISNUMBER(SEARCH(" - ",B824)),TRIM(RIGHT(B824,LEN(B824)-FIND(" - ",B824)-2)),IFERROR(VLOOKUP(UPPER(TRIM(B824)), SETUP!$B$4:$C$11, 2, FALSE), UPPER(TRIM(B824)))))</f>
        <v/>
      </c>
      <c r="K824" s="23" t="str">
        <f t="shared" si="2"/>
        <v/>
      </c>
      <c r="L824" s="17" t="str">
        <f t="shared" si="3"/>
        <v/>
      </c>
      <c r="M824" s="17" t="str">
        <f t="shared" si="4"/>
        <v/>
      </c>
    </row>
    <row r="825" ht="15.75" customHeight="1">
      <c r="A825" s="12"/>
      <c r="B825" s="11"/>
      <c r="C825" s="11"/>
      <c r="D825" s="11"/>
      <c r="E825" s="11" t="str">
        <f>IF(J825="","", C825 * IFERROR(VLOOKUP(J825, SETUP!$A:$D, 3, FALSE), 0))</f>
        <v/>
      </c>
      <c r="F825" s="11" t="str">
        <f>IF(J825="","", C825 * IFERROR(VLOOKUP(J825, SETUP!$A:$D, 4, FALSE), 0))</f>
        <v/>
      </c>
      <c r="G825" s="11" t="str">
        <f t="shared" si="1"/>
        <v/>
      </c>
      <c r="H825" s="22"/>
      <c r="I825" s="11"/>
      <c r="J825" s="17" t="str">
        <f>IF(TRIM(B825)="","",IF(ISNUMBER(SEARCH(" - ",B825)),TRIM(RIGHT(B825,LEN(B825)-FIND(" - ",B825)-2)),IFERROR(VLOOKUP(UPPER(TRIM(B825)), SETUP!$B$4:$C$11, 2, FALSE), UPPER(TRIM(B825)))))</f>
        <v/>
      </c>
      <c r="K825" s="23" t="str">
        <f t="shared" si="2"/>
        <v/>
      </c>
      <c r="L825" s="17" t="str">
        <f t="shared" si="3"/>
        <v/>
      </c>
      <c r="M825" s="17" t="str">
        <f t="shared" si="4"/>
        <v/>
      </c>
    </row>
    <row r="826" ht="15.75" customHeight="1">
      <c r="A826" s="12"/>
      <c r="B826" s="11"/>
      <c r="C826" s="11"/>
      <c r="D826" s="11"/>
      <c r="E826" s="11" t="str">
        <f>IF(J826="","", C826 * IFERROR(VLOOKUP(J826, SETUP!$A:$D, 3, FALSE), 0))</f>
        <v/>
      </c>
      <c r="F826" s="11" t="str">
        <f>IF(J826="","", C826 * IFERROR(VLOOKUP(J826, SETUP!$A:$D, 4, FALSE), 0))</f>
        <v/>
      </c>
      <c r="G826" s="11" t="str">
        <f t="shared" si="1"/>
        <v/>
      </c>
      <c r="H826" s="22"/>
      <c r="I826" s="11"/>
      <c r="J826" s="17" t="str">
        <f>IF(TRIM(B826)="","",IF(ISNUMBER(SEARCH(" - ",B826)),TRIM(RIGHT(B826,LEN(B826)-FIND(" - ",B826)-2)),IFERROR(VLOOKUP(UPPER(TRIM(B826)), SETUP!$B$4:$C$11, 2, FALSE), UPPER(TRIM(B826)))))</f>
        <v/>
      </c>
      <c r="K826" s="23" t="str">
        <f t="shared" si="2"/>
        <v/>
      </c>
      <c r="L826" s="17" t="str">
        <f t="shared" si="3"/>
        <v/>
      </c>
      <c r="M826" s="17" t="str">
        <f t="shared" si="4"/>
        <v/>
      </c>
    </row>
    <row r="827" ht="15.75" customHeight="1">
      <c r="A827" s="12"/>
      <c r="B827" s="11"/>
      <c r="C827" s="11"/>
      <c r="D827" s="11"/>
      <c r="E827" s="11" t="str">
        <f>IF(J827="","", C827 * IFERROR(VLOOKUP(J827, SETUP!$A:$D, 3, FALSE), 0))</f>
        <v/>
      </c>
      <c r="F827" s="11" t="str">
        <f>IF(J827="","", C827 * IFERROR(VLOOKUP(J827, SETUP!$A:$D, 4, FALSE), 0))</f>
        <v/>
      </c>
      <c r="G827" s="11" t="str">
        <f t="shared" si="1"/>
        <v/>
      </c>
      <c r="H827" s="22"/>
      <c r="I827" s="11"/>
      <c r="J827" s="17" t="str">
        <f>IF(TRIM(B827)="","",IF(ISNUMBER(SEARCH(" - ",B827)),TRIM(RIGHT(B827,LEN(B827)-FIND(" - ",B827)-2)),IFERROR(VLOOKUP(UPPER(TRIM(B827)), SETUP!$B$4:$C$11, 2, FALSE), UPPER(TRIM(B827)))))</f>
        <v/>
      </c>
      <c r="K827" s="23" t="str">
        <f t="shared" si="2"/>
        <v/>
      </c>
      <c r="L827" s="17" t="str">
        <f t="shared" si="3"/>
        <v/>
      </c>
      <c r="M827" s="17" t="str">
        <f t="shared" si="4"/>
        <v/>
      </c>
    </row>
    <row r="828" ht="15.75" customHeight="1">
      <c r="A828" s="12"/>
      <c r="B828" s="11"/>
      <c r="C828" s="11"/>
      <c r="D828" s="11"/>
      <c r="E828" s="11" t="str">
        <f>IF(J828="","", C828 * IFERROR(VLOOKUP(J828, SETUP!$A:$D, 3, FALSE), 0))</f>
        <v/>
      </c>
      <c r="F828" s="11" t="str">
        <f>IF(J828="","", C828 * IFERROR(VLOOKUP(J828, SETUP!$A:$D, 4, FALSE), 0))</f>
        <v/>
      </c>
      <c r="G828" s="11" t="str">
        <f t="shared" si="1"/>
        <v/>
      </c>
      <c r="H828" s="22"/>
      <c r="I828" s="11"/>
      <c r="J828" s="17" t="str">
        <f>IF(TRIM(B828)="","",IF(ISNUMBER(SEARCH(" - ",B828)),TRIM(RIGHT(B828,LEN(B828)-FIND(" - ",B828)-2)),IFERROR(VLOOKUP(UPPER(TRIM(B828)), SETUP!$B$4:$C$11, 2, FALSE), UPPER(TRIM(B828)))))</f>
        <v/>
      </c>
      <c r="K828" s="23" t="str">
        <f t="shared" si="2"/>
        <v/>
      </c>
      <c r="L828" s="17" t="str">
        <f t="shared" si="3"/>
        <v/>
      </c>
      <c r="M828" s="17" t="str">
        <f t="shared" si="4"/>
        <v/>
      </c>
    </row>
    <row r="829" ht="15.75" customHeight="1">
      <c r="A829" s="12"/>
      <c r="B829" s="11"/>
      <c r="C829" s="11"/>
      <c r="D829" s="11"/>
      <c r="E829" s="11" t="str">
        <f>IF(J829="","", C829 * IFERROR(VLOOKUP(J829, SETUP!$A:$D, 3, FALSE), 0))</f>
        <v/>
      </c>
      <c r="F829" s="11" t="str">
        <f>IF(J829="","", C829 * IFERROR(VLOOKUP(J829, SETUP!$A:$D, 4, FALSE), 0))</f>
        <v/>
      </c>
      <c r="G829" s="11" t="str">
        <f t="shared" si="1"/>
        <v/>
      </c>
      <c r="H829" s="22"/>
      <c r="I829" s="11"/>
      <c r="J829" s="17" t="str">
        <f>IF(TRIM(B829)="","",IF(ISNUMBER(SEARCH(" - ",B829)),TRIM(RIGHT(B829,LEN(B829)-FIND(" - ",B829)-2)),IFERROR(VLOOKUP(UPPER(TRIM(B829)), SETUP!$B$4:$C$11, 2, FALSE), UPPER(TRIM(B829)))))</f>
        <v/>
      </c>
      <c r="K829" s="23" t="str">
        <f t="shared" si="2"/>
        <v/>
      </c>
      <c r="L829" s="17" t="str">
        <f t="shared" si="3"/>
        <v/>
      </c>
      <c r="M829" s="17" t="str">
        <f t="shared" si="4"/>
        <v/>
      </c>
    </row>
    <row r="830" ht="15.75" customHeight="1">
      <c r="A830" s="12"/>
      <c r="B830" s="11"/>
      <c r="C830" s="11"/>
      <c r="D830" s="11"/>
      <c r="E830" s="11" t="str">
        <f>IF(J830="","", C830 * IFERROR(VLOOKUP(J830, SETUP!$A:$D, 3, FALSE), 0))</f>
        <v/>
      </c>
      <c r="F830" s="11" t="str">
        <f>IF(J830="","", C830 * IFERROR(VLOOKUP(J830, SETUP!$A:$D, 4, FALSE), 0))</f>
        <v/>
      </c>
      <c r="G830" s="11" t="str">
        <f t="shared" si="1"/>
        <v/>
      </c>
      <c r="H830" s="22"/>
      <c r="I830" s="11"/>
      <c r="J830" s="17" t="str">
        <f>IF(TRIM(B830)="","",IF(ISNUMBER(SEARCH(" - ",B830)),TRIM(RIGHT(B830,LEN(B830)-FIND(" - ",B830)-2)),IFERROR(VLOOKUP(UPPER(TRIM(B830)), SETUP!$B$4:$C$11, 2, FALSE), UPPER(TRIM(B830)))))</f>
        <v/>
      </c>
      <c r="K830" s="23" t="str">
        <f t="shared" si="2"/>
        <v/>
      </c>
      <c r="L830" s="17" t="str">
        <f t="shared" si="3"/>
        <v/>
      </c>
      <c r="M830" s="17" t="str">
        <f t="shared" si="4"/>
        <v/>
      </c>
    </row>
    <row r="831" ht="15.75" customHeight="1">
      <c r="A831" s="12"/>
      <c r="B831" s="11"/>
      <c r="C831" s="11"/>
      <c r="D831" s="11"/>
      <c r="E831" s="11" t="str">
        <f>IF(J831="","", C831 * IFERROR(VLOOKUP(J831, SETUP!$A:$D, 3, FALSE), 0))</f>
        <v/>
      </c>
      <c r="F831" s="11" t="str">
        <f>IF(J831="","", C831 * IFERROR(VLOOKUP(J831, SETUP!$A:$D, 4, FALSE), 0))</f>
        <v/>
      </c>
      <c r="G831" s="11" t="str">
        <f t="shared" si="1"/>
        <v/>
      </c>
      <c r="H831" s="22"/>
      <c r="I831" s="11"/>
      <c r="J831" s="17" t="str">
        <f>IF(TRIM(B831)="","",IF(ISNUMBER(SEARCH(" - ",B831)),TRIM(RIGHT(B831,LEN(B831)-FIND(" - ",B831)-2)),IFERROR(VLOOKUP(UPPER(TRIM(B831)), SETUP!$B$4:$C$11, 2, FALSE), UPPER(TRIM(B831)))))</f>
        <v/>
      </c>
      <c r="K831" s="23" t="str">
        <f t="shared" si="2"/>
        <v/>
      </c>
      <c r="L831" s="17" t="str">
        <f t="shared" si="3"/>
        <v/>
      </c>
      <c r="M831" s="17" t="str">
        <f t="shared" si="4"/>
        <v/>
      </c>
    </row>
    <row r="832" ht="15.75" customHeight="1">
      <c r="A832" s="12"/>
      <c r="B832" s="11"/>
      <c r="C832" s="11"/>
      <c r="D832" s="11"/>
      <c r="E832" s="11" t="str">
        <f>IF(J832="","", C832 * IFERROR(VLOOKUP(J832, SETUP!$A:$D, 3, FALSE), 0))</f>
        <v/>
      </c>
      <c r="F832" s="11" t="str">
        <f>IF(J832="","", C832 * IFERROR(VLOOKUP(J832, SETUP!$A:$D, 4, FALSE), 0))</f>
        <v/>
      </c>
      <c r="G832" s="11" t="str">
        <f t="shared" si="1"/>
        <v/>
      </c>
      <c r="H832" s="22"/>
      <c r="I832" s="11"/>
      <c r="J832" s="17" t="str">
        <f>IF(TRIM(B832)="","",IF(ISNUMBER(SEARCH(" - ",B832)),TRIM(RIGHT(B832,LEN(B832)-FIND(" - ",B832)-2)),IFERROR(VLOOKUP(UPPER(TRIM(B832)), SETUP!$B$4:$C$11, 2, FALSE), UPPER(TRIM(B832)))))</f>
        <v/>
      </c>
      <c r="K832" s="23" t="str">
        <f t="shared" si="2"/>
        <v/>
      </c>
      <c r="L832" s="17" t="str">
        <f t="shared" si="3"/>
        <v/>
      </c>
      <c r="M832" s="17" t="str">
        <f t="shared" si="4"/>
        <v/>
      </c>
    </row>
    <row r="833" ht="15.75" customHeight="1">
      <c r="A833" s="12"/>
      <c r="B833" s="11"/>
      <c r="C833" s="11"/>
      <c r="D833" s="11"/>
      <c r="E833" s="11" t="str">
        <f>IF(J833="","", C833 * IFERROR(VLOOKUP(J833, SETUP!$A:$D, 3, FALSE), 0))</f>
        <v/>
      </c>
      <c r="F833" s="11" t="str">
        <f>IF(J833="","", C833 * IFERROR(VLOOKUP(J833, SETUP!$A:$D, 4, FALSE), 0))</f>
        <v/>
      </c>
      <c r="G833" s="11" t="str">
        <f t="shared" si="1"/>
        <v/>
      </c>
      <c r="H833" s="22"/>
      <c r="I833" s="11"/>
      <c r="J833" s="17" t="str">
        <f>IF(TRIM(B833)="","",IF(ISNUMBER(SEARCH(" - ",B833)),TRIM(RIGHT(B833,LEN(B833)-FIND(" - ",B833)-2)),IFERROR(VLOOKUP(UPPER(TRIM(B833)), SETUP!$B$4:$C$11, 2, FALSE), UPPER(TRIM(B833)))))</f>
        <v/>
      </c>
      <c r="K833" s="23" t="str">
        <f t="shared" si="2"/>
        <v/>
      </c>
      <c r="L833" s="17" t="str">
        <f t="shared" si="3"/>
        <v/>
      </c>
      <c r="M833" s="17" t="str">
        <f t="shared" si="4"/>
        <v/>
      </c>
    </row>
    <row r="834" ht="15.75" customHeight="1">
      <c r="A834" s="12"/>
      <c r="B834" s="11"/>
      <c r="C834" s="11"/>
      <c r="D834" s="11"/>
      <c r="E834" s="11" t="str">
        <f>IF(J834="","", C834 * IFERROR(VLOOKUP(J834, SETUP!$A:$D, 3, FALSE), 0))</f>
        <v/>
      </c>
      <c r="F834" s="11" t="str">
        <f>IF(J834="","", C834 * IFERROR(VLOOKUP(J834, SETUP!$A:$D, 4, FALSE), 0))</f>
        <v/>
      </c>
      <c r="G834" s="11" t="str">
        <f t="shared" si="1"/>
        <v/>
      </c>
      <c r="H834" s="22"/>
      <c r="I834" s="11"/>
      <c r="J834" s="17" t="str">
        <f>IF(TRIM(B834)="","",IF(ISNUMBER(SEARCH(" - ",B834)),TRIM(RIGHT(B834,LEN(B834)-FIND(" - ",B834)-2)),IFERROR(VLOOKUP(UPPER(TRIM(B834)), SETUP!$B$4:$C$11, 2, FALSE), UPPER(TRIM(B834)))))</f>
        <v/>
      </c>
      <c r="K834" s="23" t="str">
        <f t="shared" si="2"/>
        <v/>
      </c>
      <c r="L834" s="17" t="str">
        <f t="shared" si="3"/>
        <v/>
      </c>
      <c r="M834" s="17" t="str">
        <f t="shared" si="4"/>
        <v/>
      </c>
    </row>
    <row r="835" ht="15.75" customHeight="1">
      <c r="A835" s="12"/>
      <c r="B835" s="11"/>
      <c r="C835" s="11"/>
      <c r="D835" s="11"/>
      <c r="E835" s="11" t="str">
        <f>IF(J835="","", C835 * IFERROR(VLOOKUP(J835, SETUP!$A:$D, 3, FALSE), 0))</f>
        <v/>
      </c>
      <c r="F835" s="11" t="str">
        <f>IF(J835="","", C835 * IFERROR(VLOOKUP(J835, SETUP!$A:$D, 4, FALSE), 0))</f>
        <v/>
      </c>
      <c r="G835" s="11" t="str">
        <f t="shared" si="1"/>
        <v/>
      </c>
      <c r="H835" s="22"/>
      <c r="I835" s="11"/>
      <c r="J835" s="17" t="str">
        <f>IF(TRIM(B835)="","",IF(ISNUMBER(SEARCH(" - ",B835)),TRIM(RIGHT(B835,LEN(B835)-FIND(" - ",B835)-2)),IFERROR(VLOOKUP(UPPER(TRIM(B835)), SETUP!$B$4:$C$11, 2, FALSE), UPPER(TRIM(B835)))))</f>
        <v/>
      </c>
      <c r="K835" s="23" t="str">
        <f t="shared" si="2"/>
        <v/>
      </c>
      <c r="L835" s="17" t="str">
        <f t="shared" si="3"/>
        <v/>
      </c>
      <c r="M835" s="17" t="str">
        <f t="shared" si="4"/>
        <v/>
      </c>
    </row>
    <row r="836" ht="15.75" customHeight="1">
      <c r="A836" s="12"/>
      <c r="B836" s="11"/>
      <c r="C836" s="11"/>
      <c r="D836" s="11"/>
      <c r="E836" s="11" t="str">
        <f>IF(J836="","", C836 * IFERROR(VLOOKUP(J836, SETUP!$A:$D, 3, FALSE), 0))</f>
        <v/>
      </c>
      <c r="F836" s="11" t="str">
        <f>IF(J836="","", C836 * IFERROR(VLOOKUP(J836, SETUP!$A:$D, 4, FALSE), 0))</f>
        <v/>
      </c>
      <c r="G836" s="11" t="str">
        <f t="shared" si="1"/>
        <v/>
      </c>
      <c r="H836" s="22"/>
      <c r="I836" s="11"/>
      <c r="J836" s="17" t="str">
        <f>IF(TRIM(B836)="","",IF(ISNUMBER(SEARCH(" - ",B836)),TRIM(RIGHT(B836,LEN(B836)-FIND(" - ",B836)-2)),IFERROR(VLOOKUP(UPPER(TRIM(B836)), SETUP!$B$4:$C$11, 2, FALSE), UPPER(TRIM(B836)))))</f>
        <v/>
      </c>
      <c r="K836" s="23" t="str">
        <f t="shared" si="2"/>
        <v/>
      </c>
      <c r="L836" s="17" t="str">
        <f t="shared" si="3"/>
        <v/>
      </c>
      <c r="M836" s="17" t="str">
        <f t="shared" si="4"/>
        <v/>
      </c>
    </row>
    <row r="837" ht="15.75" customHeight="1">
      <c r="A837" s="12"/>
      <c r="B837" s="11"/>
      <c r="C837" s="11"/>
      <c r="D837" s="11"/>
      <c r="E837" s="11" t="str">
        <f>IF(J837="","", C837 * IFERROR(VLOOKUP(J837, SETUP!$A:$D, 3, FALSE), 0))</f>
        <v/>
      </c>
      <c r="F837" s="11" t="str">
        <f>IF(J837="","", C837 * IFERROR(VLOOKUP(J837, SETUP!$A:$D, 4, FALSE), 0))</f>
        <v/>
      </c>
      <c r="G837" s="11" t="str">
        <f t="shared" si="1"/>
        <v/>
      </c>
      <c r="H837" s="22"/>
      <c r="I837" s="11"/>
      <c r="J837" s="17" t="str">
        <f>IF(TRIM(B837)="","",IF(ISNUMBER(SEARCH(" - ",B837)),TRIM(RIGHT(B837,LEN(B837)-FIND(" - ",B837)-2)),IFERROR(VLOOKUP(UPPER(TRIM(B837)), SETUP!$B$4:$C$11, 2, FALSE), UPPER(TRIM(B837)))))</f>
        <v/>
      </c>
      <c r="K837" s="23" t="str">
        <f t="shared" si="2"/>
        <v/>
      </c>
      <c r="L837" s="17" t="str">
        <f t="shared" si="3"/>
        <v/>
      </c>
      <c r="M837" s="17" t="str">
        <f t="shared" si="4"/>
        <v/>
      </c>
    </row>
    <row r="838" ht="15.75" customHeight="1">
      <c r="A838" s="12"/>
      <c r="B838" s="11"/>
      <c r="C838" s="11"/>
      <c r="D838" s="11"/>
      <c r="E838" s="11" t="str">
        <f>IF(J838="","", C838 * IFERROR(VLOOKUP(J838, SETUP!$A:$D, 3, FALSE), 0))</f>
        <v/>
      </c>
      <c r="F838" s="11" t="str">
        <f>IF(J838="","", C838 * IFERROR(VLOOKUP(J838, SETUP!$A:$D, 4, FALSE), 0))</f>
        <v/>
      </c>
      <c r="G838" s="11" t="str">
        <f t="shared" si="1"/>
        <v/>
      </c>
      <c r="H838" s="22"/>
      <c r="I838" s="11"/>
      <c r="J838" s="17" t="str">
        <f>IF(TRIM(B838)="","",IF(ISNUMBER(SEARCH(" - ",B838)),TRIM(RIGHT(B838,LEN(B838)-FIND(" - ",B838)-2)),IFERROR(VLOOKUP(UPPER(TRIM(B838)), SETUP!$B$4:$C$11, 2, FALSE), UPPER(TRIM(B838)))))</f>
        <v/>
      </c>
      <c r="K838" s="23" t="str">
        <f t="shared" si="2"/>
        <v/>
      </c>
      <c r="L838" s="17" t="str">
        <f t="shared" si="3"/>
        <v/>
      </c>
      <c r="M838" s="17" t="str">
        <f t="shared" si="4"/>
        <v/>
      </c>
    </row>
    <row r="839" ht="15.75" customHeight="1">
      <c r="A839" s="12"/>
      <c r="B839" s="11"/>
      <c r="C839" s="11"/>
      <c r="D839" s="11"/>
      <c r="E839" s="11" t="str">
        <f>IF(J839="","", C839 * IFERROR(VLOOKUP(J839, SETUP!$A:$D, 3, FALSE), 0))</f>
        <v/>
      </c>
      <c r="F839" s="11" t="str">
        <f>IF(J839="","", C839 * IFERROR(VLOOKUP(J839, SETUP!$A:$D, 4, FALSE), 0))</f>
        <v/>
      </c>
      <c r="G839" s="11" t="str">
        <f t="shared" si="1"/>
        <v/>
      </c>
      <c r="H839" s="22"/>
      <c r="I839" s="11"/>
      <c r="J839" s="17" t="str">
        <f>IF(TRIM(B839)="","",IF(ISNUMBER(SEARCH(" - ",B839)),TRIM(RIGHT(B839,LEN(B839)-FIND(" - ",B839)-2)),IFERROR(VLOOKUP(UPPER(TRIM(B839)), SETUP!$B$4:$C$11, 2, FALSE), UPPER(TRIM(B839)))))</f>
        <v/>
      </c>
      <c r="K839" s="23" t="str">
        <f t="shared" si="2"/>
        <v/>
      </c>
      <c r="L839" s="17" t="str">
        <f t="shared" si="3"/>
        <v/>
      </c>
      <c r="M839" s="17" t="str">
        <f t="shared" si="4"/>
        <v/>
      </c>
    </row>
    <row r="840" ht="15.75" customHeight="1">
      <c r="A840" s="12"/>
      <c r="B840" s="11"/>
      <c r="C840" s="11"/>
      <c r="D840" s="11"/>
      <c r="E840" s="11" t="str">
        <f>IF(J840="","", C840 * IFERROR(VLOOKUP(J840, SETUP!$A:$D, 3, FALSE), 0))</f>
        <v/>
      </c>
      <c r="F840" s="11" t="str">
        <f>IF(J840="","", C840 * IFERROR(VLOOKUP(J840, SETUP!$A:$D, 4, FALSE), 0))</f>
        <v/>
      </c>
      <c r="G840" s="11" t="str">
        <f t="shared" si="1"/>
        <v/>
      </c>
      <c r="H840" s="22"/>
      <c r="I840" s="11"/>
      <c r="J840" s="17" t="str">
        <f>IF(TRIM(B840)="","",IF(ISNUMBER(SEARCH(" - ",B840)),TRIM(RIGHT(B840,LEN(B840)-FIND(" - ",B840)-2)),IFERROR(VLOOKUP(UPPER(TRIM(B840)), SETUP!$B$4:$C$11, 2, FALSE), UPPER(TRIM(B840)))))</f>
        <v/>
      </c>
      <c r="K840" s="23" t="str">
        <f t="shared" si="2"/>
        <v/>
      </c>
      <c r="L840" s="17" t="str">
        <f t="shared" si="3"/>
        <v/>
      </c>
      <c r="M840" s="17" t="str">
        <f t="shared" si="4"/>
        <v/>
      </c>
    </row>
    <row r="841" ht="15.75" customHeight="1">
      <c r="A841" s="12"/>
      <c r="B841" s="11"/>
      <c r="C841" s="11"/>
      <c r="D841" s="11"/>
      <c r="E841" s="11" t="str">
        <f>IF(J841="","", C841 * IFERROR(VLOOKUP(J841, SETUP!$A:$D, 3, FALSE), 0))</f>
        <v/>
      </c>
      <c r="F841" s="11" t="str">
        <f>IF(J841="","", C841 * IFERROR(VLOOKUP(J841, SETUP!$A:$D, 4, FALSE), 0))</f>
        <v/>
      </c>
      <c r="G841" s="11" t="str">
        <f t="shared" si="1"/>
        <v/>
      </c>
      <c r="H841" s="22"/>
      <c r="I841" s="11"/>
      <c r="J841" s="17" t="str">
        <f>IF(TRIM(B841)="","",IF(ISNUMBER(SEARCH(" - ",B841)),TRIM(RIGHT(B841,LEN(B841)-FIND(" - ",B841)-2)),IFERROR(VLOOKUP(UPPER(TRIM(B841)), SETUP!$B$4:$C$11, 2, FALSE), UPPER(TRIM(B841)))))</f>
        <v/>
      </c>
      <c r="K841" s="23" t="str">
        <f t="shared" si="2"/>
        <v/>
      </c>
      <c r="L841" s="17" t="str">
        <f t="shared" si="3"/>
        <v/>
      </c>
      <c r="M841" s="17" t="str">
        <f t="shared" si="4"/>
        <v/>
      </c>
    </row>
    <row r="842" ht="15.75" customHeight="1">
      <c r="A842" s="12"/>
      <c r="B842" s="11"/>
      <c r="C842" s="11"/>
      <c r="D842" s="11"/>
      <c r="E842" s="11" t="str">
        <f>IF(J842="","", C842 * IFERROR(VLOOKUP(J842, SETUP!$A:$D, 3, FALSE), 0))</f>
        <v/>
      </c>
      <c r="F842" s="11" t="str">
        <f>IF(J842="","", C842 * IFERROR(VLOOKUP(J842, SETUP!$A:$D, 4, FALSE), 0))</f>
        <v/>
      </c>
      <c r="G842" s="11" t="str">
        <f t="shared" si="1"/>
        <v/>
      </c>
      <c r="H842" s="22"/>
      <c r="I842" s="11"/>
      <c r="J842" s="17" t="str">
        <f>IF(TRIM(B842)="","",IF(ISNUMBER(SEARCH(" - ",B842)),TRIM(RIGHT(B842,LEN(B842)-FIND(" - ",B842)-2)),IFERROR(VLOOKUP(UPPER(TRIM(B842)), SETUP!$B$4:$C$11, 2, FALSE), UPPER(TRIM(B842)))))</f>
        <v/>
      </c>
      <c r="K842" s="23" t="str">
        <f t="shared" si="2"/>
        <v/>
      </c>
      <c r="L842" s="17" t="str">
        <f t="shared" si="3"/>
        <v/>
      </c>
      <c r="M842" s="17" t="str">
        <f t="shared" si="4"/>
        <v/>
      </c>
    </row>
    <row r="843" ht="15.75" customHeight="1">
      <c r="A843" s="12"/>
      <c r="B843" s="11"/>
      <c r="C843" s="11"/>
      <c r="D843" s="11"/>
      <c r="E843" s="11" t="str">
        <f>IF(J843="","", C843 * IFERROR(VLOOKUP(J843, SETUP!$A:$D, 3, FALSE), 0))</f>
        <v/>
      </c>
      <c r="F843" s="11" t="str">
        <f>IF(J843="","", C843 * IFERROR(VLOOKUP(J843, SETUP!$A:$D, 4, FALSE), 0))</f>
        <v/>
      </c>
      <c r="G843" s="11" t="str">
        <f t="shared" si="1"/>
        <v/>
      </c>
      <c r="H843" s="22"/>
      <c r="I843" s="11"/>
      <c r="J843" s="17" t="str">
        <f>IF(TRIM(B843)="","",IF(ISNUMBER(SEARCH(" - ",B843)),TRIM(RIGHT(B843,LEN(B843)-FIND(" - ",B843)-2)),IFERROR(VLOOKUP(UPPER(TRIM(B843)), SETUP!$B$4:$C$11, 2, FALSE), UPPER(TRIM(B843)))))</f>
        <v/>
      </c>
      <c r="K843" s="23" t="str">
        <f t="shared" si="2"/>
        <v/>
      </c>
      <c r="L843" s="17" t="str">
        <f t="shared" si="3"/>
        <v/>
      </c>
      <c r="M843" s="17" t="str">
        <f t="shared" si="4"/>
        <v/>
      </c>
    </row>
    <row r="844" ht="15.75" customHeight="1">
      <c r="A844" s="12"/>
      <c r="B844" s="11"/>
      <c r="C844" s="11"/>
      <c r="D844" s="11"/>
      <c r="E844" s="11" t="str">
        <f>IF(J844="","", C844 * IFERROR(VLOOKUP(J844, SETUP!$A:$D, 3, FALSE), 0))</f>
        <v/>
      </c>
      <c r="F844" s="11" t="str">
        <f>IF(J844="","", C844 * IFERROR(VLOOKUP(J844, SETUP!$A:$D, 4, FALSE), 0))</f>
        <v/>
      </c>
      <c r="G844" s="11" t="str">
        <f t="shared" si="1"/>
        <v/>
      </c>
      <c r="H844" s="22"/>
      <c r="I844" s="11"/>
      <c r="J844" s="17" t="str">
        <f>IF(TRIM(B844)="","",IF(ISNUMBER(SEARCH(" - ",B844)),TRIM(RIGHT(B844,LEN(B844)-FIND(" - ",B844)-2)),IFERROR(VLOOKUP(UPPER(TRIM(B844)), SETUP!$B$4:$C$11, 2, FALSE), UPPER(TRIM(B844)))))</f>
        <v/>
      </c>
      <c r="K844" s="23" t="str">
        <f t="shared" si="2"/>
        <v/>
      </c>
      <c r="L844" s="17" t="str">
        <f t="shared" si="3"/>
        <v/>
      </c>
      <c r="M844" s="17" t="str">
        <f t="shared" si="4"/>
        <v/>
      </c>
    </row>
    <row r="845" ht="15.75" customHeight="1">
      <c r="A845" s="12"/>
      <c r="B845" s="11"/>
      <c r="C845" s="11"/>
      <c r="D845" s="11"/>
      <c r="E845" s="11" t="str">
        <f>IF(J845="","", C845 * IFERROR(VLOOKUP(J845, SETUP!$A:$D, 3, FALSE), 0))</f>
        <v/>
      </c>
      <c r="F845" s="11" t="str">
        <f>IF(J845="","", C845 * IFERROR(VLOOKUP(J845, SETUP!$A:$D, 4, FALSE), 0))</f>
        <v/>
      </c>
      <c r="G845" s="11" t="str">
        <f t="shared" si="1"/>
        <v/>
      </c>
      <c r="H845" s="22"/>
      <c r="I845" s="11"/>
      <c r="J845" s="17" t="str">
        <f>IF(TRIM(B845)="","",IF(ISNUMBER(SEARCH(" - ",B845)),TRIM(RIGHT(B845,LEN(B845)-FIND(" - ",B845)-2)),IFERROR(VLOOKUP(UPPER(TRIM(B845)), SETUP!$B$4:$C$11, 2, FALSE), UPPER(TRIM(B845)))))</f>
        <v/>
      </c>
      <c r="K845" s="23" t="str">
        <f t="shared" si="2"/>
        <v/>
      </c>
      <c r="L845" s="17" t="str">
        <f t="shared" si="3"/>
        <v/>
      </c>
      <c r="M845" s="17" t="str">
        <f t="shared" si="4"/>
        <v/>
      </c>
    </row>
    <row r="846" ht="15.75" customHeight="1">
      <c r="A846" s="12"/>
      <c r="B846" s="11"/>
      <c r="C846" s="11"/>
      <c r="D846" s="11"/>
      <c r="E846" s="11" t="str">
        <f>IF(J846="","", C846 * IFERROR(VLOOKUP(J846, SETUP!$A:$D, 3, FALSE), 0))</f>
        <v/>
      </c>
      <c r="F846" s="11" t="str">
        <f>IF(J846="","", C846 * IFERROR(VLOOKUP(J846, SETUP!$A:$D, 4, FALSE), 0))</f>
        <v/>
      </c>
      <c r="G846" s="11" t="str">
        <f t="shared" si="1"/>
        <v/>
      </c>
      <c r="H846" s="22"/>
      <c r="I846" s="11"/>
      <c r="J846" s="17" t="str">
        <f>IF(TRIM(B846)="","",IF(ISNUMBER(SEARCH(" - ",B846)),TRIM(RIGHT(B846,LEN(B846)-FIND(" - ",B846)-2)),IFERROR(VLOOKUP(UPPER(TRIM(B846)), SETUP!$B$4:$C$11, 2, FALSE), UPPER(TRIM(B846)))))</f>
        <v/>
      </c>
      <c r="K846" s="23" t="str">
        <f t="shared" si="2"/>
        <v/>
      </c>
      <c r="L846" s="17" t="str">
        <f t="shared" si="3"/>
        <v/>
      </c>
      <c r="M846" s="17" t="str">
        <f t="shared" si="4"/>
        <v/>
      </c>
    </row>
    <row r="847" ht="15.75" customHeight="1">
      <c r="A847" s="12"/>
      <c r="B847" s="11"/>
      <c r="C847" s="11"/>
      <c r="D847" s="11"/>
      <c r="E847" s="11" t="str">
        <f>IF(J847="","", C847 * IFERROR(VLOOKUP(J847, SETUP!$A:$D, 3, FALSE), 0))</f>
        <v/>
      </c>
      <c r="F847" s="11" t="str">
        <f>IF(J847="","", C847 * IFERROR(VLOOKUP(J847, SETUP!$A:$D, 4, FALSE), 0))</f>
        <v/>
      </c>
      <c r="G847" s="11" t="str">
        <f t="shared" si="1"/>
        <v/>
      </c>
      <c r="H847" s="22"/>
      <c r="I847" s="11"/>
      <c r="J847" s="17" t="str">
        <f>IF(TRIM(B847)="","",IF(ISNUMBER(SEARCH(" - ",B847)),TRIM(RIGHT(B847,LEN(B847)-FIND(" - ",B847)-2)),IFERROR(VLOOKUP(UPPER(TRIM(B847)), SETUP!$B$4:$C$11, 2, FALSE), UPPER(TRIM(B847)))))</f>
        <v/>
      </c>
      <c r="K847" s="23" t="str">
        <f t="shared" si="2"/>
        <v/>
      </c>
      <c r="L847" s="17" t="str">
        <f t="shared" si="3"/>
        <v/>
      </c>
      <c r="M847" s="17" t="str">
        <f t="shared" si="4"/>
        <v/>
      </c>
    </row>
    <row r="848" ht="15.75" customHeight="1">
      <c r="A848" s="12"/>
      <c r="B848" s="11"/>
      <c r="C848" s="11"/>
      <c r="D848" s="11"/>
      <c r="E848" s="11" t="str">
        <f>IF(J848="","", C848 * IFERROR(VLOOKUP(J848, SETUP!$A:$D, 3, FALSE), 0))</f>
        <v/>
      </c>
      <c r="F848" s="11" t="str">
        <f>IF(J848="","", C848 * IFERROR(VLOOKUP(J848, SETUP!$A:$D, 4, FALSE), 0))</f>
        <v/>
      </c>
      <c r="G848" s="11" t="str">
        <f t="shared" si="1"/>
        <v/>
      </c>
      <c r="H848" s="22"/>
      <c r="I848" s="11"/>
      <c r="J848" s="17" t="str">
        <f>IF(TRIM(B848)="","",IF(ISNUMBER(SEARCH(" - ",B848)),TRIM(RIGHT(B848,LEN(B848)-FIND(" - ",B848)-2)),IFERROR(VLOOKUP(UPPER(TRIM(B848)), SETUP!$B$4:$C$11, 2, FALSE), UPPER(TRIM(B848)))))</f>
        <v/>
      </c>
      <c r="K848" s="23" t="str">
        <f t="shared" si="2"/>
        <v/>
      </c>
      <c r="L848" s="17" t="str">
        <f t="shared" si="3"/>
        <v/>
      </c>
      <c r="M848" s="17" t="str">
        <f t="shared" si="4"/>
        <v/>
      </c>
    </row>
    <row r="849" ht="15.75" customHeight="1">
      <c r="A849" s="12"/>
      <c r="B849" s="11"/>
      <c r="C849" s="11"/>
      <c r="D849" s="11"/>
      <c r="E849" s="11" t="str">
        <f>IF(J849="","", C849 * IFERROR(VLOOKUP(J849, SETUP!$A:$D, 3, FALSE), 0))</f>
        <v/>
      </c>
      <c r="F849" s="11" t="str">
        <f>IF(J849="","", C849 * IFERROR(VLOOKUP(J849, SETUP!$A:$D, 4, FALSE), 0))</f>
        <v/>
      </c>
      <c r="G849" s="11" t="str">
        <f t="shared" si="1"/>
        <v/>
      </c>
      <c r="H849" s="22"/>
      <c r="I849" s="11"/>
      <c r="J849" s="17" t="str">
        <f>IF(TRIM(B849)="","",IF(ISNUMBER(SEARCH(" - ",B849)),TRIM(RIGHT(B849,LEN(B849)-FIND(" - ",B849)-2)),IFERROR(VLOOKUP(UPPER(TRIM(B849)), SETUP!$B$4:$C$11, 2, FALSE), UPPER(TRIM(B849)))))</f>
        <v/>
      </c>
      <c r="K849" s="23" t="str">
        <f t="shared" si="2"/>
        <v/>
      </c>
      <c r="L849" s="17" t="str">
        <f t="shared" si="3"/>
        <v/>
      </c>
      <c r="M849" s="17" t="str">
        <f t="shared" si="4"/>
        <v/>
      </c>
    </row>
    <row r="850" ht="15.75" customHeight="1">
      <c r="A850" s="12"/>
      <c r="B850" s="11"/>
      <c r="C850" s="11"/>
      <c r="D850" s="11"/>
      <c r="E850" s="11" t="str">
        <f>IF(J850="","", C850 * IFERROR(VLOOKUP(J850, SETUP!$A:$D, 3, FALSE), 0))</f>
        <v/>
      </c>
      <c r="F850" s="11" t="str">
        <f>IF(J850="","", C850 * IFERROR(VLOOKUP(J850, SETUP!$A:$D, 4, FALSE), 0))</f>
        <v/>
      </c>
      <c r="G850" s="11" t="str">
        <f t="shared" si="1"/>
        <v/>
      </c>
      <c r="H850" s="22"/>
      <c r="I850" s="11"/>
      <c r="J850" s="17" t="str">
        <f>IF(TRIM(B850)="","",IF(ISNUMBER(SEARCH(" - ",B850)),TRIM(RIGHT(B850,LEN(B850)-FIND(" - ",B850)-2)),IFERROR(VLOOKUP(UPPER(TRIM(B850)), SETUP!$B$4:$C$11, 2, FALSE), UPPER(TRIM(B850)))))</f>
        <v/>
      </c>
      <c r="K850" s="23" t="str">
        <f t="shared" si="2"/>
        <v/>
      </c>
      <c r="L850" s="17" t="str">
        <f t="shared" si="3"/>
        <v/>
      </c>
      <c r="M850" s="17" t="str">
        <f t="shared" si="4"/>
        <v/>
      </c>
    </row>
    <row r="851" ht="15.75" customHeight="1">
      <c r="A851" s="12"/>
      <c r="B851" s="11"/>
      <c r="C851" s="11"/>
      <c r="D851" s="11"/>
      <c r="E851" s="11" t="str">
        <f>IF(J851="","", C851 * IFERROR(VLOOKUP(J851, SETUP!$A:$D, 3, FALSE), 0))</f>
        <v/>
      </c>
      <c r="F851" s="11" t="str">
        <f>IF(J851="","", C851 * IFERROR(VLOOKUP(J851, SETUP!$A:$D, 4, FALSE), 0))</f>
        <v/>
      </c>
      <c r="G851" s="11" t="str">
        <f t="shared" si="1"/>
        <v/>
      </c>
      <c r="H851" s="22"/>
      <c r="I851" s="11"/>
      <c r="J851" s="17" t="str">
        <f>IF(TRIM(B851)="","",IF(ISNUMBER(SEARCH(" - ",B851)),TRIM(RIGHT(B851,LEN(B851)-FIND(" - ",B851)-2)),IFERROR(VLOOKUP(UPPER(TRIM(B851)), SETUP!$B$4:$C$11, 2, FALSE), UPPER(TRIM(B851)))))</f>
        <v/>
      </c>
      <c r="K851" s="23" t="str">
        <f t="shared" si="2"/>
        <v/>
      </c>
      <c r="L851" s="17" t="str">
        <f t="shared" si="3"/>
        <v/>
      </c>
      <c r="M851" s="17" t="str">
        <f t="shared" si="4"/>
        <v/>
      </c>
    </row>
    <row r="852" ht="15.75" customHeight="1">
      <c r="A852" s="12"/>
      <c r="B852" s="11"/>
      <c r="C852" s="11"/>
      <c r="D852" s="11"/>
      <c r="E852" s="11" t="str">
        <f>IF(J852="","", C852 * IFERROR(VLOOKUP(J852, SETUP!$A:$D, 3, FALSE), 0))</f>
        <v/>
      </c>
      <c r="F852" s="11" t="str">
        <f>IF(J852="","", C852 * IFERROR(VLOOKUP(J852, SETUP!$A:$D, 4, FALSE), 0))</f>
        <v/>
      </c>
      <c r="G852" s="11" t="str">
        <f t="shared" si="1"/>
        <v/>
      </c>
      <c r="H852" s="22"/>
      <c r="I852" s="11"/>
      <c r="J852" s="17" t="str">
        <f>IF(TRIM(B852)="","",IF(ISNUMBER(SEARCH(" - ",B852)),TRIM(RIGHT(B852,LEN(B852)-FIND(" - ",B852)-2)),IFERROR(VLOOKUP(UPPER(TRIM(B852)), SETUP!$B$4:$C$11, 2, FALSE), UPPER(TRIM(B852)))))</f>
        <v/>
      </c>
      <c r="K852" s="23" t="str">
        <f t="shared" si="2"/>
        <v/>
      </c>
      <c r="L852" s="17" t="str">
        <f t="shared" si="3"/>
        <v/>
      </c>
      <c r="M852" s="17" t="str">
        <f t="shared" si="4"/>
        <v/>
      </c>
    </row>
    <row r="853" ht="15.75" customHeight="1">
      <c r="A853" s="12"/>
      <c r="B853" s="11"/>
      <c r="C853" s="11"/>
      <c r="D853" s="11"/>
      <c r="E853" s="11" t="str">
        <f>IF(J853="","", C853 * IFERROR(VLOOKUP(J853, SETUP!$A:$D, 3, FALSE), 0))</f>
        <v/>
      </c>
      <c r="F853" s="11" t="str">
        <f>IF(J853="","", C853 * IFERROR(VLOOKUP(J853, SETUP!$A:$D, 4, FALSE), 0))</f>
        <v/>
      </c>
      <c r="G853" s="11" t="str">
        <f t="shared" si="1"/>
        <v/>
      </c>
      <c r="H853" s="22"/>
      <c r="I853" s="11"/>
      <c r="J853" s="17" t="str">
        <f>IF(TRIM(B853)="","",IF(ISNUMBER(SEARCH(" - ",B853)),TRIM(RIGHT(B853,LEN(B853)-FIND(" - ",B853)-2)),IFERROR(VLOOKUP(UPPER(TRIM(B853)), SETUP!$B$4:$C$11, 2, FALSE), UPPER(TRIM(B853)))))</f>
        <v/>
      </c>
      <c r="K853" s="23" t="str">
        <f t="shared" si="2"/>
        <v/>
      </c>
      <c r="L853" s="17" t="str">
        <f t="shared" si="3"/>
        <v/>
      </c>
      <c r="M853" s="17" t="str">
        <f t="shared" si="4"/>
        <v/>
      </c>
    </row>
    <row r="854" ht="15.75" customHeight="1">
      <c r="A854" s="12"/>
      <c r="B854" s="11"/>
      <c r="C854" s="11"/>
      <c r="D854" s="11"/>
      <c r="E854" s="11" t="str">
        <f>IF(J854="","", C854 * IFERROR(VLOOKUP(J854, SETUP!$A:$D, 3, FALSE), 0))</f>
        <v/>
      </c>
      <c r="F854" s="11" t="str">
        <f>IF(J854="","", C854 * IFERROR(VLOOKUP(J854, SETUP!$A:$D, 4, FALSE), 0))</f>
        <v/>
      </c>
      <c r="G854" s="11" t="str">
        <f t="shared" si="1"/>
        <v/>
      </c>
      <c r="H854" s="22"/>
      <c r="I854" s="11"/>
      <c r="J854" s="17" t="str">
        <f>IF(TRIM(B854)="","",IF(ISNUMBER(SEARCH(" - ",B854)),TRIM(RIGHT(B854,LEN(B854)-FIND(" - ",B854)-2)),IFERROR(VLOOKUP(UPPER(TRIM(B854)), SETUP!$B$4:$C$11, 2, FALSE), UPPER(TRIM(B854)))))</f>
        <v/>
      </c>
      <c r="K854" s="23" t="str">
        <f t="shared" si="2"/>
        <v/>
      </c>
      <c r="L854" s="17" t="str">
        <f t="shared" si="3"/>
        <v/>
      </c>
      <c r="M854" s="17" t="str">
        <f t="shared" si="4"/>
        <v/>
      </c>
    </row>
    <row r="855" ht="15.75" customHeight="1">
      <c r="A855" s="12"/>
      <c r="B855" s="11"/>
      <c r="C855" s="11"/>
      <c r="D855" s="11"/>
      <c r="E855" s="11" t="str">
        <f>IF(J855="","", C855 * IFERROR(VLOOKUP(J855, SETUP!$A:$D, 3, FALSE), 0))</f>
        <v/>
      </c>
      <c r="F855" s="11" t="str">
        <f>IF(J855="","", C855 * IFERROR(VLOOKUP(J855, SETUP!$A:$D, 4, FALSE), 0))</f>
        <v/>
      </c>
      <c r="G855" s="11" t="str">
        <f t="shared" si="1"/>
        <v/>
      </c>
      <c r="H855" s="22"/>
      <c r="I855" s="11"/>
      <c r="J855" s="17" t="str">
        <f>IF(TRIM(B855)="","",IF(ISNUMBER(SEARCH(" - ",B855)),TRIM(RIGHT(B855,LEN(B855)-FIND(" - ",B855)-2)),IFERROR(VLOOKUP(UPPER(TRIM(B855)), SETUP!$B$4:$C$11, 2, FALSE), UPPER(TRIM(B855)))))</f>
        <v/>
      </c>
      <c r="K855" s="23" t="str">
        <f t="shared" si="2"/>
        <v/>
      </c>
      <c r="L855" s="17" t="str">
        <f t="shared" si="3"/>
        <v/>
      </c>
      <c r="M855" s="17" t="str">
        <f t="shared" si="4"/>
        <v/>
      </c>
    </row>
    <row r="856" ht="15.75" customHeight="1">
      <c r="A856" s="12"/>
      <c r="B856" s="11"/>
      <c r="C856" s="11"/>
      <c r="D856" s="11"/>
      <c r="E856" s="11" t="str">
        <f>IF(J856="","", C856 * IFERROR(VLOOKUP(J856, SETUP!$A:$D, 3, FALSE), 0))</f>
        <v/>
      </c>
      <c r="F856" s="11" t="str">
        <f>IF(J856="","", C856 * IFERROR(VLOOKUP(J856, SETUP!$A:$D, 4, FALSE), 0))</f>
        <v/>
      </c>
      <c r="G856" s="11" t="str">
        <f t="shared" si="1"/>
        <v/>
      </c>
      <c r="H856" s="22"/>
      <c r="I856" s="11"/>
      <c r="J856" s="17" t="str">
        <f>IF(TRIM(B856)="","",IF(ISNUMBER(SEARCH(" - ",B856)),TRIM(RIGHT(B856,LEN(B856)-FIND(" - ",B856)-2)),IFERROR(VLOOKUP(UPPER(TRIM(B856)), SETUP!$B$4:$C$11, 2, FALSE), UPPER(TRIM(B856)))))</f>
        <v/>
      </c>
      <c r="K856" s="23" t="str">
        <f t="shared" si="2"/>
        <v/>
      </c>
      <c r="L856" s="17" t="str">
        <f t="shared" si="3"/>
        <v/>
      </c>
      <c r="M856" s="17" t="str">
        <f t="shared" si="4"/>
        <v/>
      </c>
    </row>
    <row r="857" ht="15.75" customHeight="1">
      <c r="A857" s="12"/>
      <c r="B857" s="11"/>
      <c r="C857" s="11"/>
      <c r="D857" s="11"/>
      <c r="E857" s="11" t="str">
        <f>IF(J857="","", C857 * IFERROR(VLOOKUP(J857, SETUP!$A:$D, 3, FALSE), 0))</f>
        <v/>
      </c>
      <c r="F857" s="11" t="str">
        <f>IF(J857="","", C857 * IFERROR(VLOOKUP(J857, SETUP!$A:$D, 4, FALSE), 0))</f>
        <v/>
      </c>
      <c r="G857" s="11" t="str">
        <f t="shared" si="1"/>
        <v/>
      </c>
      <c r="H857" s="22"/>
      <c r="I857" s="11"/>
      <c r="J857" s="17" t="str">
        <f>IF(TRIM(B857)="","",IF(ISNUMBER(SEARCH(" - ",B857)),TRIM(RIGHT(B857,LEN(B857)-FIND(" - ",B857)-2)),IFERROR(VLOOKUP(UPPER(TRIM(B857)), SETUP!$B$4:$C$11, 2, FALSE), UPPER(TRIM(B857)))))</f>
        <v/>
      </c>
      <c r="K857" s="23" t="str">
        <f t="shared" si="2"/>
        <v/>
      </c>
      <c r="L857" s="17" t="str">
        <f t="shared" si="3"/>
        <v/>
      </c>
      <c r="M857" s="17" t="str">
        <f t="shared" si="4"/>
        <v/>
      </c>
    </row>
    <row r="858" ht="15.75" customHeight="1">
      <c r="A858" s="12"/>
      <c r="B858" s="11"/>
      <c r="C858" s="11"/>
      <c r="D858" s="11"/>
      <c r="E858" s="11" t="str">
        <f>IF(J858="","", C858 * IFERROR(VLOOKUP(J858, SETUP!$A:$D, 3, FALSE), 0))</f>
        <v/>
      </c>
      <c r="F858" s="11" t="str">
        <f>IF(J858="","", C858 * IFERROR(VLOOKUP(J858, SETUP!$A:$D, 4, FALSE), 0))</f>
        <v/>
      </c>
      <c r="G858" s="11" t="str">
        <f t="shared" si="1"/>
        <v/>
      </c>
      <c r="H858" s="22"/>
      <c r="I858" s="11"/>
      <c r="J858" s="17" t="str">
        <f>IF(TRIM(B858)="","",IF(ISNUMBER(SEARCH(" - ",B858)),TRIM(RIGHT(B858,LEN(B858)-FIND(" - ",B858)-2)),IFERROR(VLOOKUP(UPPER(TRIM(B858)), SETUP!$B$4:$C$11, 2, FALSE), UPPER(TRIM(B858)))))</f>
        <v/>
      </c>
      <c r="K858" s="23" t="str">
        <f t="shared" si="2"/>
        <v/>
      </c>
      <c r="L858" s="17" t="str">
        <f t="shared" si="3"/>
        <v/>
      </c>
      <c r="M858" s="17" t="str">
        <f t="shared" si="4"/>
        <v/>
      </c>
    </row>
    <row r="859" ht="15.75" customHeight="1">
      <c r="A859" s="12"/>
      <c r="B859" s="11"/>
      <c r="C859" s="11"/>
      <c r="D859" s="11"/>
      <c r="E859" s="11" t="str">
        <f>IF(J859="","", C859 * IFERROR(VLOOKUP(J859, SETUP!$A:$D, 3, FALSE), 0))</f>
        <v/>
      </c>
      <c r="F859" s="11" t="str">
        <f>IF(J859="","", C859 * IFERROR(VLOOKUP(J859, SETUP!$A:$D, 4, FALSE), 0))</f>
        <v/>
      </c>
      <c r="G859" s="11" t="str">
        <f t="shared" si="1"/>
        <v/>
      </c>
      <c r="H859" s="22"/>
      <c r="I859" s="11"/>
      <c r="J859" s="17" t="str">
        <f>IF(TRIM(B859)="","",IF(ISNUMBER(SEARCH(" - ",B859)),TRIM(RIGHT(B859,LEN(B859)-FIND(" - ",B859)-2)),IFERROR(VLOOKUP(UPPER(TRIM(B859)), SETUP!$B$4:$C$11, 2, FALSE), UPPER(TRIM(B859)))))</f>
        <v/>
      </c>
      <c r="K859" s="23" t="str">
        <f t="shared" si="2"/>
        <v/>
      </c>
      <c r="L859" s="17" t="str">
        <f t="shared" si="3"/>
        <v/>
      </c>
      <c r="M859" s="17" t="str">
        <f t="shared" si="4"/>
        <v/>
      </c>
    </row>
    <row r="860" ht="15.75" customHeight="1">
      <c r="A860" s="12"/>
      <c r="B860" s="11"/>
      <c r="C860" s="11"/>
      <c r="D860" s="11"/>
      <c r="E860" s="11" t="str">
        <f>IF(J860="","", C860 * IFERROR(VLOOKUP(J860, SETUP!$A:$D, 3, FALSE), 0))</f>
        <v/>
      </c>
      <c r="F860" s="11" t="str">
        <f>IF(J860="","", C860 * IFERROR(VLOOKUP(J860, SETUP!$A:$D, 4, FALSE), 0))</f>
        <v/>
      </c>
      <c r="G860" s="11" t="str">
        <f t="shared" si="1"/>
        <v/>
      </c>
      <c r="H860" s="22"/>
      <c r="I860" s="11"/>
      <c r="J860" s="17" t="str">
        <f>IF(TRIM(B860)="","",IF(ISNUMBER(SEARCH(" - ",B860)),TRIM(RIGHT(B860,LEN(B860)-FIND(" - ",B860)-2)),IFERROR(VLOOKUP(UPPER(TRIM(B860)), SETUP!$B$4:$C$11, 2, FALSE), UPPER(TRIM(B860)))))</f>
        <v/>
      </c>
      <c r="K860" s="23" t="str">
        <f t="shared" si="2"/>
        <v/>
      </c>
      <c r="L860" s="17" t="str">
        <f t="shared" si="3"/>
        <v/>
      </c>
      <c r="M860" s="17" t="str">
        <f t="shared" si="4"/>
        <v/>
      </c>
    </row>
    <row r="861" ht="15.75" customHeight="1">
      <c r="A861" s="12"/>
      <c r="B861" s="11"/>
      <c r="C861" s="11"/>
      <c r="D861" s="11"/>
      <c r="E861" s="11" t="str">
        <f>IF(J861="","", C861 * IFERROR(VLOOKUP(J861, SETUP!$A:$D, 3, FALSE), 0))</f>
        <v/>
      </c>
      <c r="F861" s="11" t="str">
        <f>IF(J861="","", C861 * IFERROR(VLOOKUP(J861, SETUP!$A:$D, 4, FALSE), 0))</f>
        <v/>
      </c>
      <c r="G861" s="11" t="str">
        <f t="shared" si="1"/>
        <v/>
      </c>
      <c r="H861" s="22"/>
      <c r="I861" s="11"/>
      <c r="J861" s="17" t="str">
        <f>IF(TRIM(B861)="","",IF(ISNUMBER(SEARCH(" - ",B861)),TRIM(RIGHT(B861,LEN(B861)-FIND(" - ",B861)-2)),IFERROR(VLOOKUP(UPPER(TRIM(B861)), SETUP!$B$4:$C$11, 2, FALSE), UPPER(TRIM(B861)))))</f>
        <v/>
      </c>
      <c r="K861" s="23" t="str">
        <f t="shared" si="2"/>
        <v/>
      </c>
      <c r="L861" s="17" t="str">
        <f t="shared" si="3"/>
        <v/>
      </c>
      <c r="M861" s="17" t="str">
        <f t="shared" si="4"/>
        <v/>
      </c>
    </row>
    <row r="862" ht="15.75" customHeight="1">
      <c r="A862" s="12"/>
      <c r="B862" s="11"/>
      <c r="C862" s="11"/>
      <c r="D862" s="11"/>
      <c r="E862" s="11" t="str">
        <f>IF(J862="","", C862 * IFERROR(VLOOKUP(J862, SETUP!$A:$D, 3, FALSE), 0))</f>
        <v/>
      </c>
      <c r="F862" s="11" t="str">
        <f>IF(J862="","", C862 * IFERROR(VLOOKUP(J862, SETUP!$A:$D, 4, FALSE), 0))</f>
        <v/>
      </c>
      <c r="G862" s="11" t="str">
        <f t="shared" si="1"/>
        <v/>
      </c>
      <c r="H862" s="22"/>
      <c r="I862" s="11"/>
      <c r="J862" s="17" t="str">
        <f>IF(TRIM(B862)="","",IF(ISNUMBER(SEARCH(" - ",B862)),TRIM(RIGHT(B862,LEN(B862)-FIND(" - ",B862)-2)),IFERROR(VLOOKUP(UPPER(TRIM(B862)), SETUP!$B$4:$C$11, 2, FALSE), UPPER(TRIM(B862)))))</f>
        <v/>
      </c>
      <c r="K862" s="23" t="str">
        <f t="shared" si="2"/>
        <v/>
      </c>
      <c r="L862" s="17" t="str">
        <f t="shared" si="3"/>
        <v/>
      </c>
      <c r="M862" s="17" t="str">
        <f t="shared" si="4"/>
        <v/>
      </c>
    </row>
    <row r="863" ht="15.75" customHeight="1">
      <c r="A863" s="12"/>
      <c r="B863" s="11"/>
      <c r="C863" s="11"/>
      <c r="D863" s="11"/>
      <c r="E863" s="11" t="str">
        <f>IF(J863="","", C863 * IFERROR(VLOOKUP(J863, SETUP!$A:$D, 3, FALSE), 0))</f>
        <v/>
      </c>
      <c r="F863" s="11" t="str">
        <f>IF(J863="","", C863 * IFERROR(VLOOKUP(J863, SETUP!$A:$D, 4, FALSE), 0))</f>
        <v/>
      </c>
      <c r="G863" s="11" t="str">
        <f t="shared" si="1"/>
        <v/>
      </c>
      <c r="H863" s="22"/>
      <c r="I863" s="11"/>
      <c r="J863" s="17" t="str">
        <f>IF(TRIM(B863)="","",IF(ISNUMBER(SEARCH(" - ",B863)),TRIM(RIGHT(B863,LEN(B863)-FIND(" - ",B863)-2)),IFERROR(VLOOKUP(UPPER(TRIM(B863)), SETUP!$B$4:$C$11, 2, FALSE), UPPER(TRIM(B863)))))</f>
        <v/>
      </c>
      <c r="K863" s="23" t="str">
        <f t="shared" si="2"/>
        <v/>
      </c>
      <c r="L863" s="17" t="str">
        <f t="shared" si="3"/>
        <v/>
      </c>
      <c r="M863" s="17" t="str">
        <f t="shared" si="4"/>
        <v/>
      </c>
    </row>
    <row r="864" ht="15.75" customHeight="1">
      <c r="A864" s="12"/>
      <c r="B864" s="11"/>
      <c r="C864" s="11"/>
      <c r="D864" s="11"/>
      <c r="E864" s="11" t="str">
        <f>IF(J864="","", C864 * IFERROR(VLOOKUP(J864, SETUP!$A:$D, 3, FALSE), 0))</f>
        <v/>
      </c>
      <c r="F864" s="11" t="str">
        <f>IF(J864="","", C864 * IFERROR(VLOOKUP(J864, SETUP!$A:$D, 4, FALSE), 0))</f>
        <v/>
      </c>
      <c r="G864" s="11" t="str">
        <f t="shared" si="1"/>
        <v/>
      </c>
      <c r="H864" s="22"/>
      <c r="I864" s="11"/>
      <c r="J864" s="17" t="str">
        <f>IF(TRIM(B864)="","",IF(ISNUMBER(SEARCH(" - ",B864)),TRIM(RIGHT(B864,LEN(B864)-FIND(" - ",B864)-2)),IFERROR(VLOOKUP(UPPER(TRIM(B864)), SETUP!$B$4:$C$11, 2, FALSE), UPPER(TRIM(B864)))))</f>
        <v/>
      </c>
      <c r="K864" s="23" t="str">
        <f t="shared" si="2"/>
        <v/>
      </c>
      <c r="L864" s="17" t="str">
        <f t="shared" si="3"/>
        <v/>
      </c>
      <c r="M864" s="17" t="str">
        <f t="shared" si="4"/>
        <v/>
      </c>
    </row>
    <row r="865" ht="15.75" customHeight="1">
      <c r="A865" s="12"/>
      <c r="B865" s="11"/>
      <c r="C865" s="11"/>
      <c r="D865" s="11"/>
      <c r="E865" s="11" t="str">
        <f>IF(J865="","", C865 * IFERROR(VLOOKUP(J865, SETUP!$A:$D, 3, FALSE), 0))</f>
        <v/>
      </c>
      <c r="F865" s="11" t="str">
        <f>IF(J865="","", C865 * IFERROR(VLOOKUP(J865, SETUP!$A:$D, 4, FALSE), 0))</f>
        <v/>
      </c>
      <c r="G865" s="11" t="str">
        <f t="shared" si="1"/>
        <v/>
      </c>
      <c r="H865" s="22"/>
      <c r="I865" s="11"/>
      <c r="J865" s="17" t="str">
        <f>IF(TRIM(B865)="","",IF(ISNUMBER(SEARCH(" - ",B865)),TRIM(RIGHT(B865,LEN(B865)-FIND(" - ",B865)-2)),IFERROR(VLOOKUP(UPPER(TRIM(B865)), SETUP!$B$4:$C$11, 2, FALSE), UPPER(TRIM(B865)))))</f>
        <v/>
      </c>
      <c r="K865" s="23" t="str">
        <f t="shared" si="2"/>
        <v/>
      </c>
      <c r="L865" s="17" t="str">
        <f t="shared" si="3"/>
        <v/>
      </c>
      <c r="M865" s="17" t="str">
        <f t="shared" si="4"/>
        <v/>
      </c>
    </row>
    <row r="866" ht="15.75" customHeight="1">
      <c r="A866" s="12"/>
      <c r="B866" s="11"/>
      <c r="C866" s="11"/>
      <c r="D866" s="11"/>
      <c r="E866" s="11" t="str">
        <f>IF(J866="","", C866 * IFERROR(VLOOKUP(J866, SETUP!$A:$D, 3, FALSE), 0))</f>
        <v/>
      </c>
      <c r="F866" s="11" t="str">
        <f>IF(J866="","", C866 * IFERROR(VLOOKUP(J866, SETUP!$A:$D, 4, FALSE), 0))</f>
        <v/>
      </c>
      <c r="G866" s="11" t="str">
        <f t="shared" si="1"/>
        <v/>
      </c>
      <c r="H866" s="22"/>
      <c r="I866" s="11"/>
      <c r="J866" s="17" t="str">
        <f>IF(TRIM(B866)="","",IF(ISNUMBER(SEARCH(" - ",B866)),TRIM(RIGHT(B866,LEN(B866)-FIND(" - ",B866)-2)),IFERROR(VLOOKUP(UPPER(TRIM(B866)), SETUP!$B$4:$C$11, 2, FALSE), UPPER(TRIM(B866)))))</f>
        <v/>
      </c>
      <c r="K866" s="23" t="str">
        <f t="shared" si="2"/>
        <v/>
      </c>
      <c r="L866" s="17" t="str">
        <f t="shared" si="3"/>
        <v/>
      </c>
      <c r="M866" s="17" t="str">
        <f t="shared" si="4"/>
        <v/>
      </c>
    </row>
    <row r="867" ht="15.75" customHeight="1">
      <c r="A867" s="12"/>
      <c r="B867" s="11"/>
      <c r="C867" s="11"/>
      <c r="D867" s="11"/>
      <c r="E867" s="11" t="str">
        <f>IF(J867="","", C867 * IFERROR(VLOOKUP(J867, SETUP!$A:$D, 3, FALSE), 0))</f>
        <v/>
      </c>
      <c r="F867" s="11" t="str">
        <f>IF(J867="","", C867 * IFERROR(VLOOKUP(J867, SETUP!$A:$D, 4, FALSE), 0))</f>
        <v/>
      </c>
      <c r="G867" s="11" t="str">
        <f t="shared" si="1"/>
        <v/>
      </c>
      <c r="H867" s="22"/>
      <c r="I867" s="11"/>
      <c r="J867" s="17" t="str">
        <f>IF(TRIM(B867)="","",IF(ISNUMBER(SEARCH(" - ",B867)),TRIM(RIGHT(B867,LEN(B867)-FIND(" - ",B867)-2)),IFERROR(VLOOKUP(UPPER(TRIM(B867)), SETUP!$B$4:$C$11, 2, FALSE), UPPER(TRIM(B867)))))</f>
        <v/>
      </c>
      <c r="K867" s="23" t="str">
        <f t="shared" si="2"/>
        <v/>
      </c>
      <c r="L867" s="17" t="str">
        <f t="shared" si="3"/>
        <v/>
      </c>
      <c r="M867" s="17" t="str">
        <f t="shared" si="4"/>
        <v/>
      </c>
    </row>
    <row r="868" ht="15.75" customHeight="1">
      <c r="A868" s="12"/>
      <c r="B868" s="11"/>
      <c r="C868" s="11"/>
      <c r="D868" s="11"/>
      <c r="E868" s="11" t="str">
        <f>IF(J868="","", C868 * IFERROR(VLOOKUP(J868, SETUP!$A:$D, 3, FALSE), 0))</f>
        <v/>
      </c>
      <c r="F868" s="11" t="str">
        <f>IF(J868="","", C868 * IFERROR(VLOOKUP(J868, SETUP!$A:$D, 4, FALSE), 0))</f>
        <v/>
      </c>
      <c r="G868" s="11" t="str">
        <f t="shared" si="1"/>
        <v/>
      </c>
      <c r="H868" s="22"/>
      <c r="I868" s="11"/>
      <c r="J868" s="17" t="str">
        <f>IF(TRIM(B868)="","",IF(ISNUMBER(SEARCH(" - ",B868)),TRIM(RIGHT(B868,LEN(B868)-FIND(" - ",B868)-2)),IFERROR(VLOOKUP(UPPER(TRIM(B868)), SETUP!$B$4:$C$11, 2, FALSE), UPPER(TRIM(B868)))))</f>
        <v/>
      </c>
      <c r="K868" s="23" t="str">
        <f t="shared" si="2"/>
        <v/>
      </c>
      <c r="L868" s="17" t="str">
        <f t="shared" si="3"/>
        <v/>
      </c>
      <c r="M868" s="17" t="str">
        <f t="shared" si="4"/>
        <v/>
      </c>
    </row>
    <row r="869" ht="15.75" customHeight="1">
      <c r="A869" s="12"/>
      <c r="B869" s="11"/>
      <c r="C869" s="11"/>
      <c r="D869" s="11"/>
      <c r="E869" s="11" t="str">
        <f>IF(J869="","", C869 * IFERROR(VLOOKUP(J869, SETUP!$A:$D, 3, FALSE), 0))</f>
        <v/>
      </c>
      <c r="F869" s="11" t="str">
        <f>IF(J869="","", C869 * IFERROR(VLOOKUP(J869, SETUP!$A:$D, 4, FALSE), 0))</f>
        <v/>
      </c>
      <c r="G869" s="11" t="str">
        <f t="shared" si="1"/>
        <v/>
      </c>
      <c r="H869" s="22"/>
      <c r="I869" s="11"/>
      <c r="J869" s="17" t="str">
        <f>IF(TRIM(B869)="","",IF(ISNUMBER(SEARCH(" - ",B869)),TRIM(RIGHT(B869,LEN(B869)-FIND(" - ",B869)-2)),IFERROR(VLOOKUP(UPPER(TRIM(B869)), SETUP!$B$4:$C$11, 2, FALSE), UPPER(TRIM(B869)))))</f>
        <v/>
      </c>
      <c r="K869" s="23" t="str">
        <f t="shared" si="2"/>
        <v/>
      </c>
      <c r="L869" s="17" t="str">
        <f t="shared" si="3"/>
        <v/>
      </c>
      <c r="M869" s="17" t="str">
        <f t="shared" si="4"/>
        <v/>
      </c>
    </row>
    <row r="870" ht="15.75" customHeight="1">
      <c r="A870" s="12"/>
      <c r="B870" s="11"/>
      <c r="C870" s="11"/>
      <c r="D870" s="11"/>
      <c r="E870" s="11" t="str">
        <f>IF(J870="","", C870 * IFERROR(VLOOKUP(J870, SETUP!$A:$D, 3, FALSE), 0))</f>
        <v/>
      </c>
      <c r="F870" s="11" t="str">
        <f>IF(J870="","", C870 * IFERROR(VLOOKUP(J870, SETUP!$A:$D, 4, FALSE), 0))</f>
        <v/>
      </c>
      <c r="G870" s="11" t="str">
        <f t="shared" si="1"/>
        <v/>
      </c>
      <c r="H870" s="22"/>
      <c r="I870" s="11"/>
      <c r="J870" s="17" t="str">
        <f>IF(TRIM(B870)="","",IF(ISNUMBER(SEARCH(" - ",B870)),TRIM(RIGHT(B870,LEN(B870)-FIND(" - ",B870)-2)),IFERROR(VLOOKUP(UPPER(TRIM(B870)), SETUP!$B$4:$C$11, 2, FALSE), UPPER(TRIM(B870)))))</f>
        <v/>
      </c>
      <c r="K870" s="23" t="str">
        <f t="shared" si="2"/>
        <v/>
      </c>
      <c r="L870" s="17" t="str">
        <f t="shared" si="3"/>
        <v/>
      </c>
      <c r="M870" s="17" t="str">
        <f t="shared" si="4"/>
        <v/>
      </c>
    </row>
    <row r="871" ht="15.75" customHeight="1">
      <c r="A871" s="12"/>
      <c r="B871" s="11"/>
      <c r="C871" s="11"/>
      <c r="D871" s="11"/>
      <c r="E871" s="11" t="str">
        <f>IF(J871="","", C871 * IFERROR(VLOOKUP(J871, SETUP!$A:$D, 3, FALSE), 0))</f>
        <v/>
      </c>
      <c r="F871" s="11" t="str">
        <f>IF(J871="","", C871 * IFERROR(VLOOKUP(J871, SETUP!$A:$D, 4, FALSE), 0))</f>
        <v/>
      </c>
      <c r="G871" s="11" t="str">
        <f t="shared" si="1"/>
        <v/>
      </c>
      <c r="H871" s="22"/>
      <c r="I871" s="11"/>
      <c r="J871" s="17" t="str">
        <f>IF(TRIM(B871)="","",IF(ISNUMBER(SEARCH(" - ",B871)),TRIM(RIGHT(B871,LEN(B871)-FIND(" - ",B871)-2)),IFERROR(VLOOKUP(UPPER(TRIM(B871)), SETUP!$B$4:$C$11, 2, FALSE), UPPER(TRIM(B871)))))</f>
        <v/>
      </c>
      <c r="K871" s="23" t="str">
        <f t="shared" si="2"/>
        <v/>
      </c>
      <c r="L871" s="17" t="str">
        <f t="shared" si="3"/>
        <v/>
      </c>
      <c r="M871" s="17" t="str">
        <f t="shared" si="4"/>
        <v/>
      </c>
    </row>
    <row r="872" ht="15.75" customHeight="1">
      <c r="A872" s="12"/>
      <c r="B872" s="11"/>
      <c r="C872" s="11"/>
      <c r="D872" s="11"/>
      <c r="E872" s="11" t="str">
        <f>IF(J872="","", C872 * IFERROR(VLOOKUP(J872, SETUP!$A:$D, 3, FALSE), 0))</f>
        <v/>
      </c>
      <c r="F872" s="11" t="str">
        <f>IF(J872="","", C872 * IFERROR(VLOOKUP(J872, SETUP!$A:$D, 4, FALSE), 0))</f>
        <v/>
      </c>
      <c r="G872" s="11" t="str">
        <f t="shared" si="1"/>
        <v/>
      </c>
      <c r="H872" s="22"/>
      <c r="I872" s="11"/>
      <c r="J872" s="17" t="str">
        <f>IF(TRIM(B872)="","",IF(ISNUMBER(SEARCH(" - ",B872)),TRIM(RIGHT(B872,LEN(B872)-FIND(" - ",B872)-2)),IFERROR(VLOOKUP(UPPER(TRIM(B872)), SETUP!$B$4:$C$11, 2, FALSE), UPPER(TRIM(B872)))))</f>
        <v/>
      </c>
      <c r="K872" s="23" t="str">
        <f t="shared" si="2"/>
        <v/>
      </c>
      <c r="L872" s="17" t="str">
        <f t="shared" si="3"/>
        <v/>
      </c>
      <c r="M872" s="17" t="str">
        <f t="shared" si="4"/>
        <v/>
      </c>
    </row>
    <row r="873" ht="15.75" customHeight="1">
      <c r="A873" s="12"/>
      <c r="B873" s="11"/>
      <c r="C873" s="11"/>
      <c r="D873" s="11"/>
      <c r="E873" s="11" t="str">
        <f>IF(J873="","", C873 * IFERROR(VLOOKUP(J873, SETUP!$A:$D, 3, FALSE), 0))</f>
        <v/>
      </c>
      <c r="F873" s="11" t="str">
        <f>IF(J873="","", C873 * IFERROR(VLOOKUP(J873, SETUP!$A:$D, 4, FALSE), 0))</f>
        <v/>
      </c>
      <c r="G873" s="11" t="str">
        <f t="shared" si="1"/>
        <v/>
      </c>
      <c r="H873" s="22"/>
      <c r="I873" s="11"/>
      <c r="J873" s="17" t="str">
        <f>IF(TRIM(B873)="","",IF(ISNUMBER(SEARCH(" - ",B873)),TRIM(RIGHT(B873,LEN(B873)-FIND(" - ",B873)-2)),IFERROR(VLOOKUP(UPPER(TRIM(B873)), SETUP!$B$4:$C$11, 2, FALSE), UPPER(TRIM(B873)))))</f>
        <v/>
      </c>
      <c r="K873" s="23" t="str">
        <f t="shared" si="2"/>
        <v/>
      </c>
      <c r="L873" s="17" t="str">
        <f t="shared" si="3"/>
        <v/>
      </c>
      <c r="M873" s="17" t="str">
        <f t="shared" si="4"/>
        <v/>
      </c>
    </row>
    <row r="874" ht="15.75" customHeight="1">
      <c r="A874" s="12"/>
      <c r="B874" s="11"/>
      <c r="C874" s="11"/>
      <c r="D874" s="11"/>
      <c r="E874" s="11" t="str">
        <f>IF(J874="","", C874 * IFERROR(VLOOKUP(J874, SETUP!$A:$D, 3, FALSE), 0))</f>
        <v/>
      </c>
      <c r="F874" s="11" t="str">
        <f>IF(J874="","", C874 * IFERROR(VLOOKUP(J874, SETUP!$A:$D, 4, FALSE), 0))</f>
        <v/>
      </c>
      <c r="G874" s="11" t="str">
        <f t="shared" si="1"/>
        <v/>
      </c>
      <c r="H874" s="22"/>
      <c r="I874" s="11"/>
      <c r="J874" s="17" t="str">
        <f>IF(TRIM(B874)="","",IF(ISNUMBER(SEARCH(" - ",B874)),TRIM(RIGHT(B874,LEN(B874)-FIND(" - ",B874)-2)),IFERROR(VLOOKUP(UPPER(TRIM(B874)), SETUP!$B$4:$C$11, 2, FALSE), UPPER(TRIM(B874)))))</f>
        <v/>
      </c>
      <c r="K874" s="23" t="str">
        <f t="shared" si="2"/>
        <v/>
      </c>
      <c r="L874" s="17" t="str">
        <f t="shared" si="3"/>
        <v/>
      </c>
      <c r="M874" s="17" t="str">
        <f t="shared" si="4"/>
        <v/>
      </c>
    </row>
    <row r="875" ht="15.75" customHeight="1">
      <c r="A875" s="12"/>
      <c r="B875" s="11"/>
      <c r="C875" s="11"/>
      <c r="D875" s="11"/>
      <c r="E875" s="11" t="str">
        <f>IF(J875="","", C875 * IFERROR(VLOOKUP(J875, SETUP!$A:$D, 3, FALSE), 0))</f>
        <v/>
      </c>
      <c r="F875" s="11" t="str">
        <f>IF(J875="","", C875 * IFERROR(VLOOKUP(J875, SETUP!$A:$D, 4, FALSE), 0))</f>
        <v/>
      </c>
      <c r="G875" s="11" t="str">
        <f t="shared" si="1"/>
        <v/>
      </c>
      <c r="H875" s="22"/>
      <c r="I875" s="11"/>
      <c r="J875" s="17" t="str">
        <f>IF(TRIM(B875)="","",IF(ISNUMBER(SEARCH(" - ",B875)),TRIM(RIGHT(B875,LEN(B875)-FIND(" - ",B875)-2)),IFERROR(VLOOKUP(UPPER(TRIM(B875)), SETUP!$B$4:$C$11, 2, FALSE), UPPER(TRIM(B875)))))</f>
        <v/>
      </c>
      <c r="K875" s="23" t="str">
        <f t="shared" si="2"/>
        <v/>
      </c>
      <c r="L875" s="17" t="str">
        <f t="shared" si="3"/>
        <v/>
      </c>
      <c r="M875" s="17" t="str">
        <f t="shared" si="4"/>
        <v/>
      </c>
    </row>
    <row r="876" ht="15.75" customHeight="1">
      <c r="A876" s="12"/>
      <c r="B876" s="11"/>
      <c r="C876" s="11"/>
      <c r="D876" s="11"/>
      <c r="E876" s="11" t="str">
        <f>IF(J876="","", C876 * IFERROR(VLOOKUP(J876, SETUP!$A:$D, 3, FALSE), 0))</f>
        <v/>
      </c>
      <c r="F876" s="11" t="str">
        <f>IF(J876="","", C876 * IFERROR(VLOOKUP(J876, SETUP!$A:$D, 4, FALSE), 0))</f>
        <v/>
      </c>
      <c r="G876" s="11" t="str">
        <f t="shared" si="1"/>
        <v/>
      </c>
      <c r="H876" s="22"/>
      <c r="I876" s="11"/>
      <c r="J876" s="17" t="str">
        <f>IF(TRIM(B876)="","",IF(ISNUMBER(SEARCH(" - ",B876)),TRIM(RIGHT(B876,LEN(B876)-FIND(" - ",B876)-2)),IFERROR(VLOOKUP(UPPER(TRIM(B876)), SETUP!$B$4:$C$11, 2, FALSE), UPPER(TRIM(B876)))))</f>
        <v/>
      </c>
      <c r="K876" s="23" t="str">
        <f t="shared" si="2"/>
        <v/>
      </c>
      <c r="L876" s="17" t="str">
        <f t="shared" si="3"/>
        <v/>
      </c>
      <c r="M876" s="17" t="str">
        <f t="shared" si="4"/>
        <v/>
      </c>
    </row>
    <row r="877" ht="15.75" customHeight="1">
      <c r="A877" s="12"/>
      <c r="B877" s="11"/>
      <c r="C877" s="11"/>
      <c r="D877" s="11"/>
      <c r="E877" s="11" t="str">
        <f>IF(J877="","", C877 * IFERROR(VLOOKUP(J877, SETUP!$A:$D, 3, FALSE), 0))</f>
        <v/>
      </c>
      <c r="F877" s="11" t="str">
        <f>IF(J877="","", C877 * IFERROR(VLOOKUP(J877, SETUP!$A:$D, 4, FALSE), 0))</f>
        <v/>
      </c>
      <c r="G877" s="11" t="str">
        <f t="shared" si="1"/>
        <v/>
      </c>
      <c r="H877" s="22"/>
      <c r="I877" s="11"/>
      <c r="J877" s="17" t="str">
        <f>IF(TRIM(B877)="","",IF(ISNUMBER(SEARCH(" - ",B877)),TRIM(RIGHT(B877,LEN(B877)-FIND(" - ",B877)-2)),IFERROR(VLOOKUP(UPPER(TRIM(B877)), SETUP!$B$4:$C$11, 2, FALSE), UPPER(TRIM(B877)))))</f>
        <v/>
      </c>
      <c r="K877" s="23" t="str">
        <f t="shared" si="2"/>
        <v/>
      </c>
      <c r="L877" s="17" t="str">
        <f t="shared" si="3"/>
        <v/>
      </c>
      <c r="M877" s="17" t="str">
        <f t="shared" si="4"/>
        <v/>
      </c>
    </row>
    <row r="878" ht="15.75" customHeight="1">
      <c r="A878" s="12"/>
      <c r="B878" s="11"/>
      <c r="C878" s="11"/>
      <c r="D878" s="11"/>
      <c r="E878" s="11" t="str">
        <f>IF(J878="","", C878 * IFERROR(VLOOKUP(J878, SETUP!$A:$D, 3, FALSE), 0))</f>
        <v/>
      </c>
      <c r="F878" s="11" t="str">
        <f>IF(J878="","", C878 * IFERROR(VLOOKUP(J878, SETUP!$A:$D, 4, FALSE), 0))</f>
        <v/>
      </c>
      <c r="G878" s="11" t="str">
        <f t="shared" si="1"/>
        <v/>
      </c>
      <c r="H878" s="22"/>
      <c r="I878" s="11"/>
      <c r="J878" s="17" t="str">
        <f>IF(TRIM(B878)="","",IF(ISNUMBER(SEARCH(" - ",B878)),TRIM(RIGHT(B878,LEN(B878)-FIND(" - ",B878)-2)),IFERROR(VLOOKUP(UPPER(TRIM(B878)), SETUP!$B$4:$C$11, 2, FALSE), UPPER(TRIM(B878)))))</f>
        <v/>
      </c>
      <c r="K878" s="23" t="str">
        <f t="shared" si="2"/>
        <v/>
      </c>
      <c r="L878" s="17" t="str">
        <f t="shared" si="3"/>
        <v/>
      </c>
      <c r="M878" s="17" t="str">
        <f t="shared" si="4"/>
        <v/>
      </c>
    </row>
    <row r="879" ht="15.75" customHeight="1">
      <c r="A879" s="12"/>
      <c r="B879" s="11"/>
      <c r="C879" s="11"/>
      <c r="D879" s="11"/>
      <c r="E879" s="11" t="str">
        <f>IF(J879="","", C879 * IFERROR(VLOOKUP(J879, SETUP!$A:$D, 3, FALSE), 0))</f>
        <v/>
      </c>
      <c r="F879" s="11" t="str">
        <f>IF(J879="","", C879 * IFERROR(VLOOKUP(J879, SETUP!$A:$D, 4, FALSE), 0))</f>
        <v/>
      </c>
      <c r="G879" s="11" t="str">
        <f t="shared" si="1"/>
        <v/>
      </c>
      <c r="H879" s="22"/>
      <c r="I879" s="11"/>
      <c r="J879" s="17" t="str">
        <f>IF(TRIM(B879)="","",IF(ISNUMBER(SEARCH(" - ",B879)),TRIM(RIGHT(B879,LEN(B879)-FIND(" - ",B879)-2)),IFERROR(VLOOKUP(UPPER(TRIM(B879)), SETUP!$B$4:$C$11, 2, FALSE), UPPER(TRIM(B879)))))</f>
        <v/>
      </c>
      <c r="K879" s="23" t="str">
        <f t="shared" si="2"/>
        <v/>
      </c>
      <c r="L879" s="17" t="str">
        <f t="shared" si="3"/>
        <v/>
      </c>
      <c r="M879" s="17" t="str">
        <f t="shared" si="4"/>
        <v/>
      </c>
    </row>
    <row r="880" ht="15.75" customHeight="1">
      <c r="A880" s="12"/>
      <c r="B880" s="11"/>
      <c r="C880" s="11"/>
      <c r="D880" s="11"/>
      <c r="E880" s="11" t="str">
        <f>IF(J880="","", C880 * IFERROR(VLOOKUP(J880, SETUP!$A:$D, 3, FALSE), 0))</f>
        <v/>
      </c>
      <c r="F880" s="11" t="str">
        <f>IF(J880="","", C880 * IFERROR(VLOOKUP(J880, SETUP!$A:$D, 4, FALSE), 0))</f>
        <v/>
      </c>
      <c r="G880" s="11" t="str">
        <f t="shared" si="1"/>
        <v/>
      </c>
      <c r="H880" s="22"/>
      <c r="I880" s="11"/>
      <c r="J880" s="17" t="str">
        <f>IF(TRIM(B880)="","",IF(ISNUMBER(SEARCH(" - ",B880)),TRIM(RIGHT(B880,LEN(B880)-FIND(" - ",B880)-2)),IFERROR(VLOOKUP(UPPER(TRIM(B880)), SETUP!$B$4:$C$11, 2, FALSE), UPPER(TRIM(B880)))))</f>
        <v/>
      </c>
      <c r="K880" s="23" t="str">
        <f t="shared" si="2"/>
        <v/>
      </c>
      <c r="L880" s="17" t="str">
        <f t="shared" si="3"/>
        <v/>
      </c>
      <c r="M880" s="17" t="str">
        <f t="shared" si="4"/>
        <v/>
      </c>
    </row>
    <row r="881" ht="15.75" customHeight="1">
      <c r="A881" s="12"/>
      <c r="B881" s="11"/>
      <c r="C881" s="11"/>
      <c r="D881" s="11"/>
      <c r="E881" s="11" t="str">
        <f>IF(J881="","", C881 * IFERROR(VLOOKUP(J881, SETUP!$A:$D, 3, FALSE), 0))</f>
        <v/>
      </c>
      <c r="F881" s="11" t="str">
        <f>IF(J881="","", C881 * IFERROR(VLOOKUP(J881, SETUP!$A:$D, 4, FALSE), 0))</f>
        <v/>
      </c>
      <c r="G881" s="11" t="str">
        <f t="shared" si="1"/>
        <v/>
      </c>
      <c r="H881" s="22"/>
      <c r="I881" s="11"/>
      <c r="J881" s="17" t="str">
        <f>IF(TRIM(B881)="","",IF(ISNUMBER(SEARCH(" - ",B881)),TRIM(RIGHT(B881,LEN(B881)-FIND(" - ",B881)-2)),IFERROR(VLOOKUP(UPPER(TRIM(B881)), SETUP!$B$4:$C$11, 2, FALSE), UPPER(TRIM(B881)))))</f>
        <v/>
      </c>
      <c r="K881" s="23" t="str">
        <f t="shared" si="2"/>
        <v/>
      </c>
      <c r="L881" s="17" t="str">
        <f t="shared" si="3"/>
        <v/>
      </c>
      <c r="M881" s="17" t="str">
        <f t="shared" si="4"/>
        <v/>
      </c>
    </row>
    <row r="882" ht="15.75" customHeight="1">
      <c r="A882" s="12"/>
      <c r="B882" s="11"/>
      <c r="C882" s="11"/>
      <c r="D882" s="11"/>
      <c r="E882" s="11" t="str">
        <f>IF(J882="","", C882 * IFERROR(VLOOKUP(J882, SETUP!$A:$D, 3, FALSE), 0))</f>
        <v/>
      </c>
      <c r="F882" s="11" t="str">
        <f>IF(J882="","", C882 * IFERROR(VLOOKUP(J882, SETUP!$A:$D, 4, FALSE), 0))</f>
        <v/>
      </c>
      <c r="G882" s="11" t="str">
        <f t="shared" si="1"/>
        <v/>
      </c>
      <c r="H882" s="22"/>
      <c r="I882" s="11"/>
      <c r="J882" s="17" t="str">
        <f>IF(TRIM(B882)="","",IF(ISNUMBER(SEARCH(" - ",B882)),TRIM(RIGHT(B882,LEN(B882)-FIND(" - ",B882)-2)),IFERROR(VLOOKUP(UPPER(TRIM(B882)), SETUP!$B$4:$C$11, 2, FALSE), UPPER(TRIM(B882)))))</f>
        <v/>
      </c>
      <c r="K882" s="23" t="str">
        <f t="shared" si="2"/>
        <v/>
      </c>
      <c r="L882" s="17" t="str">
        <f t="shared" si="3"/>
        <v/>
      </c>
      <c r="M882" s="17" t="str">
        <f t="shared" si="4"/>
        <v/>
      </c>
    </row>
    <row r="883" ht="15.75" customHeight="1">
      <c r="A883" s="12"/>
      <c r="B883" s="11"/>
      <c r="C883" s="11"/>
      <c r="D883" s="11"/>
      <c r="E883" s="11" t="str">
        <f>IF(J883="","", C883 * IFERROR(VLOOKUP(J883, SETUP!$A:$D, 3, FALSE), 0))</f>
        <v/>
      </c>
      <c r="F883" s="11" t="str">
        <f>IF(J883="","", C883 * IFERROR(VLOOKUP(J883, SETUP!$A:$D, 4, FALSE), 0))</f>
        <v/>
      </c>
      <c r="G883" s="11" t="str">
        <f t="shared" si="1"/>
        <v/>
      </c>
      <c r="H883" s="22"/>
      <c r="I883" s="11"/>
      <c r="J883" s="17" t="str">
        <f>IF(TRIM(B883)="","",IF(ISNUMBER(SEARCH(" - ",B883)),TRIM(RIGHT(B883,LEN(B883)-FIND(" - ",B883)-2)),IFERROR(VLOOKUP(UPPER(TRIM(B883)), SETUP!$B$4:$C$11, 2, FALSE), UPPER(TRIM(B883)))))</f>
        <v/>
      </c>
      <c r="K883" s="23" t="str">
        <f t="shared" si="2"/>
        <v/>
      </c>
      <c r="L883" s="17" t="str">
        <f t="shared" si="3"/>
        <v/>
      </c>
      <c r="M883" s="17" t="str">
        <f t="shared" si="4"/>
        <v/>
      </c>
    </row>
    <row r="884" ht="15.75" customHeight="1">
      <c r="A884" s="12"/>
      <c r="B884" s="11"/>
      <c r="C884" s="11"/>
      <c r="D884" s="11"/>
      <c r="E884" s="11" t="str">
        <f>IF(J884="","", C884 * IFERROR(VLOOKUP(J884, SETUP!$A:$D, 3, FALSE), 0))</f>
        <v/>
      </c>
      <c r="F884" s="11" t="str">
        <f>IF(J884="","", C884 * IFERROR(VLOOKUP(J884, SETUP!$A:$D, 4, FALSE), 0))</f>
        <v/>
      </c>
      <c r="G884" s="11" t="str">
        <f t="shared" si="1"/>
        <v/>
      </c>
      <c r="H884" s="22"/>
      <c r="I884" s="11"/>
      <c r="J884" s="17" t="str">
        <f>IF(TRIM(B884)="","",IF(ISNUMBER(SEARCH(" - ",B884)),TRIM(RIGHT(B884,LEN(B884)-FIND(" - ",B884)-2)),IFERROR(VLOOKUP(UPPER(TRIM(B884)), SETUP!$B$4:$C$11, 2, FALSE), UPPER(TRIM(B884)))))</f>
        <v/>
      </c>
      <c r="K884" s="23" t="str">
        <f t="shared" si="2"/>
        <v/>
      </c>
      <c r="L884" s="17" t="str">
        <f t="shared" si="3"/>
        <v/>
      </c>
      <c r="M884" s="17" t="str">
        <f t="shared" si="4"/>
        <v/>
      </c>
    </row>
    <row r="885" ht="15.75" customHeight="1">
      <c r="A885" s="12"/>
      <c r="B885" s="11"/>
      <c r="C885" s="11"/>
      <c r="D885" s="11"/>
      <c r="E885" s="11" t="str">
        <f>IF(J885="","", C885 * IFERROR(VLOOKUP(J885, SETUP!$A:$D, 3, FALSE), 0))</f>
        <v/>
      </c>
      <c r="F885" s="11" t="str">
        <f>IF(J885="","", C885 * IFERROR(VLOOKUP(J885, SETUP!$A:$D, 4, FALSE), 0))</f>
        <v/>
      </c>
      <c r="G885" s="11" t="str">
        <f t="shared" si="1"/>
        <v/>
      </c>
      <c r="H885" s="22"/>
      <c r="I885" s="11"/>
      <c r="J885" s="17" t="str">
        <f>IF(TRIM(B885)="","",IF(ISNUMBER(SEARCH(" - ",B885)),TRIM(RIGHT(B885,LEN(B885)-FIND(" - ",B885)-2)),IFERROR(VLOOKUP(UPPER(TRIM(B885)), SETUP!$B$4:$C$11, 2, FALSE), UPPER(TRIM(B885)))))</f>
        <v/>
      </c>
      <c r="K885" s="23" t="str">
        <f t="shared" si="2"/>
        <v/>
      </c>
      <c r="L885" s="17" t="str">
        <f t="shared" si="3"/>
        <v/>
      </c>
      <c r="M885" s="17" t="str">
        <f t="shared" si="4"/>
        <v/>
      </c>
    </row>
    <row r="886" ht="15.75" customHeight="1">
      <c r="A886" s="12"/>
      <c r="B886" s="11"/>
      <c r="C886" s="11"/>
      <c r="D886" s="11"/>
      <c r="E886" s="11" t="str">
        <f>IF(J886="","", C886 * IFERROR(VLOOKUP(J886, SETUP!$A:$D, 3, FALSE), 0))</f>
        <v/>
      </c>
      <c r="F886" s="11" t="str">
        <f>IF(J886="","", C886 * IFERROR(VLOOKUP(J886, SETUP!$A:$D, 4, FALSE), 0))</f>
        <v/>
      </c>
      <c r="G886" s="11" t="str">
        <f t="shared" si="1"/>
        <v/>
      </c>
      <c r="H886" s="22"/>
      <c r="I886" s="11"/>
      <c r="J886" s="17" t="str">
        <f>IF(TRIM(B886)="","",IF(ISNUMBER(SEARCH(" - ",B886)),TRIM(RIGHT(B886,LEN(B886)-FIND(" - ",B886)-2)),IFERROR(VLOOKUP(UPPER(TRIM(B886)), SETUP!$B$4:$C$11, 2, FALSE), UPPER(TRIM(B886)))))</f>
        <v/>
      </c>
      <c r="K886" s="23" t="str">
        <f t="shared" si="2"/>
        <v/>
      </c>
      <c r="L886" s="17" t="str">
        <f t="shared" si="3"/>
        <v/>
      </c>
      <c r="M886" s="17" t="str">
        <f t="shared" si="4"/>
        <v/>
      </c>
    </row>
    <row r="887" ht="15.75" customHeight="1">
      <c r="A887" s="12"/>
      <c r="B887" s="11"/>
      <c r="C887" s="11"/>
      <c r="D887" s="11"/>
      <c r="E887" s="11" t="str">
        <f>IF(J887="","", C887 * IFERROR(VLOOKUP(J887, SETUP!$A:$D, 3, FALSE), 0))</f>
        <v/>
      </c>
      <c r="F887" s="11" t="str">
        <f>IF(J887="","", C887 * IFERROR(VLOOKUP(J887, SETUP!$A:$D, 4, FALSE), 0))</f>
        <v/>
      </c>
      <c r="G887" s="11" t="str">
        <f t="shared" si="1"/>
        <v/>
      </c>
      <c r="H887" s="22"/>
      <c r="I887" s="11"/>
      <c r="J887" s="17" t="str">
        <f>IF(TRIM(B887)="","",IF(ISNUMBER(SEARCH(" - ",B887)),TRIM(RIGHT(B887,LEN(B887)-FIND(" - ",B887)-2)),IFERROR(VLOOKUP(UPPER(TRIM(B887)), SETUP!$B$4:$C$11, 2, FALSE), UPPER(TRIM(B887)))))</f>
        <v/>
      </c>
      <c r="K887" s="23" t="str">
        <f t="shared" si="2"/>
        <v/>
      </c>
      <c r="L887" s="17" t="str">
        <f t="shared" si="3"/>
        <v/>
      </c>
      <c r="M887" s="17" t="str">
        <f t="shared" si="4"/>
        <v/>
      </c>
    </row>
    <row r="888" ht="15.75" customHeight="1">
      <c r="A888" s="12"/>
      <c r="B888" s="11"/>
      <c r="C888" s="11"/>
      <c r="D888" s="11"/>
      <c r="E888" s="11" t="str">
        <f>IF(J888="","", C888 * IFERROR(VLOOKUP(J888, SETUP!$A:$D, 3, FALSE), 0))</f>
        <v/>
      </c>
      <c r="F888" s="11" t="str">
        <f>IF(J888="","", C888 * IFERROR(VLOOKUP(J888, SETUP!$A:$D, 4, FALSE), 0))</f>
        <v/>
      </c>
      <c r="G888" s="11" t="str">
        <f t="shared" si="1"/>
        <v/>
      </c>
      <c r="H888" s="22"/>
      <c r="I888" s="11"/>
      <c r="J888" s="17" t="str">
        <f>IF(TRIM(B888)="","",IF(ISNUMBER(SEARCH(" - ",B888)),TRIM(RIGHT(B888,LEN(B888)-FIND(" - ",B888)-2)),IFERROR(VLOOKUP(UPPER(TRIM(B888)), SETUP!$B$4:$C$11, 2, FALSE), UPPER(TRIM(B888)))))</f>
        <v/>
      </c>
      <c r="K888" s="23" t="str">
        <f t="shared" si="2"/>
        <v/>
      </c>
      <c r="L888" s="17" t="str">
        <f t="shared" si="3"/>
        <v/>
      </c>
      <c r="M888" s="17" t="str">
        <f t="shared" si="4"/>
        <v/>
      </c>
    </row>
    <row r="889" ht="15.75" customHeight="1">
      <c r="A889" s="12"/>
      <c r="B889" s="11"/>
      <c r="C889" s="11"/>
      <c r="D889" s="11"/>
      <c r="E889" s="11" t="str">
        <f>IF(J889="","", C889 * IFERROR(VLOOKUP(J889, SETUP!$A:$D, 3, FALSE), 0))</f>
        <v/>
      </c>
      <c r="F889" s="11" t="str">
        <f>IF(J889="","", C889 * IFERROR(VLOOKUP(J889, SETUP!$A:$D, 4, FALSE), 0))</f>
        <v/>
      </c>
      <c r="G889" s="11" t="str">
        <f t="shared" si="1"/>
        <v/>
      </c>
      <c r="H889" s="22"/>
      <c r="I889" s="11"/>
      <c r="J889" s="17" t="str">
        <f>IF(TRIM(B889)="","",IF(ISNUMBER(SEARCH(" - ",B889)),TRIM(RIGHT(B889,LEN(B889)-FIND(" - ",B889)-2)),IFERROR(VLOOKUP(UPPER(TRIM(B889)), SETUP!$B$4:$C$11, 2, FALSE), UPPER(TRIM(B889)))))</f>
        <v/>
      </c>
      <c r="K889" s="23" t="str">
        <f t="shared" si="2"/>
        <v/>
      </c>
      <c r="L889" s="17" t="str">
        <f t="shared" si="3"/>
        <v/>
      </c>
      <c r="M889" s="17" t="str">
        <f t="shared" si="4"/>
        <v/>
      </c>
    </row>
    <row r="890" ht="15.75" customHeight="1">
      <c r="A890" s="12"/>
      <c r="B890" s="11"/>
      <c r="C890" s="11"/>
      <c r="D890" s="11"/>
      <c r="E890" s="11" t="str">
        <f>IF(J890="","", C890 * IFERROR(VLOOKUP(J890, SETUP!$A:$D, 3, FALSE), 0))</f>
        <v/>
      </c>
      <c r="F890" s="11" t="str">
        <f>IF(J890="","", C890 * IFERROR(VLOOKUP(J890, SETUP!$A:$D, 4, FALSE), 0))</f>
        <v/>
      </c>
      <c r="G890" s="11" t="str">
        <f t="shared" si="1"/>
        <v/>
      </c>
      <c r="H890" s="22"/>
      <c r="I890" s="11"/>
      <c r="J890" s="17" t="str">
        <f>IF(TRIM(B890)="","",IF(ISNUMBER(SEARCH(" - ",B890)),TRIM(RIGHT(B890,LEN(B890)-FIND(" - ",B890)-2)),IFERROR(VLOOKUP(UPPER(TRIM(B890)), SETUP!$B$4:$C$11, 2, FALSE), UPPER(TRIM(B890)))))</f>
        <v/>
      </c>
      <c r="K890" s="23" t="str">
        <f t="shared" si="2"/>
        <v/>
      </c>
      <c r="L890" s="17" t="str">
        <f t="shared" si="3"/>
        <v/>
      </c>
      <c r="M890" s="17" t="str">
        <f t="shared" si="4"/>
        <v/>
      </c>
    </row>
    <row r="891" ht="15.75" customHeight="1">
      <c r="A891" s="12"/>
      <c r="B891" s="11"/>
      <c r="C891" s="11"/>
      <c r="D891" s="11"/>
      <c r="E891" s="11" t="str">
        <f>IF(J891="","", C891 * IFERROR(VLOOKUP(J891, SETUP!$A:$D, 3, FALSE), 0))</f>
        <v/>
      </c>
      <c r="F891" s="11" t="str">
        <f>IF(J891="","", C891 * IFERROR(VLOOKUP(J891, SETUP!$A:$D, 4, FALSE), 0))</f>
        <v/>
      </c>
      <c r="G891" s="11" t="str">
        <f t="shared" si="1"/>
        <v/>
      </c>
      <c r="H891" s="22"/>
      <c r="I891" s="11"/>
      <c r="J891" s="17" t="str">
        <f>IF(TRIM(B891)="","",IF(ISNUMBER(SEARCH(" - ",B891)),TRIM(RIGHT(B891,LEN(B891)-FIND(" - ",B891)-2)),IFERROR(VLOOKUP(UPPER(TRIM(B891)), SETUP!$B$4:$C$11, 2, FALSE), UPPER(TRIM(B891)))))</f>
        <v/>
      </c>
      <c r="K891" s="23" t="str">
        <f t="shared" si="2"/>
        <v/>
      </c>
      <c r="L891" s="17" t="str">
        <f t="shared" si="3"/>
        <v/>
      </c>
      <c r="M891" s="17" t="str">
        <f t="shared" si="4"/>
        <v/>
      </c>
    </row>
    <row r="892" ht="15.75" customHeight="1">
      <c r="A892" s="12"/>
      <c r="B892" s="11"/>
      <c r="C892" s="11"/>
      <c r="D892" s="11"/>
      <c r="E892" s="11" t="str">
        <f>IF(J892="","", C892 * IFERROR(VLOOKUP(J892, SETUP!$A:$D, 3, FALSE), 0))</f>
        <v/>
      </c>
      <c r="F892" s="11" t="str">
        <f>IF(J892="","", C892 * IFERROR(VLOOKUP(J892, SETUP!$A:$D, 4, FALSE), 0))</f>
        <v/>
      </c>
      <c r="G892" s="11" t="str">
        <f t="shared" si="1"/>
        <v/>
      </c>
      <c r="H892" s="22"/>
      <c r="I892" s="11"/>
      <c r="J892" s="17" t="str">
        <f>IF(TRIM(B892)="","",IF(ISNUMBER(SEARCH(" - ",B892)),TRIM(RIGHT(B892,LEN(B892)-FIND(" - ",B892)-2)),IFERROR(VLOOKUP(UPPER(TRIM(B892)), SETUP!$B$4:$C$11, 2, FALSE), UPPER(TRIM(B892)))))</f>
        <v/>
      </c>
      <c r="K892" s="23" t="str">
        <f t="shared" si="2"/>
        <v/>
      </c>
      <c r="L892" s="17" t="str">
        <f t="shared" si="3"/>
        <v/>
      </c>
      <c r="M892" s="17" t="str">
        <f t="shared" si="4"/>
        <v/>
      </c>
    </row>
    <row r="893" ht="15.75" customHeight="1">
      <c r="A893" s="12"/>
      <c r="B893" s="11"/>
      <c r="C893" s="11"/>
      <c r="D893" s="11"/>
      <c r="E893" s="11" t="str">
        <f>IF(J893="","", C893 * IFERROR(VLOOKUP(J893, SETUP!$A:$D, 3, FALSE), 0))</f>
        <v/>
      </c>
      <c r="F893" s="11" t="str">
        <f>IF(J893="","", C893 * IFERROR(VLOOKUP(J893, SETUP!$A:$D, 4, FALSE), 0))</f>
        <v/>
      </c>
      <c r="G893" s="11" t="str">
        <f t="shared" si="1"/>
        <v/>
      </c>
      <c r="H893" s="22"/>
      <c r="I893" s="11"/>
      <c r="J893" s="17" t="str">
        <f>IF(TRIM(B893)="","",IF(ISNUMBER(SEARCH(" - ",B893)),TRIM(RIGHT(B893,LEN(B893)-FIND(" - ",B893)-2)),IFERROR(VLOOKUP(UPPER(TRIM(B893)), SETUP!$B$4:$C$11, 2, FALSE), UPPER(TRIM(B893)))))</f>
        <v/>
      </c>
      <c r="K893" s="23" t="str">
        <f t="shared" si="2"/>
        <v/>
      </c>
      <c r="L893" s="17" t="str">
        <f t="shared" si="3"/>
        <v/>
      </c>
      <c r="M893" s="17" t="str">
        <f t="shared" si="4"/>
        <v/>
      </c>
    </row>
    <row r="894" ht="15.75" customHeight="1">
      <c r="A894" s="12"/>
      <c r="B894" s="11"/>
      <c r="C894" s="11"/>
      <c r="D894" s="11"/>
      <c r="E894" s="11" t="str">
        <f>IF(J894="","", C894 * IFERROR(VLOOKUP(J894, SETUP!$A:$D, 3, FALSE), 0))</f>
        <v/>
      </c>
      <c r="F894" s="11" t="str">
        <f>IF(J894="","", C894 * IFERROR(VLOOKUP(J894, SETUP!$A:$D, 4, FALSE), 0))</f>
        <v/>
      </c>
      <c r="G894" s="11" t="str">
        <f t="shared" si="1"/>
        <v/>
      </c>
      <c r="H894" s="22"/>
      <c r="I894" s="11"/>
      <c r="J894" s="17" t="str">
        <f>IF(TRIM(B894)="","",IF(ISNUMBER(SEARCH(" - ",B894)),TRIM(RIGHT(B894,LEN(B894)-FIND(" - ",B894)-2)),IFERROR(VLOOKUP(UPPER(TRIM(B894)), SETUP!$B$4:$C$11, 2, FALSE), UPPER(TRIM(B894)))))</f>
        <v/>
      </c>
      <c r="K894" s="23" t="str">
        <f t="shared" si="2"/>
        <v/>
      </c>
      <c r="L894" s="17" t="str">
        <f t="shared" si="3"/>
        <v/>
      </c>
      <c r="M894" s="17" t="str">
        <f t="shared" si="4"/>
        <v/>
      </c>
    </row>
    <row r="895" ht="15.75" customHeight="1">
      <c r="A895" s="12"/>
      <c r="B895" s="11"/>
      <c r="C895" s="11"/>
      <c r="D895" s="11"/>
      <c r="E895" s="11" t="str">
        <f>IF(J895="","", C895 * IFERROR(VLOOKUP(J895, SETUP!$A:$D, 3, FALSE), 0))</f>
        <v/>
      </c>
      <c r="F895" s="11" t="str">
        <f>IF(J895="","", C895 * IFERROR(VLOOKUP(J895, SETUP!$A:$D, 4, FALSE), 0))</f>
        <v/>
      </c>
      <c r="G895" s="11" t="str">
        <f t="shared" si="1"/>
        <v/>
      </c>
      <c r="H895" s="22"/>
      <c r="I895" s="11"/>
      <c r="J895" s="17" t="str">
        <f>IF(TRIM(B895)="","",IF(ISNUMBER(SEARCH(" - ",B895)),TRIM(RIGHT(B895,LEN(B895)-FIND(" - ",B895)-2)),IFERROR(VLOOKUP(UPPER(TRIM(B895)), SETUP!$B$4:$C$11, 2, FALSE), UPPER(TRIM(B895)))))</f>
        <v/>
      </c>
      <c r="K895" s="23" t="str">
        <f t="shared" si="2"/>
        <v/>
      </c>
      <c r="L895" s="17" t="str">
        <f t="shared" si="3"/>
        <v/>
      </c>
      <c r="M895" s="17" t="str">
        <f t="shared" si="4"/>
        <v/>
      </c>
    </row>
    <row r="896" ht="15.75" customHeight="1">
      <c r="A896" s="12"/>
      <c r="B896" s="11"/>
      <c r="C896" s="11"/>
      <c r="D896" s="11"/>
      <c r="E896" s="11" t="str">
        <f>IF(J896="","", C896 * IFERROR(VLOOKUP(J896, SETUP!$A:$D, 3, FALSE), 0))</f>
        <v/>
      </c>
      <c r="F896" s="11" t="str">
        <f>IF(J896="","", C896 * IFERROR(VLOOKUP(J896, SETUP!$A:$D, 4, FALSE), 0))</f>
        <v/>
      </c>
      <c r="G896" s="11" t="str">
        <f t="shared" si="1"/>
        <v/>
      </c>
      <c r="H896" s="22"/>
      <c r="I896" s="11"/>
      <c r="J896" s="17" t="str">
        <f>IF(TRIM(B896)="","",IF(ISNUMBER(SEARCH(" - ",B896)),TRIM(RIGHT(B896,LEN(B896)-FIND(" - ",B896)-2)),IFERROR(VLOOKUP(UPPER(TRIM(B896)), SETUP!$B$4:$C$11, 2, FALSE), UPPER(TRIM(B896)))))</f>
        <v/>
      </c>
      <c r="K896" s="23" t="str">
        <f t="shared" si="2"/>
        <v/>
      </c>
      <c r="L896" s="17" t="str">
        <f t="shared" si="3"/>
        <v/>
      </c>
      <c r="M896" s="17" t="str">
        <f t="shared" si="4"/>
        <v/>
      </c>
    </row>
    <row r="897" ht="15.75" customHeight="1">
      <c r="A897" s="12"/>
      <c r="B897" s="11"/>
      <c r="C897" s="11"/>
      <c r="D897" s="11"/>
      <c r="E897" s="11" t="str">
        <f>IF(J897="","", C897 * IFERROR(VLOOKUP(J897, SETUP!$A:$D, 3, FALSE), 0))</f>
        <v/>
      </c>
      <c r="F897" s="11" t="str">
        <f>IF(J897="","", C897 * IFERROR(VLOOKUP(J897, SETUP!$A:$D, 4, FALSE), 0))</f>
        <v/>
      </c>
      <c r="G897" s="11" t="str">
        <f t="shared" si="1"/>
        <v/>
      </c>
      <c r="H897" s="22"/>
      <c r="I897" s="11"/>
      <c r="J897" s="17" t="str">
        <f>IF(TRIM(B897)="","",IF(ISNUMBER(SEARCH(" - ",B897)),TRIM(RIGHT(B897,LEN(B897)-FIND(" - ",B897)-2)),IFERROR(VLOOKUP(UPPER(TRIM(B897)), SETUP!$B$4:$C$11, 2, FALSE), UPPER(TRIM(B897)))))</f>
        <v/>
      </c>
      <c r="K897" s="23" t="str">
        <f t="shared" si="2"/>
        <v/>
      </c>
      <c r="L897" s="17" t="str">
        <f t="shared" si="3"/>
        <v/>
      </c>
      <c r="M897" s="17" t="str">
        <f t="shared" si="4"/>
        <v/>
      </c>
    </row>
    <row r="898" ht="15.75" customHeight="1">
      <c r="A898" s="12"/>
      <c r="B898" s="11"/>
      <c r="C898" s="11"/>
      <c r="D898" s="11"/>
      <c r="E898" s="11" t="str">
        <f>IF(J898="","", C898 * IFERROR(VLOOKUP(J898, SETUP!$A:$D, 3, FALSE), 0))</f>
        <v/>
      </c>
      <c r="F898" s="11" t="str">
        <f>IF(J898="","", C898 * IFERROR(VLOOKUP(J898, SETUP!$A:$D, 4, FALSE), 0))</f>
        <v/>
      </c>
      <c r="G898" s="11" t="str">
        <f t="shared" si="1"/>
        <v/>
      </c>
      <c r="H898" s="22"/>
      <c r="I898" s="11"/>
      <c r="J898" s="17" t="str">
        <f>IF(TRIM(B898)="","",IF(ISNUMBER(SEARCH(" - ",B898)),TRIM(RIGHT(B898,LEN(B898)-FIND(" - ",B898)-2)),IFERROR(VLOOKUP(UPPER(TRIM(B898)), SETUP!$B$4:$C$11, 2, FALSE), UPPER(TRIM(B898)))))</f>
        <v/>
      </c>
      <c r="K898" s="23" t="str">
        <f t="shared" si="2"/>
        <v/>
      </c>
      <c r="L898" s="17" t="str">
        <f t="shared" si="3"/>
        <v/>
      </c>
      <c r="M898" s="17" t="str">
        <f t="shared" si="4"/>
        <v/>
      </c>
    </row>
    <row r="899" ht="15.75" customHeight="1">
      <c r="A899" s="12"/>
      <c r="B899" s="11"/>
      <c r="C899" s="11"/>
      <c r="D899" s="11"/>
      <c r="E899" s="11" t="str">
        <f>IF(J899="","", C899 * IFERROR(VLOOKUP(J899, SETUP!$A:$D, 3, FALSE), 0))</f>
        <v/>
      </c>
      <c r="F899" s="11" t="str">
        <f>IF(J899="","", C899 * IFERROR(VLOOKUP(J899, SETUP!$A:$D, 4, FALSE), 0))</f>
        <v/>
      </c>
      <c r="G899" s="11" t="str">
        <f t="shared" si="1"/>
        <v/>
      </c>
      <c r="H899" s="22"/>
      <c r="I899" s="11"/>
      <c r="J899" s="17" t="str">
        <f>IF(TRIM(B899)="","",IF(ISNUMBER(SEARCH(" - ",B899)),TRIM(RIGHT(B899,LEN(B899)-FIND(" - ",B899)-2)),IFERROR(VLOOKUP(UPPER(TRIM(B899)), SETUP!$B$4:$C$11, 2, FALSE), UPPER(TRIM(B899)))))</f>
        <v/>
      </c>
      <c r="K899" s="23" t="str">
        <f t="shared" si="2"/>
        <v/>
      </c>
      <c r="L899" s="17" t="str">
        <f t="shared" si="3"/>
        <v/>
      </c>
      <c r="M899" s="17" t="str">
        <f t="shared" si="4"/>
        <v/>
      </c>
    </row>
    <row r="900" ht="15.75" customHeight="1">
      <c r="A900" s="12"/>
      <c r="B900" s="11"/>
      <c r="C900" s="11"/>
      <c r="D900" s="11"/>
      <c r="E900" s="11" t="str">
        <f>IF(J900="","", C900 * IFERROR(VLOOKUP(J900, SETUP!$A:$D, 3, FALSE), 0))</f>
        <v/>
      </c>
      <c r="F900" s="11" t="str">
        <f>IF(J900="","", C900 * IFERROR(VLOOKUP(J900, SETUP!$A:$D, 4, FALSE), 0))</f>
        <v/>
      </c>
      <c r="G900" s="11" t="str">
        <f t="shared" si="1"/>
        <v/>
      </c>
      <c r="H900" s="22"/>
      <c r="I900" s="11"/>
      <c r="J900" s="17" t="str">
        <f>IF(TRIM(B900)="","",IF(ISNUMBER(SEARCH(" - ",B900)),TRIM(RIGHT(B900,LEN(B900)-FIND(" - ",B900)-2)),IFERROR(VLOOKUP(UPPER(TRIM(B900)), SETUP!$B$4:$C$11, 2, FALSE), UPPER(TRIM(B900)))))</f>
        <v/>
      </c>
      <c r="K900" s="23" t="str">
        <f t="shared" si="2"/>
        <v/>
      </c>
      <c r="L900" s="17" t="str">
        <f t="shared" si="3"/>
        <v/>
      </c>
      <c r="M900" s="17" t="str">
        <f t="shared" si="4"/>
        <v/>
      </c>
    </row>
    <row r="901" ht="15.75" customHeight="1">
      <c r="A901" s="12"/>
      <c r="B901" s="11"/>
      <c r="C901" s="11"/>
      <c r="D901" s="11"/>
      <c r="E901" s="11" t="str">
        <f>IF(J901="","", C901 * IFERROR(VLOOKUP(J901, SETUP!$A:$D, 3, FALSE), 0))</f>
        <v/>
      </c>
      <c r="F901" s="11" t="str">
        <f>IF(J901="","", C901 * IFERROR(VLOOKUP(J901, SETUP!$A:$D, 4, FALSE), 0))</f>
        <v/>
      </c>
      <c r="G901" s="11" t="str">
        <f t="shared" si="1"/>
        <v/>
      </c>
      <c r="H901" s="22"/>
      <c r="I901" s="11"/>
      <c r="J901" s="17" t="str">
        <f>IF(TRIM(B901)="","",IF(ISNUMBER(SEARCH(" - ",B901)),TRIM(RIGHT(B901,LEN(B901)-FIND(" - ",B901)-2)),IFERROR(VLOOKUP(UPPER(TRIM(B901)), SETUP!$B$4:$C$11, 2, FALSE), UPPER(TRIM(B901)))))</f>
        <v/>
      </c>
      <c r="K901" s="23" t="str">
        <f t="shared" si="2"/>
        <v/>
      </c>
      <c r="L901" s="17" t="str">
        <f t="shared" si="3"/>
        <v/>
      </c>
      <c r="M901" s="17" t="str">
        <f t="shared" si="4"/>
        <v/>
      </c>
    </row>
    <row r="902" ht="15.75" customHeight="1">
      <c r="A902" s="12"/>
      <c r="B902" s="11"/>
      <c r="C902" s="11"/>
      <c r="D902" s="11"/>
      <c r="E902" s="11" t="str">
        <f>IF(J902="","", C902 * IFERROR(VLOOKUP(J902, SETUP!$A:$D, 3, FALSE), 0))</f>
        <v/>
      </c>
      <c r="F902" s="11" t="str">
        <f>IF(J902="","", C902 * IFERROR(VLOOKUP(J902, SETUP!$A:$D, 4, FALSE), 0))</f>
        <v/>
      </c>
      <c r="G902" s="11" t="str">
        <f t="shared" si="1"/>
        <v/>
      </c>
      <c r="H902" s="22"/>
      <c r="I902" s="11"/>
      <c r="J902" s="17" t="str">
        <f>IF(TRIM(B902)="","",IF(ISNUMBER(SEARCH(" - ",B902)),TRIM(RIGHT(B902,LEN(B902)-FIND(" - ",B902)-2)),IFERROR(VLOOKUP(UPPER(TRIM(B902)), SETUP!$B$4:$C$11, 2, FALSE), UPPER(TRIM(B902)))))</f>
        <v/>
      </c>
      <c r="K902" s="23" t="str">
        <f t="shared" si="2"/>
        <v/>
      </c>
      <c r="L902" s="17" t="str">
        <f t="shared" si="3"/>
        <v/>
      </c>
      <c r="M902" s="17" t="str">
        <f t="shared" si="4"/>
        <v/>
      </c>
    </row>
    <row r="903" ht="15.75" customHeight="1">
      <c r="A903" s="12"/>
      <c r="B903" s="11"/>
      <c r="C903" s="11"/>
      <c r="D903" s="11"/>
      <c r="E903" s="11" t="str">
        <f>IF(J903="","", C903 * IFERROR(VLOOKUP(J903, SETUP!$A:$D, 3, FALSE), 0))</f>
        <v/>
      </c>
      <c r="F903" s="11" t="str">
        <f>IF(J903="","", C903 * IFERROR(VLOOKUP(J903, SETUP!$A:$D, 4, FALSE), 0))</f>
        <v/>
      </c>
      <c r="G903" s="11" t="str">
        <f t="shared" si="1"/>
        <v/>
      </c>
      <c r="H903" s="22"/>
      <c r="I903" s="11"/>
      <c r="J903" s="17" t="str">
        <f>IF(TRIM(B903)="","",IF(ISNUMBER(SEARCH(" - ",B903)),TRIM(RIGHT(B903,LEN(B903)-FIND(" - ",B903)-2)),IFERROR(VLOOKUP(UPPER(TRIM(B903)), SETUP!$B$4:$C$11, 2, FALSE), UPPER(TRIM(B903)))))</f>
        <v/>
      </c>
      <c r="K903" s="23" t="str">
        <f t="shared" si="2"/>
        <v/>
      </c>
      <c r="L903" s="17" t="str">
        <f t="shared" si="3"/>
        <v/>
      </c>
      <c r="M903" s="17" t="str">
        <f t="shared" si="4"/>
        <v/>
      </c>
    </row>
    <row r="904" ht="15.75" customHeight="1">
      <c r="A904" s="12"/>
      <c r="B904" s="11"/>
      <c r="C904" s="11"/>
      <c r="D904" s="11"/>
      <c r="E904" s="11" t="str">
        <f>IF(J904="","", C904 * IFERROR(VLOOKUP(J904, SETUP!$A:$D, 3, FALSE), 0))</f>
        <v/>
      </c>
      <c r="F904" s="11" t="str">
        <f>IF(J904="","", C904 * IFERROR(VLOOKUP(J904, SETUP!$A:$D, 4, FALSE), 0))</f>
        <v/>
      </c>
      <c r="G904" s="11" t="str">
        <f t="shared" si="1"/>
        <v/>
      </c>
      <c r="H904" s="22"/>
      <c r="I904" s="11"/>
      <c r="J904" s="17" t="str">
        <f>IF(TRIM(B904)="","",IF(ISNUMBER(SEARCH(" - ",B904)),TRIM(RIGHT(B904,LEN(B904)-FIND(" - ",B904)-2)),IFERROR(VLOOKUP(UPPER(TRIM(B904)), SETUP!$B$4:$C$11, 2, FALSE), UPPER(TRIM(B904)))))</f>
        <v/>
      </c>
      <c r="K904" s="23" t="str">
        <f t="shared" si="2"/>
        <v/>
      </c>
      <c r="L904" s="17" t="str">
        <f t="shared" si="3"/>
        <v/>
      </c>
      <c r="M904" s="17" t="str">
        <f t="shared" si="4"/>
        <v/>
      </c>
    </row>
    <row r="905" ht="15.75" customHeight="1">
      <c r="A905" s="12"/>
      <c r="B905" s="11"/>
      <c r="C905" s="11"/>
      <c r="D905" s="11"/>
      <c r="E905" s="11" t="str">
        <f>IF(J905="","", C905 * IFERROR(VLOOKUP(J905, SETUP!$A:$D, 3, FALSE), 0))</f>
        <v/>
      </c>
      <c r="F905" s="11" t="str">
        <f>IF(J905="","", C905 * IFERROR(VLOOKUP(J905, SETUP!$A:$D, 4, FALSE), 0))</f>
        <v/>
      </c>
      <c r="G905" s="11" t="str">
        <f t="shared" si="1"/>
        <v/>
      </c>
      <c r="H905" s="22"/>
      <c r="I905" s="11"/>
      <c r="J905" s="17" t="str">
        <f>IF(TRIM(B905)="","",IF(ISNUMBER(SEARCH(" - ",B905)),TRIM(RIGHT(B905,LEN(B905)-FIND(" - ",B905)-2)),IFERROR(VLOOKUP(UPPER(TRIM(B905)), SETUP!$B$4:$C$11, 2, FALSE), UPPER(TRIM(B905)))))</f>
        <v/>
      </c>
      <c r="K905" s="23" t="str">
        <f t="shared" si="2"/>
        <v/>
      </c>
      <c r="L905" s="17" t="str">
        <f t="shared" si="3"/>
        <v/>
      </c>
      <c r="M905" s="17" t="str">
        <f t="shared" si="4"/>
        <v/>
      </c>
    </row>
    <row r="906" ht="15.75" customHeight="1">
      <c r="A906" s="12"/>
      <c r="B906" s="11"/>
      <c r="C906" s="11"/>
      <c r="D906" s="11"/>
      <c r="E906" s="11" t="str">
        <f>IF(J906="","", C906 * IFERROR(VLOOKUP(J906, SETUP!$A:$D, 3, FALSE), 0))</f>
        <v/>
      </c>
      <c r="F906" s="11" t="str">
        <f>IF(J906="","", C906 * IFERROR(VLOOKUP(J906, SETUP!$A:$D, 4, FALSE), 0))</f>
        <v/>
      </c>
      <c r="G906" s="11" t="str">
        <f t="shared" si="1"/>
        <v/>
      </c>
      <c r="H906" s="22"/>
      <c r="I906" s="11"/>
      <c r="J906" s="17" t="str">
        <f>IF(TRIM(B906)="","",IF(ISNUMBER(SEARCH(" - ",B906)),TRIM(RIGHT(B906,LEN(B906)-FIND(" - ",B906)-2)),IFERROR(VLOOKUP(UPPER(TRIM(B906)), SETUP!$B$4:$C$11, 2, FALSE), UPPER(TRIM(B906)))))</f>
        <v/>
      </c>
      <c r="K906" s="23" t="str">
        <f t="shared" si="2"/>
        <v/>
      </c>
      <c r="L906" s="17" t="str">
        <f t="shared" si="3"/>
        <v/>
      </c>
      <c r="M906" s="17" t="str">
        <f t="shared" si="4"/>
        <v/>
      </c>
    </row>
    <row r="907" ht="15.75" customHeight="1">
      <c r="A907" s="12"/>
      <c r="B907" s="11"/>
      <c r="C907" s="11"/>
      <c r="D907" s="11"/>
      <c r="E907" s="11" t="str">
        <f>IF(J907="","", C907 * IFERROR(VLOOKUP(J907, SETUP!$A:$D, 3, FALSE), 0))</f>
        <v/>
      </c>
      <c r="F907" s="11" t="str">
        <f>IF(J907="","", C907 * IFERROR(VLOOKUP(J907, SETUP!$A:$D, 4, FALSE), 0))</f>
        <v/>
      </c>
      <c r="G907" s="11" t="str">
        <f t="shared" si="1"/>
        <v/>
      </c>
      <c r="H907" s="22"/>
      <c r="I907" s="11"/>
      <c r="J907" s="17" t="str">
        <f>IF(TRIM(B907)="","",IF(ISNUMBER(SEARCH(" - ",B907)),TRIM(RIGHT(B907,LEN(B907)-FIND(" - ",B907)-2)),IFERROR(VLOOKUP(UPPER(TRIM(B907)), SETUP!$B$4:$C$11, 2, FALSE), UPPER(TRIM(B907)))))</f>
        <v/>
      </c>
      <c r="K907" s="23" t="str">
        <f t="shared" si="2"/>
        <v/>
      </c>
      <c r="L907" s="17" t="str">
        <f t="shared" si="3"/>
        <v/>
      </c>
      <c r="M907" s="17" t="str">
        <f t="shared" si="4"/>
        <v/>
      </c>
    </row>
    <row r="908" ht="15.75" customHeight="1">
      <c r="A908" s="12"/>
      <c r="B908" s="11"/>
      <c r="C908" s="11"/>
      <c r="D908" s="11"/>
      <c r="E908" s="11" t="str">
        <f>IF(J908="","", C908 * IFERROR(VLOOKUP(J908, SETUP!$A:$D, 3, FALSE), 0))</f>
        <v/>
      </c>
      <c r="F908" s="11" t="str">
        <f>IF(J908="","", C908 * IFERROR(VLOOKUP(J908, SETUP!$A:$D, 4, FALSE), 0))</f>
        <v/>
      </c>
      <c r="G908" s="11" t="str">
        <f t="shared" si="1"/>
        <v/>
      </c>
      <c r="H908" s="22"/>
      <c r="I908" s="11"/>
      <c r="J908" s="17" t="str">
        <f>IF(TRIM(B908)="","",IF(ISNUMBER(SEARCH(" - ",B908)),TRIM(RIGHT(B908,LEN(B908)-FIND(" - ",B908)-2)),IFERROR(VLOOKUP(UPPER(TRIM(B908)), SETUP!$B$4:$C$11, 2, FALSE), UPPER(TRIM(B908)))))</f>
        <v/>
      </c>
      <c r="K908" s="23" t="str">
        <f t="shared" si="2"/>
        <v/>
      </c>
      <c r="L908" s="17" t="str">
        <f t="shared" si="3"/>
        <v/>
      </c>
      <c r="M908" s="17" t="str">
        <f t="shared" si="4"/>
        <v/>
      </c>
    </row>
    <row r="909" ht="15.75" customHeight="1">
      <c r="A909" s="12"/>
      <c r="B909" s="11"/>
      <c r="C909" s="11"/>
      <c r="D909" s="11"/>
      <c r="E909" s="11" t="str">
        <f>IF(J909="","", C909 * IFERROR(VLOOKUP(J909, SETUP!$A:$D, 3, FALSE), 0))</f>
        <v/>
      </c>
      <c r="F909" s="11" t="str">
        <f>IF(J909="","", C909 * IFERROR(VLOOKUP(J909, SETUP!$A:$D, 4, FALSE), 0))</f>
        <v/>
      </c>
      <c r="G909" s="11" t="str">
        <f t="shared" si="1"/>
        <v/>
      </c>
      <c r="H909" s="22"/>
      <c r="I909" s="11"/>
      <c r="J909" s="17" t="str">
        <f>IF(TRIM(B909)="","",IF(ISNUMBER(SEARCH(" - ",B909)),TRIM(RIGHT(B909,LEN(B909)-FIND(" - ",B909)-2)),IFERROR(VLOOKUP(UPPER(TRIM(B909)), SETUP!$B$4:$C$11, 2, FALSE), UPPER(TRIM(B909)))))</f>
        <v/>
      </c>
      <c r="K909" s="23" t="str">
        <f t="shared" si="2"/>
        <v/>
      </c>
      <c r="L909" s="17" t="str">
        <f t="shared" si="3"/>
        <v/>
      </c>
      <c r="M909" s="17" t="str">
        <f t="shared" si="4"/>
        <v/>
      </c>
    </row>
    <row r="910" ht="15.75" customHeight="1">
      <c r="A910" s="12"/>
      <c r="B910" s="11"/>
      <c r="C910" s="11"/>
      <c r="D910" s="11"/>
      <c r="E910" s="11" t="str">
        <f>IF(J910="","", C910 * IFERROR(VLOOKUP(J910, SETUP!$A:$D, 3, FALSE), 0))</f>
        <v/>
      </c>
      <c r="F910" s="11" t="str">
        <f>IF(J910="","", C910 * IFERROR(VLOOKUP(J910, SETUP!$A:$D, 4, FALSE), 0))</f>
        <v/>
      </c>
      <c r="G910" s="11" t="str">
        <f t="shared" si="1"/>
        <v/>
      </c>
      <c r="H910" s="22"/>
      <c r="I910" s="11"/>
      <c r="J910" s="17" t="str">
        <f>IF(TRIM(B910)="","",IF(ISNUMBER(SEARCH(" - ",B910)),TRIM(RIGHT(B910,LEN(B910)-FIND(" - ",B910)-2)),IFERROR(VLOOKUP(UPPER(TRIM(B910)), SETUP!$B$4:$C$11, 2, FALSE), UPPER(TRIM(B910)))))</f>
        <v/>
      </c>
      <c r="K910" s="23" t="str">
        <f t="shared" si="2"/>
        <v/>
      </c>
      <c r="L910" s="17" t="str">
        <f t="shared" si="3"/>
        <v/>
      </c>
      <c r="M910" s="17" t="str">
        <f t="shared" si="4"/>
        <v/>
      </c>
    </row>
    <row r="911" ht="15.75" customHeight="1">
      <c r="A911" s="12"/>
      <c r="B911" s="11"/>
      <c r="C911" s="11"/>
      <c r="D911" s="11"/>
      <c r="E911" s="11" t="str">
        <f>IF(J911="","", C911 * IFERROR(VLOOKUP(J911, SETUP!$A:$D, 3, FALSE), 0))</f>
        <v/>
      </c>
      <c r="F911" s="11" t="str">
        <f>IF(J911="","", C911 * IFERROR(VLOOKUP(J911, SETUP!$A:$D, 4, FALSE), 0))</f>
        <v/>
      </c>
      <c r="G911" s="11" t="str">
        <f t="shared" si="1"/>
        <v/>
      </c>
      <c r="H911" s="22"/>
      <c r="I911" s="11"/>
      <c r="J911" s="17" t="str">
        <f>IF(TRIM(B911)="","",IF(ISNUMBER(SEARCH(" - ",B911)),TRIM(RIGHT(B911,LEN(B911)-FIND(" - ",B911)-2)),IFERROR(VLOOKUP(UPPER(TRIM(B911)), SETUP!$B$4:$C$11, 2, FALSE), UPPER(TRIM(B911)))))</f>
        <v/>
      </c>
      <c r="K911" s="23" t="str">
        <f t="shared" si="2"/>
        <v/>
      </c>
      <c r="L911" s="17" t="str">
        <f t="shared" si="3"/>
        <v/>
      </c>
      <c r="M911" s="17" t="str">
        <f t="shared" si="4"/>
        <v/>
      </c>
    </row>
    <row r="912" ht="15.75" customHeight="1">
      <c r="A912" s="12"/>
      <c r="B912" s="11"/>
      <c r="C912" s="11"/>
      <c r="D912" s="11"/>
      <c r="E912" s="11" t="str">
        <f>IF(J912="","", C912 * IFERROR(VLOOKUP(J912, SETUP!$A:$D, 3, FALSE), 0))</f>
        <v/>
      </c>
      <c r="F912" s="11" t="str">
        <f>IF(J912="","", C912 * IFERROR(VLOOKUP(J912, SETUP!$A:$D, 4, FALSE), 0))</f>
        <v/>
      </c>
      <c r="G912" s="11" t="str">
        <f t="shared" si="1"/>
        <v/>
      </c>
      <c r="H912" s="22"/>
      <c r="I912" s="11"/>
      <c r="J912" s="17" t="str">
        <f>IF(TRIM(B912)="","",IF(ISNUMBER(SEARCH(" - ",B912)),TRIM(RIGHT(B912,LEN(B912)-FIND(" - ",B912)-2)),IFERROR(VLOOKUP(UPPER(TRIM(B912)), SETUP!$B$4:$C$11, 2, FALSE), UPPER(TRIM(B912)))))</f>
        <v/>
      </c>
      <c r="K912" s="23" t="str">
        <f t="shared" si="2"/>
        <v/>
      </c>
      <c r="L912" s="17" t="str">
        <f t="shared" si="3"/>
        <v/>
      </c>
      <c r="M912" s="17" t="str">
        <f t="shared" si="4"/>
        <v/>
      </c>
    </row>
    <row r="913" ht="15.75" customHeight="1">
      <c r="A913" s="12"/>
      <c r="B913" s="11"/>
      <c r="C913" s="11"/>
      <c r="D913" s="11"/>
      <c r="E913" s="11" t="str">
        <f>IF(J913="","", C913 * IFERROR(VLOOKUP(J913, SETUP!$A:$D, 3, FALSE), 0))</f>
        <v/>
      </c>
      <c r="F913" s="11" t="str">
        <f>IF(J913="","", C913 * IFERROR(VLOOKUP(J913, SETUP!$A:$D, 4, FALSE), 0))</f>
        <v/>
      </c>
      <c r="G913" s="11" t="str">
        <f t="shared" si="1"/>
        <v/>
      </c>
      <c r="H913" s="22"/>
      <c r="I913" s="11"/>
      <c r="J913" s="17" t="str">
        <f>IF(TRIM(B913)="","",IF(ISNUMBER(SEARCH(" - ",B913)),TRIM(RIGHT(B913,LEN(B913)-FIND(" - ",B913)-2)),IFERROR(VLOOKUP(UPPER(TRIM(B913)), SETUP!$B$4:$C$11, 2, FALSE), UPPER(TRIM(B913)))))</f>
        <v/>
      </c>
      <c r="K913" s="23" t="str">
        <f t="shared" si="2"/>
        <v/>
      </c>
      <c r="L913" s="17" t="str">
        <f t="shared" si="3"/>
        <v/>
      </c>
      <c r="M913" s="17" t="str">
        <f t="shared" si="4"/>
        <v/>
      </c>
    </row>
    <row r="914" ht="15.75" customHeight="1">
      <c r="A914" s="12"/>
      <c r="B914" s="11"/>
      <c r="C914" s="11"/>
      <c r="D914" s="11"/>
      <c r="E914" s="11" t="str">
        <f>IF(J914="","", C914 * IFERROR(VLOOKUP(J914, SETUP!$A:$D, 3, FALSE), 0))</f>
        <v/>
      </c>
      <c r="F914" s="11" t="str">
        <f>IF(J914="","", C914 * IFERROR(VLOOKUP(J914, SETUP!$A:$D, 4, FALSE), 0))</f>
        <v/>
      </c>
      <c r="G914" s="11" t="str">
        <f t="shared" si="1"/>
        <v/>
      </c>
      <c r="H914" s="22"/>
      <c r="I914" s="11"/>
      <c r="J914" s="17" t="str">
        <f>IF(TRIM(B914)="","",IF(ISNUMBER(SEARCH(" - ",B914)),TRIM(RIGHT(B914,LEN(B914)-FIND(" - ",B914)-2)),IFERROR(VLOOKUP(UPPER(TRIM(B914)), SETUP!$B$4:$C$11, 2, FALSE), UPPER(TRIM(B914)))))</f>
        <v/>
      </c>
      <c r="K914" s="23" t="str">
        <f t="shared" si="2"/>
        <v/>
      </c>
      <c r="L914" s="17" t="str">
        <f t="shared" si="3"/>
        <v/>
      </c>
      <c r="M914" s="17" t="str">
        <f t="shared" si="4"/>
        <v/>
      </c>
    </row>
    <row r="915" ht="15.75" customHeight="1">
      <c r="A915" s="12"/>
      <c r="B915" s="11"/>
      <c r="C915" s="11"/>
      <c r="D915" s="11"/>
      <c r="E915" s="11" t="str">
        <f>IF(J915="","", C915 * IFERROR(VLOOKUP(J915, SETUP!$A:$D, 3, FALSE), 0))</f>
        <v/>
      </c>
      <c r="F915" s="11" t="str">
        <f>IF(J915="","", C915 * IFERROR(VLOOKUP(J915, SETUP!$A:$D, 4, FALSE), 0))</f>
        <v/>
      </c>
      <c r="G915" s="11" t="str">
        <f t="shared" si="1"/>
        <v/>
      </c>
      <c r="H915" s="22"/>
      <c r="I915" s="11"/>
      <c r="J915" s="17" t="str">
        <f>IF(TRIM(B915)="","",IF(ISNUMBER(SEARCH(" - ",B915)),TRIM(RIGHT(B915,LEN(B915)-FIND(" - ",B915)-2)),IFERROR(VLOOKUP(UPPER(TRIM(B915)), SETUP!$B$4:$C$11, 2, FALSE), UPPER(TRIM(B915)))))</f>
        <v/>
      </c>
      <c r="K915" s="23" t="str">
        <f t="shared" si="2"/>
        <v/>
      </c>
      <c r="L915" s="17" t="str">
        <f t="shared" si="3"/>
        <v/>
      </c>
      <c r="M915" s="17" t="str">
        <f t="shared" si="4"/>
        <v/>
      </c>
    </row>
    <row r="916" ht="15.75" customHeight="1">
      <c r="A916" s="12"/>
      <c r="B916" s="11"/>
      <c r="C916" s="11"/>
      <c r="D916" s="11"/>
      <c r="E916" s="11" t="str">
        <f>IF(J916="","", C916 * IFERROR(VLOOKUP(J916, SETUP!$A:$D, 3, FALSE), 0))</f>
        <v/>
      </c>
      <c r="F916" s="11" t="str">
        <f>IF(J916="","", C916 * IFERROR(VLOOKUP(J916, SETUP!$A:$D, 4, FALSE), 0))</f>
        <v/>
      </c>
      <c r="G916" s="11" t="str">
        <f t="shared" si="1"/>
        <v/>
      </c>
      <c r="H916" s="22"/>
      <c r="I916" s="11"/>
      <c r="J916" s="17" t="str">
        <f>IF(TRIM(B916)="","",IF(ISNUMBER(SEARCH(" - ",B916)),TRIM(RIGHT(B916,LEN(B916)-FIND(" - ",B916)-2)),IFERROR(VLOOKUP(UPPER(TRIM(B916)), SETUP!$B$4:$C$11, 2, FALSE), UPPER(TRIM(B916)))))</f>
        <v/>
      </c>
      <c r="K916" s="23" t="str">
        <f t="shared" si="2"/>
        <v/>
      </c>
      <c r="L916" s="17" t="str">
        <f t="shared" si="3"/>
        <v/>
      </c>
      <c r="M916" s="17" t="str">
        <f t="shared" si="4"/>
        <v/>
      </c>
    </row>
    <row r="917" ht="15.75" customHeight="1">
      <c r="A917" s="12"/>
      <c r="B917" s="11"/>
      <c r="C917" s="11"/>
      <c r="D917" s="11"/>
      <c r="E917" s="11" t="str">
        <f>IF(J917="","", C917 * IFERROR(VLOOKUP(J917, SETUP!$A:$D, 3, FALSE), 0))</f>
        <v/>
      </c>
      <c r="F917" s="11" t="str">
        <f>IF(J917="","", C917 * IFERROR(VLOOKUP(J917, SETUP!$A:$D, 4, FALSE), 0))</f>
        <v/>
      </c>
      <c r="G917" s="11" t="str">
        <f t="shared" si="1"/>
        <v/>
      </c>
      <c r="H917" s="22"/>
      <c r="I917" s="11"/>
      <c r="J917" s="17" t="str">
        <f>IF(TRIM(B917)="","",IF(ISNUMBER(SEARCH(" - ",B917)),TRIM(RIGHT(B917,LEN(B917)-FIND(" - ",B917)-2)),IFERROR(VLOOKUP(UPPER(TRIM(B917)), SETUP!$B$4:$C$11, 2, FALSE), UPPER(TRIM(B917)))))</f>
        <v/>
      </c>
      <c r="K917" s="23" t="str">
        <f t="shared" si="2"/>
        <v/>
      </c>
      <c r="L917" s="17" t="str">
        <f t="shared" si="3"/>
        <v/>
      </c>
      <c r="M917" s="17" t="str">
        <f t="shared" si="4"/>
        <v/>
      </c>
    </row>
    <row r="918" ht="15.75" customHeight="1">
      <c r="A918" s="12"/>
      <c r="B918" s="11"/>
      <c r="C918" s="11"/>
      <c r="D918" s="11"/>
      <c r="E918" s="11" t="str">
        <f>IF(J918="","", C918 * IFERROR(VLOOKUP(J918, SETUP!$A:$D, 3, FALSE), 0))</f>
        <v/>
      </c>
      <c r="F918" s="11" t="str">
        <f>IF(J918="","", C918 * IFERROR(VLOOKUP(J918, SETUP!$A:$D, 4, FALSE), 0))</f>
        <v/>
      </c>
      <c r="G918" s="11" t="str">
        <f t="shared" si="1"/>
        <v/>
      </c>
      <c r="H918" s="22"/>
      <c r="I918" s="11"/>
      <c r="J918" s="17" t="str">
        <f>IF(TRIM(B918)="","",IF(ISNUMBER(SEARCH(" - ",B918)),TRIM(RIGHT(B918,LEN(B918)-FIND(" - ",B918)-2)),IFERROR(VLOOKUP(UPPER(TRIM(B918)), SETUP!$B$4:$C$11, 2, FALSE), UPPER(TRIM(B918)))))</f>
        <v/>
      </c>
      <c r="K918" s="23" t="str">
        <f t="shared" si="2"/>
        <v/>
      </c>
      <c r="L918" s="17" t="str">
        <f t="shared" si="3"/>
        <v/>
      </c>
      <c r="M918" s="17" t="str">
        <f t="shared" si="4"/>
        <v/>
      </c>
    </row>
    <row r="919" ht="15.75" customHeight="1">
      <c r="A919" s="12"/>
      <c r="B919" s="11"/>
      <c r="C919" s="11"/>
      <c r="D919" s="11"/>
      <c r="E919" s="11" t="str">
        <f>IF(J919="","", C919 * IFERROR(VLOOKUP(J919, SETUP!$A:$D, 3, FALSE), 0))</f>
        <v/>
      </c>
      <c r="F919" s="11" t="str">
        <f>IF(J919="","", C919 * IFERROR(VLOOKUP(J919, SETUP!$A:$D, 4, FALSE), 0))</f>
        <v/>
      </c>
      <c r="G919" s="11" t="str">
        <f t="shared" si="1"/>
        <v/>
      </c>
      <c r="H919" s="22"/>
      <c r="I919" s="11"/>
      <c r="J919" s="17" t="str">
        <f>IF(TRIM(B919)="","",IF(ISNUMBER(SEARCH(" - ",B919)),TRIM(RIGHT(B919,LEN(B919)-FIND(" - ",B919)-2)),IFERROR(VLOOKUP(UPPER(TRIM(B919)), SETUP!$B$4:$C$11, 2, FALSE), UPPER(TRIM(B919)))))</f>
        <v/>
      </c>
      <c r="K919" s="23" t="str">
        <f t="shared" si="2"/>
        <v/>
      </c>
      <c r="L919" s="17" t="str">
        <f t="shared" si="3"/>
        <v/>
      </c>
      <c r="M919" s="17" t="str">
        <f t="shared" si="4"/>
        <v/>
      </c>
    </row>
    <row r="920" ht="15.75" customHeight="1">
      <c r="A920" s="12"/>
      <c r="B920" s="11"/>
      <c r="C920" s="11"/>
      <c r="D920" s="11"/>
      <c r="E920" s="11" t="str">
        <f>IF(J920="","", C920 * IFERROR(VLOOKUP(J920, SETUP!$A:$D, 3, FALSE), 0))</f>
        <v/>
      </c>
      <c r="F920" s="11" t="str">
        <f>IF(J920="","", C920 * IFERROR(VLOOKUP(J920, SETUP!$A:$D, 4, FALSE), 0))</f>
        <v/>
      </c>
      <c r="G920" s="11" t="str">
        <f t="shared" si="1"/>
        <v/>
      </c>
      <c r="H920" s="22"/>
      <c r="I920" s="11"/>
      <c r="J920" s="17" t="str">
        <f>IF(TRIM(B920)="","",IF(ISNUMBER(SEARCH(" - ",B920)),TRIM(RIGHT(B920,LEN(B920)-FIND(" - ",B920)-2)),IFERROR(VLOOKUP(UPPER(TRIM(B920)), SETUP!$B$4:$C$11, 2, FALSE), UPPER(TRIM(B920)))))</f>
        <v/>
      </c>
      <c r="K920" s="23" t="str">
        <f t="shared" si="2"/>
        <v/>
      </c>
      <c r="L920" s="17" t="str">
        <f t="shared" si="3"/>
        <v/>
      </c>
      <c r="M920" s="17" t="str">
        <f t="shared" si="4"/>
        <v/>
      </c>
    </row>
    <row r="921" ht="15.75" customHeight="1">
      <c r="A921" s="12"/>
      <c r="B921" s="11"/>
      <c r="C921" s="11"/>
      <c r="D921" s="11"/>
      <c r="E921" s="11" t="str">
        <f>IF(J921="","", C921 * IFERROR(VLOOKUP(J921, SETUP!$A:$D, 3, FALSE), 0))</f>
        <v/>
      </c>
      <c r="F921" s="11" t="str">
        <f>IF(J921="","", C921 * IFERROR(VLOOKUP(J921, SETUP!$A:$D, 4, FALSE), 0))</f>
        <v/>
      </c>
      <c r="G921" s="11" t="str">
        <f t="shared" si="1"/>
        <v/>
      </c>
      <c r="H921" s="22"/>
      <c r="I921" s="11"/>
      <c r="J921" s="17" t="str">
        <f>IF(TRIM(B921)="","",IF(ISNUMBER(SEARCH(" - ",B921)),TRIM(RIGHT(B921,LEN(B921)-FIND(" - ",B921)-2)),IFERROR(VLOOKUP(UPPER(TRIM(B921)), SETUP!$B$4:$C$11, 2, FALSE), UPPER(TRIM(B921)))))</f>
        <v/>
      </c>
      <c r="K921" s="23" t="str">
        <f t="shared" si="2"/>
        <v/>
      </c>
      <c r="L921" s="17" t="str">
        <f t="shared" si="3"/>
        <v/>
      </c>
      <c r="M921" s="17" t="str">
        <f t="shared" si="4"/>
        <v/>
      </c>
    </row>
    <row r="922" ht="15.75" customHeight="1">
      <c r="A922" s="12"/>
      <c r="B922" s="11"/>
      <c r="C922" s="11"/>
      <c r="D922" s="11"/>
      <c r="E922" s="11" t="str">
        <f>IF(J922="","", C922 * IFERROR(VLOOKUP(J922, SETUP!$A:$D, 3, FALSE), 0))</f>
        <v/>
      </c>
      <c r="F922" s="11" t="str">
        <f>IF(J922="","", C922 * IFERROR(VLOOKUP(J922, SETUP!$A:$D, 4, FALSE), 0))</f>
        <v/>
      </c>
      <c r="G922" s="11" t="str">
        <f t="shared" si="1"/>
        <v/>
      </c>
      <c r="H922" s="22"/>
      <c r="I922" s="11"/>
      <c r="J922" s="17" t="str">
        <f>IF(TRIM(B922)="","",IF(ISNUMBER(SEARCH(" - ",B922)),TRIM(RIGHT(B922,LEN(B922)-FIND(" - ",B922)-2)),IFERROR(VLOOKUP(UPPER(TRIM(B922)), SETUP!$B$4:$C$11, 2, FALSE), UPPER(TRIM(B922)))))</f>
        <v/>
      </c>
      <c r="K922" s="23" t="str">
        <f t="shared" si="2"/>
        <v/>
      </c>
      <c r="L922" s="17" t="str">
        <f t="shared" si="3"/>
        <v/>
      </c>
      <c r="M922" s="17" t="str">
        <f t="shared" si="4"/>
        <v/>
      </c>
    </row>
    <row r="923" ht="15.75" customHeight="1">
      <c r="A923" s="12"/>
      <c r="B923" s="11"/>
      <c r="C923" s="11"/>
      <c r="D923" s="11"/>
      <c r="E923" s="11" t="str">
        <f>IF(J923="","", C923 * IFERROR(VLOOKUP(J923, SETUP!$A:$D, 3, FALSE), 0))</f>
        <v/>
      </c>
      <c r="F923" s="11" t="str">
        <f>IF(J923="","", C923 * IFERROR(VLOOKUP(J923, SETUP!$A:$D, 4, FALSE), 0))</f>
        <v/>
      </c>
      <c r="G923" s="11" t="str">
        <f t="shared" si="1"/>
        <v/>
      </c>
      <c r="H923" s="22"/>
      <c r="I923" s="11"/>
      <c r="J923" s="17" t="str">
        <f>IF(TRIM(B923)="","",IF(ISNUMBER(SEARCH(" - ",B923)),TRIM(RIGHT(B923,LEN(B923)-FIND(" - ",B923)-2)),IFERROR(VLOOKUP(UPPER(TRIM(B923)), SETUP!$B$4:$C$11, 2, FALSE), UPPER(TRIM(B923)))))</f>
        <v/>
      </c>
      <c r="K923" s="23" t="str">
        <f t="shared" si="2"/>
        <v/>
      </c>
      <c r="L923" s="17" t="str">
        <f t="shared" si="3"/>
        <v/>
      </c>
      <c r="M923" s="17" t="str">
        <f t="shared" si="4"/>
        <v/>
      </c>
    </row>
    <row r="924" ht="15.75" customHeight="1">
      <c r="A924" s="12"/>
      <c r="B924" s="11"/>
      <c r="C924" s="11"/>
      <c r="D924" s="11"/>
      <c r="E924" s="11" t="str">
        <f>IF(J924="","", C924 * IFERROR(VLOOKUP(J924, SETUP!$A:$D, 3, FALSE), 0))</f>
        <v/>
      </c>
      <c r="F924" s="11" t="str">
        <f>IF(J924="","", C924 * IFERROR(VLOOKUP(J924, SETUP!$A:$D, 4, FALSE), 0))</f>
        <v/>
      </c>
      <c r="G924" s="11" t="str">
        <f t="shared" si="1"/>
        <v/>
      </c>
      <c r="H924" s="22"/>
      <c r="I924" s="11"/>
      <c r="J924" s="17" t="str">
        <f>IF(TRIM(B924)="","",IF(ISNUMBER(SEARCH(" - ",B924)),TRIM(RIGHT(B924,LEN(B924)-FIND(" - ",B924)-2)),IFERROR(VLOOKUP(UPPER(TRIM(B924)), SETUP!$B$4:$C$11, 2, FALSE), UPPER(TRIM(B924)))))</f>
        <v/>
      </c>
      <c r="K924" s="23" t="str">
        <f t="shared" si="2"/>
        <v/>
      </c>
      <c r="L924" s="17" t="str">
        <f t="shared" si="3"/>
        <v/>
      </c>
      <c r="M924" s="17" t="str">
        <f t="shared" si="4"/>
        <v/>
      </c>
    </row>
    <row r="925" ht="15.75" customHeight="1">
      <c r="A925" s="12"/>
      <c r="B925" s="11"/>
      <c r="C925" s="11"/>
      <c r="D925" s="11"/>
      <c r="E925" s="11" t="str">
        <f>IF(J925="","", C925 * IFERROR(VLOOKUP(J925, SETUP!$A:$D, 3, FALSE), 0))</f>
        <v/>
      </c>
      <c r="F925" s="11" t="str">
        <f>IF(J925="","", C925 * IFERROR(VLOOKUP(J925, SETUP!$A:$D, 4, FALSE), 0))</f>
        <v/>
      </c>
      <c r="G925" s="11" t="str">
        <f t="shared" si="1"/>
        <v/>
      </c>
      <c r="H925" s="22"/>
      <c r="I925" s="11"/>
      <c r="J925" s="17" t="str">
        <f>IF(TRIM(B925)="","",IF(ISNUMBER(SEARCH(" - ",B925)),TRIM(RIGHT(B925,LEN(B925)-FIND(" - ",B925)-2)),IFERROR(VLOOKUP(UPPER(TRIM(B925)), SETUP!$B$4:$C$11, 2, FALSE), UPPER(TRIM(B925)))))</f>
        <v/>
      </c>
      <c r="K925" s="23" t="str">
        <f t="shared" si="2"/>
        <v/>
      </c>
      <c r="L925" s="17" t="str">
        <f t="shared" si="3"/>
        <v/>
      </c>
      <c r="M925" s="17" t="str">
        <f t="shared" si="4"/>
        <v/>
      </c>
    </row>
    <row r="926" ht="15.75" customHeight="1">
      <c r="A926" s="12"/>
      <c r="B926" s="11"/>
      <c r="C926" s="11"/>
      <c r="D926" s="11"/>
      <c r="E926" s="11" t="str">
        <f>IF(J926="","", C926 * IFERROR(VLOOKUP(J926, SETUP!$A:$D, 3, FALSE), 0))</f>
        <v/>
      </c>
      <c r="F926" s="11" t="str">
        <f>IF(J926="","", C926 * IFERROR(VLOOKUP(J926, SETUP!$A:$D, 4, FALSE), 0))</f>
        <v/>
      </c>
      <c r="G926" s="11" t="str">
        <f t="shared" si="1"/>
        <v/>
      </c>
      <c r="H926" s="22"/>
      <c r="I926" s="11"/>
      <c r="J926" s="17" t="str">
        <f>IF(TRIM(B926)="","",IF(ISNUMBER(SEARCH(" - ",B926)),TRIM(RIGHT(B926,LEN(B926)-FIND(" - ",B926)-2)),IFERROR(VLOOKUP(UPPER(TRIM(B926)), SETUP!$B$4:$C$11, 2, FALSE), UPPER(TRIM(B926)))))</f>
        <v/>
      </c>
      <c r="K926" s="23" t="str">
        <f t="shared" si="2"/>
        <v/>
      </c>
      <c r="L926" s="17" t="str">
        <f t="shared" si="3"/>
        <v/>
      </c>
      <c r="M926" s="17" t="str">
        <f t="shared" si="4"/>
        <v/>
      </c>
    </row>
    <row r="927" ht="15.75" customHeight="1">
      <c r="A927" s="12"/>
      <c r="B927" s="11"/>
      <c r="C927" s="11"/>
      <c r="D927" s="11"/>
      <c r="E927" s="11" t="str">
        <f>IF(J927="","", C927 * IFERROR(VLOOKUP(J927, SETUP!$A:$D, 3, FALSE), 0))</f>
        <v/>
      </c>
      <c r="F927" s="11" t="str">
        <f>IF(J927="","", C927 * IFERROR(VLOOKUP(J927, SETUP!$A:$D, 4, FALSE), 0))</f>
        <v/>
      </c>
      <c r="G927" s="11" t="str">
        <f t="shared" si="1"/>
        <v/>
      </c>
      <c r="H927" s="22"/>
      <c r="I927" s="11"/>
      <c r="J927" s="17" t="str">
        <f>IF(TRIM(B927)="","",IF(ISNUMBER(SEARCH(" - ",B927)),TRIM(RIGHT(B927,LEN(B927)-FIND(" - ",B927)-2)),IFERROR(VLOOKUP(UPPER(TRIM(B927)), SETUP!$B$4:$C$11, 2, FALSE), UPPER(TRIM(B927)))))</f>
        <v/>
      </c>
      <c r="K927" s="23" t="str">
        <f t="shared" si="2"/>
        <v/>
      </c>
      <c r="L927" s="17" t="str">
        <f t="shared" si="3"/>
        <v/>
      </c>
      <c r="M927" s="17" t="str">
        <f t="shared" si="4"/>
        <v/>
      </c>
    </row>
    <row r="928" ht="15.75" customHeight="1">
      <c r="A928" s="12"/>
      <c r="B928" s="11"/>
      <c r="C928" s="11"/>
      <c r="D928" s="11"/>
      <c r="E928" s="11" t="str">
        <f>IF(J928="","", C928 * IFERROR(VLOOKUP(J928, SETUP!$A:$D, 3, FALSE), 0))</f>
        <v/>
      </c>
      <c r="F928" s="11" t="str">
        <f>IF(J928="","", C928 * IFERROR(VLOOKUP(J928, SETUP!$A:$D, 4, FALSE), 0))</f>
        <v/>
      </c>
      <c r="G928" s="11" t="str">
        <f t="shared" si="1"/>
        <v/>
      </c>
      <c r="H928" s="22"/>
      <c r="I928" s="11"/>
      <c r="J928" s="17" t="str">
        <f>IF(TRIM(B928)="","",IF(ISNUMBER(SEARCH(" - ",B928)),TRIM(RIGHT(B928,LEN(B928)-FIND(" - ",B928)-2)),IFERROR(VLOOKUP(UPPER(TRIM(B928)), SETUP!$B$4:$C$11, 2, FALSE), UPPER(TRIM(B928)))))</f>
        <v/>
      </c>
      <c r="K928" s="23" t="str">
        <f t="shared" si="2"/>
        <v/>
      </c>
      <c r="L928" s="17" t="str">
        <f t="shared" si="3"/>
        <v/>
      </c>
      <c r="M928" s="17" t="str">
        <f t="shared" si="4"/>
        <v/>
      </c>
    </row>
    <row r="929" ht="15.75" customHeight="1">
      <c r="A929" s="12"/>
      <c r="B929" s="11"/>
      <c r="C929" s="11"/>
      <c r="D929" s="11"/>
      <c r="E929" s="11" t="str">
        <f>IF(J929="","", C929 * IFERROR(VLOOKUP(J929, SETUP!$A:$D, 3, FALSE), 0))</f>
        <v/>
      </c>
      <c r="F929" s="11" t="str">
        <f>IF(J929="","", C929 * IFERROR(VLOOKUP(J929, SETUP!$A:$D, 4, FALSE), 0))</f>
        <v/>
      </c>
      <c r="G929" s="11" t="str">
        <f t="shared" si="1"/>
        <v/>
      </c>
      <c r="H929" s="22"/>
      <c r="I929" s="11"/>
      <c r="J929" s="17" t="str">
        <f>IF(TRIM(B929)="","",IF(ISNUMBER(SEARCH(" - ",B929)),TRIM(RIGHT(B929,LEN(B929)-FIND(" - ",B929)-2)),IFERROR(VLOOKUP(UPPER(TRIM(B929)), SETUP!$B$4:$C$11, 2, FALSE), UPPER(TRIM(B929)))))</f>
        <v/>
      </c>
      <c r="K929" s="23" t="str">
        <f t="shared" si="2"/>
        <v/>
      </c>
      <c r="L929" s="17" t="str">
        <f t="shared" si="3"/>
        <v/>
      </c>
      <c r="M929" s="17" t="str">
        <f t="shared" si="4"/>
        <v/>
      </c>
    </row>
    <row r="930" ht="15.75" customHeight="1">
      <c r="A930" s="12"/>
      <c r="B930" s="11"/>
      <c r="C930" s="11"/>
      <c r="D930" s="11"/>
      <c r="E930" s="11" t="str">
        <f>IF(J930="","", C930 * IFERROR(VLOOKUP(J930, SETUP!$A:$D, 3, FALSE), 0))</f>
        <v/>
      </c>
      <c r="F930" s="11" t="str">
        <f>IF(J930="","", C930 * IFERROR(VLOOKUP(J930, SETUP!$A:$D, 4, FALSE), 0))</f>
        <v/>
      </c>
      <c r="G930" s="11" t="str">
        <f t="shared" si="1"/>
        <v/>
      </c>
      <c r="H930" s="22"/>
      <c r="I930" s="11"/>
      <c r="J930" s="17" t="str">
        <f>IF(TRIM(B930)="","",IF(ISNUMBER(SEARCH(" - ",B930)),TRIM(RIGHT(B930,LEN(B930)-FIND(" - ",B930)-2)),IFERROR(VLOOKUP(UPPER(TRIM(B930)), SETUP!$B$4:$C$11, 2, FALSE), UPPER(TRIM(B930)))))</f>
        <v/>
      </c>
      <c r="K930" s="23" t="str">
        <f t="shared" si="2"/>
        <v/>
      </c>
      <c r="L930" s="17" t="str">
        <f t="shared" si="3"/>
        <v/>
      </c>
      <c r="M930" s="17" t="str">
        <f t="shared" si="4"/>
        <v/>
      </c>
    </row>
    <row r="931" ht="15.75" customHeight="1">
      <c r="A931" s="12"/>
      <c r="B931" s="11"/>
      <c r="C931" s="11"/>
      <c r="D931" s="11"/>
      <c r="E931" s="11" t="str">
        <f>IF(J931="","", C931 * IFERROR(VLOOKUP(J931, SETUP!$A:$D, 3, FALSE), 0))</f>
        <v/>
      </c>
      <c r="F931" s="11" t="str">
        <f>IF(J931="","", C931 * IFERROR(VLOOKUP(J931, SETUP!$A:$D, 4, FALSE), 0))</f>
        <v/>
      </c>
      <c r="G931" s="11" t="str">
        <f t="shared" si="1"/>
        <v/>
      </c>
      <c r="H931" s="22"/>
      <c r="I931" s="11"/>
      <c r="J931" s="17" t="str">
        <f>IF(TRIM(B931)="","",IF(ISNUMBER(SEARCH(" - ",B931)),TRIM(RIGHT(B931,LEN(B931)-FIND(" - ",B931)-2)),IFERROR(VLOOKUP(UPPER(TRIM(B931)), SETUP!$B$4:$C$11, 2, FALSE), UPPER(TRIM(B931)))))</f>
        <v/>
      </c>
      <c r="K931" s="23" t="str">
        <f t="shared" si="2"/>
        <v/>
      </c>
      <c r="L931" s="17" t="str">
        <f t="shared" si="3"/>
        <v/>
      </c>
      <c r="M931" s="17" t="str">
        <f t="shared" si="4"/>
        <v/>
      </c>
    </row>
    <row r="932" ht="15.75" customHeight="1">
      <c r="A932" s="12"/>
      <c r="B932" s="11"/>
      <c r="C932" s="11"/>
      <c r="D932" s="11"/>
      <c r="E932" s="11" t="str">
        <f>IF(J932="","", C932 * IFERROR(VLOOKUP(J932, SETUP!$A:$D, 3, FALSE), 0))</f>
        <v/>
      </c>
      <c r="F932" s="11" t="str">
        <f>IF(J932="","", C932 * IFERROR(VLOOKUP(J932, SETUP!$A:$D, 4, FALSE), 0))</f>
        <v/>
      </c>
      <c r="G932" s="11" t="str">
        <f t="shared" si="1"/>
        <v/>
      </c>
      <c r="H932" s="22"/>
      <c r="I932" s="11"/>
      <c r="J932" s="17" t="str">
        <f>IF(TRIM(B932)="","",IF(ISNUMBER(SEARCH(" - ",B932)),TRIM(RIGHT(B932,LEN(B932)-FIND(" - ",B932)-2)),IFERROR(VLOOKUP(UPPER(TRIM(B932)), SETUP!$B$4:$C$11, 2, FALSE), UPPER(TRIM(B932)))))</f>
        <v/>
      </c>
      <c r="K932" s="23" t="str">
        <f t="shared" si="2"/>
        <v/>
      </c>
      <c r="L932" s="17" t="str">
        <f t="shared" si="3"/>
        <v/>
      </c>
      <c r="M932" s="17" t="str">
        <f t="shared" si="4"/>
        <v/>
      </c>
    </row>
    <row r="933" ht="15.75" customHeight="1">
      <c r="A933" s="12"/>
      <c r="B933" s="11"/>
      <c r="C933" s="11"/>
      <c r="D933" s="11"/>
      <c r="E933" s="11" t="str">
        <f>IF(J933="","", C933 * IFERROR(VLOOKUP(J933, SETUP!$A:$D, 3, FALSE), 0))</f>
        <v/>
      </c>
      <c r="F933" s="11" t="str">
        <f>IF(J933="","", C933 * IFERROR(VLOOKUP(J933, SETUP!$A:$D, 4, FALSE), 0))</f>
        <v/>
      </c>
      <c r="G933" s="11" t="str">
        <f t="shared" si="1"/>
        <v/>
      </c>
      <c r="H933" s="22"/>
      <c r="I933" s="11"/>
      <c r="J933" s="17" t="str">
        <f>IF(TRIM(B933)="","",IF(ISNUMBER(SEARCH(" - ",B933)),TRIM(RIGHT(B933,LEN(B933)-FIND(" - ",B933)-2)),IFERROR(VLOOKUP(UPPER(TRIM(B933)), SETUP!$B$4:$C$11, 2, FALSE), UPPER(TRIM(B933)))))</f>
        <v/>
      </c>
      <c r="K933" s="23" t="str">
        <f t="shared" si="2"/>
        <v/>
      </c>
      <c r="L933" s="17" t="str">
        <f t="shared" si="3"/>
        <v/>
      </c>
      <c r="M933" s="17" t="str">
        <f t="shared" si="4"/>
        <v/>
      </c>
    </row>
    <row r="934" ht="15.75" customHeight="1">
      <c r="A934" s="12"/>
      <c r="B934" s="11"/>
      <c r="C934" s="11"/>
      <c r="D934" s="11"/>
      <c r="E934" s="11" t="str">
        <f>IF(J934="","", C934 * IFERROR(VLOOKUP(J934, SETUP!$A:$D, 3, FALSE), 0))</f>
        <v/>
      </c>
      <c r="F934" s="11" t="str">
        <f>IF(J934="","", C934 * IFERROR(VLOOKUP(J934, SETUP!$A:$D, 4, FALSE), 0))</f>
        <v/>
      </c>
      <c r="G934" s="11" t="str">
        <f t="shared" si="1"/>
        <v/>
      </c>
      <c r="H934" s="22"/>
      <c r="I934" s="11"/>
      <c r="J934" s="17" t="str">
        <f>IF(TRIM(B934)="","",IF(ISNUMBER(SEARCH(" - ",B934)),TRIM(RIGHT(B934,LEN(B934)-FIND(" - ",B934)-2)),IFERROR(VLOOKUP(UPPER(TRIM(B934)), SETUP!$B$4:$C$11, 2, FALSE), UPPER(TRIM(B934)))))</f>
        <v/>
      </c>
      <c r="K934" s="23" t="str">
        <f t="shared" si="2"/>
        <v/>
      </c>
      <c r="L934" s="17" t="str">
        <f t="shared" si="3"/>
        <v/>
      </c>
      <c r="M934" s="17" t="str">
        <f t="shared" si="4"/>
        <v/>
      </c>
    </row>
    <row r="935" ht="15.75" customHeight="1">
      <c r="A935" s="12"/>
      <c r="B935" s="11"/>
      <c r="C935" s="11"/>
      <c r="D935" s="11"/>
      <c r="E935" s="11" t="str">
        <f>IF(J935="","", C935 * IFERROR(VLOOKUP(J935, SETUP!$A:$D, 3, FALSE), 0))</f>
        <v/>
      </c>
      <c r="F935" s="11" t="str">
        <f>IF(J935="","", C935 * IFERROR(VLOOKUP(J935, SETUP!$A:$D, 4, FALSE), 0))</f>
        <v/>
      </c>
      <c r="G935" s="11" t="str">
        <f t="shared" si="1"/>
        <v/>
      </c>
      <c r="H935" s="22"/>
      <c r="I935" s="11"/>
      <c r="J935" s="17" t="str">
        <f>IF(TRIM(B935)="","",IF(ISNUMBER(SEARCH(" - ",B935)),TRIM(RIGHT(B935,LEN(B935)-FIND(" - ",B935)-2)),IFERROR(VLOOKUP(UPPER(TRIM(B935)), SETUP!$B$4:$C$11, 2, FALSE), UPPER(TRIM(B935)))))</f>
        <v/>
      </c>
      <c r="K935" s="23" t="str">
        <f t="shared" si="2"/>
        <v/>
      </c>
      <c r="L935" s="17" t="str">
        <f t="shared" si="3"/>
        <v/>
      </c>
      <c r="M935" s="17" t="str">
        <f t="shared" si="4"/>
        <v/>
      </c>
    </row>
    <row r="936" ht="15.75" customHeight="1">
      <c r="A936" s="12"/>
      <c r="B936" s="11"/>
      <c r="C936" s="11"/>
      <c r="D936" s="11"/>
      <c r="E936" s="11" t="str">
        <f>IF(J936="","", C936 * IFERROR(VLOOKUP(J936, SETUP!$A:$D, 3, FALSE), 0))</f>
        <v/>
      </c>
      <c r="F936" s="11" t="str">
        <f>IF(J936="","", C936 * IFERROR(VLOOKUP(J936, SETUP!$A:$D, 4, FALSE), 0))</f>
        <v/>
      </c>
      <c r="G936" s="11" t="str">
        <f t="shared" si="1"/>
        <v/>
      </c>
      <c r="H936" s="22"/>
      <c r="I936" s="11"/>
      <c r="J936" s="17" t="str">
        <f>IF(TRIM(B936)="","",IF(ISNUMBER(SEARCH(" - ",B936)),TRIM(RIGHT(B936,LEN(B936)-FIND(" - ",B936)-2)),IFERROR(VLOOKUP(UPPER(TRIM(B936)), SETUP!$B$4:$C$11, 2, FALSE), UPPER(TRIM(B936)))))</f>
        <v/>
      </c>
      <c r="K936" s="23" t="str">
        <f t="shared" si="2"/>
        <v/>
      </c>
      <c r="L936" s="17" t="str">
        <f t="shared" si="3"/>
        <v/>
      </c>
      <c r="M936" s="17" t="str">
        <f t="shared" si="4"/>
        <v/>
      </c>
    </row>
    <row r="937" ht="15.75" customHeight="1">
      <c r="A937" s="12"/>
      <c r="B937" s="11"/>
      <c r="C937" s="11"/>
      <c r="D937" s="11"/>
      <c r="E937" s="11" t="str">
        <f>IF(J937="","", C937 * IFERROR(VLOOKUP(J937, SETUP!$A:$D, 3, FALSE), 0))</f>
        <v/>
      </c>
      <c r="F937" s="11" t="str">
        <f>IF(J937="","", C937 * IFERROR(VLOOKUP(J937, SETUP!$A:$D, 4, FALSE), 0))</f>
        <v/>
      </c>
      <c r="G937" s="11" t="str">
        <f t="shared" si="1"/>
        <v/>
      </c>
      <c r="H937" s="22"/>
      <c r="I937" s="11"/>
      <c r="J937" s="17" t="str">
        <f>IF(TRIM(B937)="","",IF(ISNUMBER(SEARCH(" - ",B937)),TRIM(RIGHT(B937,LEN(B937)-FIND(" - ",B937)-2)),IFERROR(VLOOKUP(UPPER(TRIM(B937)), SETUP!$B$4:$C$11, 2, FALSE), UPPER(TRIM(B937)))))</f>
        <v/>
      </c>
      <c r="K937" s="23" t="str">
        <f t="shared" si="2"/>
        <v/>
      </c>
      <c r="L937" s="17" t="str">
        <f t="shared" si="3"/>
        <v/>
      </c>
      <c r="M937" s="17" t="str">
        <f t="shared" si="4"/>
        <v/>
      </c>
    </row>
    <row r="938" ht="15.75" customHeight="1">
      <c r="A938" s="12"/>
      <c r="B938" s="11"/>
      <c r="C938" s="11"/>
      <c r="D938" s="11"/>
      <c r="E938" s="11" t="str">
        <f>IF(J938="","", C938 * IFERROR(VLOOKUP(J938, SETUP!$A:$D, 3, FALSE), 0))</f>
        <v/>
      </c>
      <c r="F938" s="11" t="str">
        <f>IF(J938="","", C938 * IFERROR(VLOOKUP(J938, SETUP!$A:$D, 4, FALSE), 0))</f>
        <v/>
      </c>
      <c r="G938" s="11" t="str">
        <f t="shared" si="1"/>
        <v/>
      </c>
      <c r="H938" s="22"/>
      <c r="I938" s="11"/>
      <c r="J938" s="17" t="str">
        <f>IF(TRIM(B938)="","",IF(ISNUMBER(SEARCH(" - ",B938)),TRIM(RIGHT(B938,LEN(B938)-FIND(" - ",B938)-2)),IFERROR(VLOOKUP(UPPER(TRIM(B938)), SETUP!$B$4:$C$11, 2, FALSE), UPPER(TRIM(B938)))))</f>
        <v/>
      </c>
      <c r="K938" s="23" t="str">
        <f t="shared" si="2"/>
        <v/>
      </c>
      <c r="L938" s="17" t="str">
        <f t="shared" si="3"/>
        <v/>
      </c>
      <c r="M938" s="17" t="str">
        <f t="shared" si="4"/>
        <v/>
      </c>
    </row>
    <row r="939" ht="15.75" customHeight="1">
      <c r="A939" s="12"/>
      <c r="B939" s="11"/>
      <c r="C939" s="11"/>
      <c r="D939" s="11"/>
      <c r="E939" s="11" t="str">
        <f>IF(J939="","", C939 * IFERROR(VLOOKUP(J939, SETUP!$A:$D, 3, FALSE), 0))</f>
        <v/>
      </c>
      <c r="F939" s="11" t="str">
        <f>IF(J939="","", C939 * IFERROR(VLOOKUP(J939, SETUP!$A:$D, 4, FALSE), 0))</f>
        <v/>
      </c>
      <c r="G939" s="11" t="str">
        <f t="shared" si="1"/>
        <v/>
      </c>
      <c r="H939" s="22"/>
      <c r="I939" s="11"/>
      <c r="J939" s="17" t="str">
        <f>IF(TRIM(B939)="","",IF(ISNUMBER(SEARCH(" - ",B939)),TRIM(RIGHT(B939,LEN(B939)-FIND(" - ",B939)-2)),IFERROR(VLOOKUP(UPPER(TRIM(B939)), SETUP!$B$4:$C$11, 2, FALSE), UPPER(TRIM(B939)))))</f>
        <v/>
      </c>
      <c r="K939" s="23" t="str">
        <f t="shared" si="2"/>
        <v/>
      </c>
      <c r="L939" s="17" t="str">
        <f t="shared" si="3"/>
        <v/>
      </c>
      <c r="M939" s="17" t="str">
        <f t="shared" si="4"/>
        <v/>
      </c>
    </row>
    <row r="940" ht="15.75" customHeight="1">
      <c r="A940" s="12"/>
      <c r="B940" s="11"/>
      <c r="C940" s="11"/>
      <c r="D940" s="11"/>
      <c r="E940" s="11" t="str">
        <f>IF(J940="","", C940 * IFERROR(VLOOKUP(J940, SETUP!$A:$D, 3, FALSE), 0))</f>
        <v/>
      </c>
      <c r="F940" s="11" t="str">
        <f>IF(J940="","", C940 * IFERROR(VLOOKUP(J940, SETUP!$A:$D, 4, FALSE), 0))</f>
        <v/>
      </c>
      <c r="G940" s="11" t="str">
        <f t="shared" si="1"/>
        <v/>
      </c>
      <c r="H940" s="22"/>
      <c r="I940" s="11"/>
      <c r="J940" s="17" t="str">
        <f>IF(TRIM(B940)="","",IF(ISNUMBER(SEARCH(" - ",B940)),TRIM(RIGHT(B940,LEN(B940)-FIND(" - ",B940)-2)),IFERROR(VLOOKUP(UPPER(TRIM(B940)), SETUP!$B$4:$C$11, 2, FALSE), UPPER(TRIM(B940)))))</f>
        <v/>
      </c>
      <c r="K940" s="23" t="str">
        <f t="shared" si="2"/>
        <v/>
      </c>
      <c r="L940" s="17" t="str">
        <f t="shared" si="3"/>
        <v/>
      </c>
      <c r="M940" s="17" t="str">
        <f t="shared" si="4"/>
        <v/>
      </c>
    </row>
    <row r="941" ht="15.75" customHeight="1">
      <c r="A941" s="12"/>
      <c r="B941" s="11"/>
      <c r="C941" s="11"/>
      <c r="D941" s="11"/>
      <c r="E941" s="11" t="str">
        <f>IF(J941="","", C941 * IFERROR(VLOOKUP(J941, SETUP!$A:$D, 3, FALSE), 0))</f>
        <v/>
      </c>
      <c r="F941" s="11" t="str">
        <f>IF(J941="","", C941 * IFERROR(VLOOKUP(J941, SETUP!$A:$D, 4, FALSE), 0))</f>
        <v/>
      </c>
      <c r="G941" s="11" t="str">
        <f t="shared" si="1"/>
        <v/>
      </c>
      <c r="H941" s="22"/>
      <c r="I941" s="11"/>
      <c r="J941" s="17" t="str">
        <f>IF(TRIM(B941)="","",IF(ISNUMBER(SEARCH(" - ",B941)),TRIM(RIGHT(B941,LEN(B941)-FIND(" - ",B941)-2)),IFERROR(VLOOKUP(UPPER(TRIM(B941)), SETUP!$B$4:$C$11, 2, FALSE), UPPER(TRIM(B941)))))</f>
        <v/>
      </c>
      <c r="K941" s="23" t="str">
        <f t="shared" si="2"/>
        <v/>
      </c>
      <c r="L941" s="17" t="str">
        <f t="shared" si="3"/>
        <v/>
      </c>
      <c r="M941" s="17" t="str">
        <f t="shared" si="4"/>
        <v/>
      </c>
    </row>
    <row r="942" ht="15.75" customHeight="1">
      <c r="A942" s="12"/>
      <c r="B942" s="11"/>
      <c r="C942" s="11"/>
      <c r="D942" s="11"/>
      <c r="E942" s="11" t="str">
        <f>IF(J942="","", C942 * IFERROR(VLOOKUP(J942, SETUP!$A:$D, 3, FALSE), 0))</f>
        <v/>
      </c>
      <c r="F942" s="11" t="str">
        <f>IF(J942="","", C942 * IFERROR(VLOOKUP(J942, SETUP!$A:$D, 4, FALSE), 0))</f>
        <v/>
      </c>
      <c r="G942" s="11" t="str">
        <f t="shared" si="1"/>
        <v/>
      </c>
      <c r="H942" s="22"/>
      <c r="I942" s="11"/>
      <c r="J942" s="17" t="str">
        <f>IF(TRIM(B942)="","",IF(ISNUMBER(SEARCH(" - ",B942)),TRIM(RIGHT(B942,LEN(B942)-FIND(" - ",B942)-2)),IFERROR(VLOOKUP(UPPER(TRIM(B942)), SETUP!$B$4:$C$11, 2, FALSE), UPPER(TRIM(B942)))))</f>
        <v/>
      </c>
      <c r="K942" s="23" t="str">
        <f t="shared" si="2"/>
        <v/>
      </c>
      <c r="L942" s="17" t="str">
        <f t="shared" si="3"/>
        <v/>
      </c>
      <c r="M942" s="17" t="str">
        <f t="shared" si="4"/>
        <v/>
      </c>
    </row>
    <row r="943" ht="15.75" customHeight="1">
      <c r="A943" s="12"/>
      <c r="B943" s="11"/>
      <c r="C943" s="11"/>
      <c r="D943" s="11"/>
      <c r="E943" s="11" t="str">
        <f>IF(J943="","", C943 * IFERROR(VLOOKUP(J943, SETUP!$A:$D, 3, FALSE), 0))</f>
        <v/>
      </c>
      <c r="F943" s="11" t="str">
        <f>IF(J943="","", C943 * IFERROR(VLOOKUP(J943, SETUP!$A:$D, 4, FALSE), 0))</f>
        <v/>
      </c>
      <c r="G943" s="11" t="str">
        <f t="shared" si="1"/>
        <v/>
      </c>
      <c r="H943" s="22"/>
      <c r="I943" s="11"/>
      <c r="J943" s="17" t="str">
        <f>IF(TRIM(B943)="","",IF(ISNUMBER(SEARCH(" - ",B943)),TRIM(RIGHT(B943,LEN(B943)-FIND(" - ",B943)-2)),IFERROR(VLOOKUP(UPPER(TRIM(B943)), SETUP!$B$4:$C$11, 2, FALSE), UPPER(TRIM(B943)))))</f>
        <v/>
      </c>
      <c r="K943" s="23" t="str">
        <f t="shared" si="2"/>
        <v/>
      </c>
      <c r="L943" s="17" t="str">
        <f t="shared" si="3"/>
        <v/>
      </c>
      <c r="M943" s="17" t="str">
        <f t="shared" si="4"/>
        <v/>
      </c>
    </row>
    <row r="944" ht="15.75" customHeight="1">
      <c r="A944" s="12"/>
      <c r="B944" s="11"/>
      <c r="C944" s="11"/>
      <c r="D944" s="11"/>
      <c r="E944" s="11" t="str">
        <f>IF(J944="","", C944 * IFERROR(VLOOKUP(J944, SETUP!$A:$D, 3, FALSE), 0))</f>
        <v/>
      </c>
      <c r="F944" s="11" t="str">
        <f>IF(J944="","", C944 * IFERROR(VLOOKUP(J944, SETUP!$A:$D, 4, FALSE), 0))</f>
        <v/>
      </c>
      <c r="G944" s="11" t="str">
        <f t="shared" si="1"/>
        <v/>
      </c>
      <c r="H944" s="22"/>
      <c r="I944" s="11"/>
      <c r="J944" s="17" t="str">
        <f>IF(TRIM(B944)="","",IF(ISNUMBER(SEARCH(" - ",B944)),TRIM(RIGHT(B944,LEN(B944)-FIND(" - ",B944)-2)),IFERROR(VLOOKUP(UPPER(TRIM(B944)), SETUP!$B$4:$C$11, 2, FALSE), UPPER(TRIM(B944)))))</f>
        <v/>
      </c>
      <c r="K944" s="23" t="str">
        <f t="shared" si="2"/>
        <v/>
      </c>
      <c r="L944" s="17" t="str">
        <f t="shared" si="3"/>
        <v/>
      </c>
      <c r="M944" s="17" t="str">
        <f t="shared" si="4"/>
        <v/>
      </c>
    </row>
    <row r="945" ht="15.75" customHeight="1">
      <c r="A945" s="12"/>
      <c r="B945" s="11"/>
      <c r="C945" s="11"/>
      <c r="D945" s="11"/>
      <c r="E945" s="11" t="str">
        <f>IF(J945="","", C945 * IFERROR(VLOOKUP(J945, SETUP!$A:$D, 3, FALSE), 0))</f>
        <v/>
      </c>
      <c r="F945" s="11" t="str">
        <f>IF(J945="","", C945 * IFERROR(VLOOKUP(J945, SETUP!$A:$D, 4, FALSE), 0))</f>
        <v/>
      </c>
      <c r="G945" s="11" t="str">
        <f t="shared" si="1"/>
        <v/>
      </c>
      <c r="H945" s="22"/>
      <c r="I945" s="11"/>
      <c r="J945" s="17" t="str">
        <f>IF(TRIM(B945)="","",IF(ISNUMBER(SEARCH(" - ",B945)),TRIM(RIGHT(B945,LEN(B945)-FIND(" - ",B945)-2)),IFERROR(VLOOKUP(UPPER(TRIM(B945)), SETUP!$B$4:$C$11, 2, FALSE), UPPER(TRIM(B945)))))</f>
        <v/>
      </c>
      <c r="K945" s="23" t="str">
        <f t="shared" si="2"/>
        <v/>
      </c>
      <c r="L945" s="17" t="str">
        <f t="shared" si="3"/>
        <v/>
      </c>
      <c r="M945" s="17" t="str">
        <f t="shared" si="4"/>
        <v/>
      </c>
    </row>
    <row r="946" ht="15.75" customHeight="1">
      <c r="A946" s="12"/>
      <c r="B946" s="11"/>
      <c r="C946" s="11"/>
      <c r="D946" s="11"/>
      <c r="E946" s="11" t="str">
        <f>IF(J946="","", C946 * IFERROR(VLOOKUP(J946, SETUP!$A:$D, 3, FALSE), 0))</f>
        <v/>
      </c>
      <c r="F946" s="11" t="str">
        <f>IF(J946="","", C946 * IFERROR(VLOOKUP(J946, SETUP!$A:$D, 4, FALSE), 0))</f>
        <v/>
      </c>
      <c r="G946" s="11" t="str">
        <f t="shared" si="1"/>
        <v/>
      </c>
      <c r="H946" s="22"/>
      <c r="I946" s="11"/>
      <c r="J946" s="17" t="str">
        <f>IF(TRIM(B946)="","",IF(ISNUMBER(SEARCH(" - ",B946)),TRIM(RIGHT(B946,LEN(B946)-FIND(" - ",B946)-2)),IFERROR(VLOOKUP(UPPER(TRIM(B946)), SETUP!$B$4:$C$11, 2, FALSE), UPPER(TRIM(B946)))))</f>
        <v/>
      </c>
      <c r="K946" s="23" t="str">
        <f t="shared" si="2"/>
        <v/>
      </c>
      <c r="L946" s="17" t="str">
        <f t="shared" si="3"/>
        <v/>
      </c>
      <c r="M946" s="17" t="str">
        <f t="shared" si="4"/>
        <v/>
      </c>
    </row>
    <row r="947" ht="15.75" customHeight="1">
      <c r="A947" s="12"/>
      <c r="B947" s="11"/>
      <c r="C947" s="11"/>
      <c r="D947" s="11"/>
      <c r="E947" s="11" t="str">
        <f>IF(J947="","", C947 * IFERROR(VLOOKUP(J947, SETUP!$A:$D, 3, FALSE), 0))</f>
        <v/>
      </c>
      <c r="F947" s="11" t="str">
        <f>IF(J947="","", C947 * IFERROR(VLOOKUP(J947, SETUP!$A:$D, 4, FALSE), 0))</f>
        <v/>
      </c>
      <c r="G947" s="11" t="str">
        <f t="shared" si="1"/>
        <v/>
      </c>
      <c r="H947" s="22"/>
      <c r="I947" s="11"/>
      <c r="J947" s="17" t="str">
        <f>IF(TRIM(B947)="","",IF(ISNUMBER(SEARCH(" - ",B947)),TRIM(RIGHT(B947,LEN(B947)-FIND(" - ",B947)-2)),IFERROR(VLOOKUP(UPPER(TRIM(B947)), SETUP!$B$4:$C$11, 2, FALSE), UPPER(TRIM(B947)))))</f>
        <v/>
      </c>
      <c r="K947" s="23" t="str">
        <f t="shared" si="2"/>
        <v/>
      </c>
      <c r="L947" s="17" t="str">
        <f t="shared" si="3"/>
        <v/>
      </c>
      <c r="M947" s="17" t="str">
        <f t="shared" si="4"/>
        <v/>
      </c>
    </row>
    <row r="948" ht="15.75" customHeight="1">
      <c r="A948" s="12"/>
      <c r="B948" s="11"/>
      <c r="C948" s="11"/>
      <c r="D948" s="11"/>
      <c r="E948" s="11" t="str">
        <f>IF(J948="","", C948 * IFERROR(VLOOKUP(J948, SETUP!$A:$D, 3, FALSE), 0))</f>
        <v/>
      </c>
      <c r="F948" s="11" t="str">
        <f>IF(J948="","", C948 * IFERROR(VLOOKUP(J948, SETUP!$A:$D, 4, FALSE), 0))</f>
        <v/>
      </c>
      <c r="G948" s="11" t="str">
        <f t="shared" si="1"/>
        <v/>
      </c>
      <c r="H948" s="22"/>
      <c r="I948" s="11"/>
      <c r="J948" s="17" t="str">
        <f>IF(TRIM(B948)="","",IF(ISNUMBER(SEARCH(" - ",B948)),TRIM(RIGHT(B948,LEN(B948)-FIND(" - ",B948)-2)),IFERROR(VLOOKUP(UPPER(TRIM(B948)), SETUP!$B$4:$C$11, 2, FALSE), UPPER(TRIM(B948)))))</f>
        <v/>
      </c>
      <c r="K948" s="23" t="str">
        <f t="shared" si="2"/>
        <v/>
      </c>
      <c r="L948" s="17" t="str">
        <f t="shared" si="3"/>
        <v/>
      </c>
      <c r="M948" s="17" t="str">
        <f t="shared" si="4"/>
        <v/>
      </c>
    </row>
    <row r="949" ht="15.75" customHeight="1">
      <c r="A949" s="12"/>
      <c r="B949" s="11"/>
      <c r="C949" s="11"/>
      <c r="D949" s="11"/>
      <c r="E949" s="11" t="str">
        <f>IF(J949="","", C949 * IFERROR(VLOOKUP(J949, SETUP!$A:$D, 3, FALSE), 0))</f>
        <v/>
      </c>
      <c r="F949" s="11" t="str">
        <f>IF(J949="","", C949 * IFERROR(VLOOKUP(J949, SETUP!$A:$D, 4, FALSE), 0))</f>
        <v/>
      </c>
      <c r="G949" s="11" t="str">
        <f t="shared" si="1"/>
        <v/>
      </c>
      <c r="H949" s="22"/>
      <c r="I949" s="11"/>
      <c r="J949" s="17" t="str">
        <f>IF(TRIM(B949)="","",IF(ISNUMBER(SEARCH(" - ",B949)),TRIM(RIGHT(B949,LEN(B949)-FIND(" - ",B949)-2)),IFERROR(VLOOKUP(UPPER(TRIM(B949)), SETUP!$B$4:$C$11, 2, FALSE), UPPER(TRIM(B949)))))</f>
        <v/>
      </c>
      <c r="K949" s="23" t="str">
        <f t="shared" si="2"/>
        <v/>
      </c>
      <c r="L949" s="17" t="str">
        <f t="shared" si="3"/>
        <v/>
      </c>
      <c r="M949" s="17" t="str">
        <f t="shared" si="4"/>
        <v/>
      </c>
    </row>
    <row r="950" ht="15.75" customHeight="1">
      <c r="A950" s="12"/>
      <c r="B950" s="11"/>
      <c r="C950" s="11"/>
      <c r="D950" s="11"/>
      <c r="E950" s="11" t="str">
        <f>IF(J950="","", C950 * IFERROR(VLOOKUP(J950, SETUP!$A:$D, 3, FALSE), 0))</f>
        <v/>
      </c>
      <c r="F950" s="11" t="str">
        <f>IF(J950="","", C950 * IFERROR(VLOOKUP(J950, SETUP!$A:$D, 4, FALSE), 0))</f>
        <v/>
      </c>
      <c r="G950" s="11" t="str">
        <f t="shared" si="1"/>
        <v/>
      </c>
      <c r="H950" s="22"/>
      <c r="I950" s="11"/>
      <c r="J950" s="17" t="str">
        <f>IF(TRIM(B950)="","",IF(ISNUMBER(SEARCH(" - ",B950)),TRIM(RIGHT(B950,LEN(B950)-FIND(" - ",B950)-2)),IFERROR(VLOOKUP(UPPER(TRIM(B950)), SETUP!$B$4:$C$11, 2, FALSE), UPPER(TRIM(B950)))))</f>
        <v/>
      </c>
      <c r="K950" s="23" t="str">
        <f t="shared" si="2"/>
        <v/>
      </c>
      <c r="L950" s="17" t="str">
        <f t="shared" si="3"/>
        <v/>
      </c>
      <c r="M950" s="17" t="str">
        <f t="shared" si="4"/>
        <v/>
      </c>
    </row>
    <row r="951" ht="15.75" customHeight="1">
      <c r="A951" s="12"/>
      <c r="B951" s="11"/>
      <c r="C951" s="11"/>
      <c r="D951" s="11"/>
      <c r="E951" s="11" t="str">
        <f>IF(J951="","", C951 * IFERROR(VLOOKUP(J951, SETUP!$A:$D, 3, FALSE), 0))</f>
        <v/>
      </c>
      <c r="F951" s="11" t="str">
        <f>IF(J951="","", C951 * IFERROR(VLOOKUP(J951, SETUP!$A:$D, 4, FALSE), 0))</f>
        <v/>
      </c>
      <c r="G951" s="11" t="str">
        <f t="shared" si="1"/>
        <v/>
      </c>
      <c r="H951" s="22"/>
      <c r="I951" s="11"/>
      <c r="J951" s="17" t="str">
        <f>IF(TRIM(B951)="","",IF(ISNUMBER(SEARCH(" - ",B951)),TRIM(RIGHT(B951,LEN(B951)-FIND(" - ",B951)-2)),IFERROR(VLOOKUP(UPPER(TRIM(B951)), SETUP!$B$4:$C$11, 2, FALSE), UPPER(TRIM(B951)))))</f>
        <v/>
      </c>
      <c r="K951" s="23" t="str">
        <f t="shared" si="2"/>
        <v/>
      </c>
      <c r="L951" s="17" t="str">
        <f t="shared" si="3"/>
        <v/>
      </c>
      <c r="M951" s="17" t="str">
        <f t="shared" si="4"/>
        <v/>
      </c>
    </row>
    <row r="952" ht="15.75" customHeight="1">
      <c r="A952" s="12"/>
      <c r="B952" s="11"/>
      <c r="C952" s="11"/>
      <c r="D952" s="11"/>
      <c r="E952" s="11" t="str">
        <f>IF(J952="","", C952 * IFERROR(VLOOKUP(J952, SETUP!$A:$D, 3, FALSE), 0))</f>
        <v/>
      </c>
      <c r="F952" s="11" t="str">
        <f>IF(J952="","", C952 * IFERROR(VLOOKUP(J952, SETUP!$A:$D, 4, FALSE), 0))</f>
        <v/>
      </c>
      <c r="G952" s="11" t="str">
        <f t="shared" si="1"/>
        <v/>
      </c>
      <c r="H952" s="22"/>
      <c r="I952" s="11"/>
      <c r="J952" s="17" t="str">
        <f>IF(TRIM(B952)="","",IF(ISNUMBER(SEARCH(" - ",B952)),TRIM(RIGHT(B952,LEN(B952)-FIND(" - ",B952)-2)),IFERROR(VLOOKUP(UPPER(TRIM(B952)), SETUP!$B$4:$C$11, 2, FALSE), UPPER(TRIM(B952)))))</f>
        <v/>
      </c>
      <c r="K952" s="23" t="str">
        <f t="shared" si="2"/>
        <v/>
      </c>
      <c r="L952" s="17" t="str">
        <f t="shared" si="3"/>
        <v/>
      </c>
      <c r="M952" s="17" t="str">
        <f t="shared" si="4"/>
        <v/>
      </c>
    </row>
    <row r="953" ht="15.75" customHeight="1">
      <c r="A953" s="12"/>
      <c r="B953" s="11"/>
      <c r="C953" s="11"/>
      <c r="D953" s="11"/>
      <c r="E953" s="11" t="str">
        <f>IF(J953="","", C953 * IFERROR(VLOOKUP(J953, SETUP!$A:$D, 3, FALSE), 0))</f>
        <v/>
      </c>
      <c r="F953" s="11" t="str">
        <f>IF(J953="","", C953 * IFERROR(VLOOKUP(J953, SETUP!$A:$D, 4, FALSE), 0))</f>
        <v/>
      </c>
      <c r="G953" s="11" t="str">
        <f t="shared" si="1"/>
        <v/>
      </c>
      <c r="H953" s="22"/>
      <c r="I953" s="11"/>
      <c r="J953" s="17" t="str">
        <f>IF(TRIM(B953)="","",IF(ISNUMBER(SEARCH(" - ",B953)),TRIM(RIGHT(B953,LEN(B953)-FIND(" - ",B953)-2)),IFERROR(VLOOKUP(UPPER(TRIM(B953)), SETUP!$B$4:$C$11, 2, FALSE), UPPER(TRIM(B953)))))</f>
        <v/>
      </c>
      <c r="K953" s="23" t="str">
        <f t="shared" si="2"/>
        <v/>
      </c>
      <c r="L953" s="17" t="str">
        <f t="shared" si="3"/>
        <v/>
      </c>
      <c r="M953" s="17" t="str">
        <f t="shared" si="4"/>
        <v/>
      </c>
    </row>
    <row r="954" ht="15.75" customHeight="1">
      <c r="A954" s="12"/>
      <c r="B954" s="11"/>
      <c r="C954" s="11"/>
      <c r="D954" s="11"/>
      <c r="E954" s="11" t="str">
        <f>IF(J954="","", C954 * IFERROR(VLOOKUP(J954, SETUP!$A:$D, 3, FALSE), 0))</f>
        <v/>
      </c>
      <c r="F954" s="11" t="str">
        <f>IF(J954="","", C954 * IFERROR(VLOOKUP(J954, SETUP!$A:$D, 4, FALSE), 0))</f>
        <v/>
      </c>
      <c r="G954" s="11" t="str">
        <f t="shared" si="1"/>
        <v/>
      </c>
      <c r="H954" s="22"/>
      <c r="I954" s="11"/>
      <c r="J954" s="17" t="str">
        <f>IF(TRIM(B954)="","",IF(ISNUMBER(SEARCH(" - ",B954)),TRIM(RIGHT(B954,LEN(B954)-FIND(" - ",B954)-2)),IFERROR(VLOOKUP(UPPER(TRIM(B954)), SETUP!$B$4:$C$11, 2, FALSE), UPPER(TRIM(B954)))))</f>
        <v/>
      </c>
      <c r="K954" s="23" t="str">
        <f t="shared" si="2"/>
        <v/>
      </c>
      <c r="L954" s="17" t="str">
        <f t="shared" si="3"/>
        <v/>
      </c>
      <c r="M954" s="17" t="str">
        <f t="shared" si="4"/>
        <v/>
      </c>
    </row>
    <row r="955" ht="15.75" customHeight="1">
      <c r="A955" s="12"/>
      <c r="B955" s="11"/>
      <c r="C955" s="11"/>
      <c r="D955" s="11"/>
      <c r="E955" s="11" t="str">
        <f>IF(J955="","", C955 * IFERROR(VLOOKUP(J955, SETUP!$A:$D, 3, FALSE), 0))</f>
        <v/>
      </c>
      <c r="F955" s="11" t="str">
        <f>IF(J955="","", C955 * IFERROR(VLOOKUP(J955, SETUP!$A:$D, 4, FALSE), 0))</f>
        <v/>
      </c>
      <c r="G955" s="11" t="str">
        <f t="shared" si="1"/>
        <v/>
      </c>
      <c r="H955" s="22"/>
      <c r="I955" s="11"/>
      <c r="J955" s="17" t="str">
        <f>IF(TRIM(B955)="","",IF(ISNUMBER(SEARCH(" - ",B955)),TRIM(RIGHT(B955,LEN(B955)-FIND(" - ",B955)-2)),IFERROR(VLOOKUP(UPPER(TRIM(B955)), SETUP!$B$4:$C$11, 2, FALSE), UPPER(TRIM(B955)))))</f>
        <v/>
      </c>
      <c r="K955" s="23" t="str">
        <f t="shared" si="2"/>
        <v/>
      </c>
      <c r="L955" s="17" t="str">
        <f t="shared" si="3"/>
        <v/>
      </c>
      <c r="M955" s="17" t="str">
        <f t="shared" si="4"/>
        <v/>
      </c>
    </row>
    <row r="956" ht="15.75" customHeight="1">
      <c r="A956" s="12"/>
      <c r="B956" s="11"/>
      <c r="C956" s="11"/>
      <c r="D956" s="11"/>
      <c r="E956" s="11" t="str">
        <f>IF(J956="","", C956 * IFERROR(VLOOKUP(J956, SETUP!$A:$D, 3, FALSE), 0))</f>
        <v/>
      </c>
      <c r="F956" s="11" t="str">
        <f>IF(J956="","", C956 * IFERROR(VLOOKUP(J956, SETUP!$A:$D, 4, FALSE), 0))</f>
        <v/>
      </c>
      <c r="G956" s="11" t="str">
        <f t="shared" si="1"/>
        <v/>
      </c>
      <c r="H956" s="22"/>
      <c r="I956" s="11"/>
      <c r="J956" s="17" t="str">
        <f>IF(TRIM(B956)="","",IF(ISNUMBER(SEARCH(" - ",B956)),TRIM(RIGHT(B956,LEN(B956)-FIND(" - ",B956)-2)),IFERROR(VLOOKUP(UPPER(TRIM(B956)), SETUP!$B$4:$C$11, 2, FALSE), UPPER(TRIM(B956)))))</f>
        <v/>
      </c>
      <c r="K956" s="23" t="str">
        <f t="shared" si="2"/>
        <v/>
      </c>
      <c r="L956" s="17" t="str">
        <f t="shared" si="3"/>
        <v/>
      </c>
      <c r="M956" s="17" t="str">
        <f t="shared" si="4"/>
        <v/>
      </c>
    </row>
    <row r="957" ht="15.75" customHeight="1">
      <c r="A957" s="12"/>
      <c r="B957" s="11"/>
      <c r="C957" s="11"/>
      <c r="D957" s="11"/>
      <c r="E957" s="11" t="str">
        <f>IF(J957="","", C957 * IFERROR(VLOOKUP(J957, SETUP!$A:$D, 3, FALSE), 0))</f>
        <v/>
      </c>
      <c r="F957" s="11" t="str">
        <f>IF(J957="","", C957 * IFERROR(VLOOKUP(J957, SETUP!$A:$D, 4, FALSE), 0))</f>
        <v/>
      </c>
      <c r="G957" s="11" t="str">
        <f t="shared" si="1"/>
        <v/>
      </c>
      <c r="H957" s="22"/>
      <c r="I957" s="11"/>
      <c r="J957" s="17" t="str">
        <f>IF(TRIM(B957)="","",IF(ISNUMBER(SEARCH(" - ",B957)),TRIM(RIGHT(B957,LEN(B957)-FIND(" - ",B957)-2)),IFERROR(VLOOKUP(UPPER(TRIM(B957)), SETUP!$B$4:$C$11, 2, FALSE), UPPER(TRIM(B957)))))</f>
        <v/>
      </c>
      <c r="K957" s="23" t="str">
        <f t="shared" si="2"/>
        <v/>
      </c>
      <c r="L957" s="17" t="str">
        <f t="shared" si="3"/>
        <v/>
      </c>
      <c r="M957" s="17" t="str">
        <f t="shared" si="4"/>
        <v/>
      </c>
    </row>
    <row r="958" ht="15.75" customHeight="1">
      <c r="A958" s="12"/>
      <c r="B958" s="11"/>
      <c r="C958" s="11"/>
      <c r="D958" s="11"/>
      <c r="E958" s="11" t="str">
        <f>IF(J958="","", C958 * IFERROR(VLOOKUP(J958, SETUP!$A:$D, 3, FALSE), 0))</f>
        <v/>
      </c>
      <c r="F958" s="11" t="str">
        <f>IF(J958="","", C958 * IFERROR(VLOOKUP(J958, SETUP!$A:$D, 4, FALSE), 0))</f>
        <v/>
      </c>
      <c r="G958" s="11" t="str">
        <f t="shared" si="1"/>
        <v/>
      </c>
      <c r="H958" s="22"/>
      <c r="I958" s="11"/>
      <c r="J958" s="17" t="str">
        <f>IF(TRIM(B958)="","",IF(ISNUMBER(SEARCH(" - ",B958)),TRIM(RIGHT(B958,LEN(B958)-FIND(" - ",B958)-2)),IFERROR(VLOOKUP(UPPER(TRIM(B958)), SETUP!$B$4:$C$11, 2, FALSE), UPPER(TRIM(B958)))))</f>
        <v/>
      </c>
      <c r="K958" s="23" t="str">
        <f t="shared" si="2"/>
        <v/>
      </c>
      <c r="L958" s="17" t="str">
        <f t="shared" si="3"/>
        <v/>
      </c>
      <c r="M958" s="17" t="str">
        <f t="shared" si="4"/>
        <v/>
      </c>
    </row>
    <row r="959" ht="15.75" customHeight="1">
      <c r="A959" s="12"/>
      <c r="B959" s="11"/>
      <c r="C959" s="11"/>
      <c r="D959" s="11"/>
      <c r="E959" s="11" t="str">
        <f>IF(J959="","", C959 * IFERROR(VLOOKUP(J959, SETUP!$A:$D, 3, FALSE), 0))</f>
        <v/>
      </c>
      <c r="F959" s="11" t="str">
        <f>IF(J959="","", C959 * IFERROR(VLOOKUP(J959, SETUP!$A:$D, 4, FALSE), 0))</f>
        <v/>
      </c>
      <c r="G959" s="11" t="str">
        <f t="shared" si="1"/>
        <v/>
      </c>
      <c r="H959" s="22"/>
      <c r="I959" s="11"/>
      <c r="J959" s="17" t="str">
        <f>IF(TRIM(B959)="","",IF(ISNUMBER(SEARCH(" - ",B959)),TRIM(RIGHT(B959,LEN(B959)-FIND(" - ",B959)-2)),IFERROR(VLOOKUP(UPPER(TRIM(B959)), SETUP!$B$4:$C$11, 2, FALSE), UPPER(TRIM(B959)))))</f>
        <v/>
      </c>
      <c r="K959" s="23" t="str">
        <f t="shared" si="2"/>
        <v/>
      </c>
      <c r="L959" s="17" t="str">
        <f t="shared" si="3"/>
        <v/>
      </c>
      <c r="M959" s="17" t="str">
        <f t="shared" si="4"/>
        <v/>
      </c>
    </row>
    <row r="960" ht="15.75" customHeight="1">
      <c r="A960" s="12"/>
      <c r="B960" s="11"/>
      <c r="C960" s="11"/>
      <c r="D960" s="11"/>
      <c r="E960" s="11" t="str">
        <f>IF(J960="","", C960 * IFERROR(VLOOKUP(J960, SETUP!$A:$D, 3, FALSE), 0))</f>
        <v/>
      </c>
      <c r="F960" s="11" t="str">
        <f>IF(J960="","", C960 * IFERROR(VLOOKUP(J960, SETUP!$A:$D, 4, FALSE), 0))</f>
        <v/>
      </c>
      <c r="G960" s="11" t="str">
        <f t="shared" si="1"/>
        <v/>
      </c>
      <c r="H960" s="22"/>
      <c r="I960" s="11"/>
      <c r="J960" s="17" t="str">
        <f>IF(TRIM(B960)="","",IF(ISNUMBER(SEARCH(" - ",B960)),TRIM(RIGHT(B960,LEN(B960)-FIND(" - ",B960)-2)),IFERROR(VLOOKUP(UPPER(TRIM(B960)), SETUP!$B$4:$C$11, 2, FALSE), UPPER(TRIM(B960)))))</f>
        <v/>
      </c>
      <c r="K960" s="23" t="str">
        <f t="shared" si="2"/>
        <v/>
      </c>
      <c r="L960" s="17" t="str">
        <f t="shared" si="3"/>
        <v/>
      </c>
      <c r="M960" s="17" t="str">
        <f t="shared" si="4"/>
        <v/>
      </c>
    </row>
    <row r="961" ht="15.75" customHeight="1">
      <c r="A961" s="12"/>
      <c r="B961" s="11"/>
      <c r="C961" s="11"/>
      <c r="D961" s="11"/>
      <c r="E961" s="11" t="str">
        <f>IF(J961="","", C961 * IFERROR(VLOOKUP(J961, SETUP!$A:$D, 3, FALSE), 0))</f>
        <v/>
      </c>
      <c r="F961" s="11" t="str">
        <f>IF(J961="","", C961 * IFERROR(VLOOKUP(J961, SETUP!$A:$D, 4, FALSE), 0))</f>
        <v/>
      </c>
      <c r="G961" s="11" t="str">
        <f t="shared" si="1"/>
        <v/>
      </c>
      <c r="H961" s="22"/>
      <c r="I961" s="11"/>
      <c r="J961" s="17" t="str">
        <f>IF(TRIM(B961)="","",IF(ISNUMBER(SEARCH(" - ",B961)),TRIM(RIGHT(B961,LEN(B961)-FIND(" - ",B961)-2)),IFERROR(VLOOKUP(UPPER(TRIM(B961)), SETUP!$B$4:$C$11, 2, FALSE), UPPER(TRIM(B961)))))</f>
        <v/>
      </c>
      <c r="K961" s="23" t="str">
        <f t="shared" si="2"/>
        <v/>
      </c>
      <c r="L961" s="17" t="str">
        <f t="shared" si="3"/>
        <v/>
      </c>
      <c r="M961" s="17" t="str">
        <f t="shared" si="4"/>
        <v/>
      </c>
    </row>
    <row r="962" ht="15.75" customHeight="1">
      <c r="A962" s="12"/>
      <c r="B962" s="11"/>
      <c r="C962" s="11"/>
      <c r="D962" s="11"/>
      <c r="E962" s="11" t="str">
        <f>IF(J962="","", C962 * IFERROR(VLOOKUP(J962, SETUP!$A:$D, 3, FALSE), 0))</f>
        <v/>
      </c>
      <c r="F962" s="11" t="str">
        <f>IF(J962="","", C962 * IFERROR(VLOOKUP(J962, SETUP!$A:$D, 4, FALSE), 0))</f>
        <v/>
      </c>
      <c r="G962" s="11" t="str">
        <f t="shared" si="1"/>
        <v/>
      </c>
      <c r="H962" s="22"/>
      <c r="I962" s="11"/>
      <c r="J962" s="17" t="str">
        <f>IF(TRIM(B962)="","",IF(ISNUMBER(SEARCH(" - ",B962)),TRIM(RIGHT(B962,LEN(B962)-FIND(" - ",B962)-2)),IFERROR(VLOOKUP(UPPER(TRIM(B962)), SETUP!$B$4:$C$11, 2, FALSE), UPPER(TRIM(B962)))))</f>
        <v/>
      </c>
      <c r="K962" s="23" t="str">
        <f t="shared" si="2"/>
        <v/>
      </c>
      <c r="L962" s="17" t="str">
        <f t="shared" si="3"/>
        <v/>
      </c>
      <c r="M962" s="17" t="str">
        <f t="shared" si="4"/>
        <v/>
      </c>
    </row>
    <row r="963" ht="15.75" customHeight="1">
      <c r="A963" s="12"/>
      <c r="B963" s="11"/>
      <c r="C963" s="11"/>
      <c r="D963" s="11"/>
      <c r="E963" s="11" t="str">
        <f>IF(J963="","", C963 * IFERROR(VLOOKUP(J963, SETUP!$A:$D, 3, FALSE), 0))</f>
        <v/>
      </c>
      <c r="F963" s="11" t="str">
        <f>IF(J963="","", C963 * IFERROR(VLOOKUP(J963, SETUP!$A:$D, 4, FALSE), 0))</f>
        <v/>
      </c>
      <c r="G963" s="11" t="str">
        <f t="shared" si="1"/>
        <v/>
      </c>
      <c r="H963" s="22"/>
      <c r="I963" s="11"/>
      <c r="J963" s="17" t="str">
        <f>IF(TRIM(B963)="","",IF(ISNUMBER(SEARCH(" - ",B963)),TRIM(RIGHT(B963,LEN(B963)-FIND(" - ",B963)-2)),IFERROR(VLOOKUP(UPPER(TRIM(B963)), SETUP!$B$4:$C$11, 2, FALSE), UPPER(TRIM(B963)))))</f>
        <v/>
      </c>
      <c r="K963" s="23" t="str">
        <f t="shared" si="2"/>
        <v/>
      </c>
      <c r="L963" s="17" t="str">
        <f t="shared" si="3"/>
        <v/>
      </c>
      <c r="M963" s="17" t="str">
        <f t="shared" si="4"/>
        <v/>
      </c>
    </row>
    <row r="964" ht="15.75" customHeight="1">
      <c r="A964" s="12"/>
      <c r="B964" s="11"/>
      <c r="C964" s="11"/>
      <c r="D964" s="11"/>
      <c r="E964" s="11" t="str">
        <f>IF(J964="","", C964 * IFERROR(VLOOKUP(J964, SETUP!$A:$D, 3, FALSE), 0))</f>
        <v/>
      </c>
      <c r="F964" s="11" t="str">
        <f>IF(J964="","", C964 * IFERROR(VLOOKUP(J964, SETUP!$A:$D, 4, FALSE), 0))</f>
        <v/>
      </c>
      <c r="G964" s="11" t="str">
        <f t="shared" si="1"/>
        <v/>
      </c>
      <c r="H964" s="22"/>
      <c r="I964" s="11"/>
      <c r="J964" s="17" t="str">
        <f>IF(TRIM(B964)="","",IF(ISNUMBER(SEARCH(" - ",B964)),TRIM(RIGHT(B964,LEN(B964)-FIND(" - ",B964)-2)),IFERROR(VLOOKUP(UPPER(TRIM(B964)), SETUP!$B$4:$C$11, 2, FALSE), UPPER(TRIM(B964)))))</f>
        <v/>
      </c>
      <c r="K964" s="23" t="str">
        <f t="shared" si="2"/>
        <v/>
      </c>
      <c r="L964" s="17" t="str">
        <f t="shared" si="3"/>
        <v/>
      </c>
      <c r="M964" s="17" t="str">
        <f t="shared" si="4"/>
        <v/>
      </c>
    </row>
    <row r="965" ht="15.75" customHeight="1">
      <c r="A965" s="12"/>
      <c r="B965" s="11"/>
      <c r="C965" s="11"/>
      <c r="D965" s="11"/>
      <c r="E965" s="11" t="str">
        <f>IF(J965="","", C965 * IFERROR(VLOOKUP(J965, SETUP!$A:$D, 3, FALSE), 0))</f>
        <v/>
      </c>
      <c r="F965" s="11" t="str">
        <f>IF(J965="","", C965 * IFERROR(VLOOKUP(J965, SETUP!$A:$D, 4, FALSE), 0))</f>
        <v/>
      </c>
      <c r="G965" s="11" t="str">
        <f t="shared" si="1"/>
        <v/>
      </c>
      <c r="H965" s="22"/>
      <c r="I965" s="11"/>
      <c r="J965" s="17" t="str">
        <f>IF(TRIM(B965)="","",IF(ISNUMBER(SEARCH(" - ",B965)),TRIM(RIGHT(B965,LEN(B965)-FIND(" - ",B965)-2)),IFERROR(VLOOKUP(UPPER(TRIM(B965)), SETUP!$B$4:$C$11, 2, FALSE), UPPER(TRIM(B965)))))</f>
        <v/>
      </c>
      <c r="K965" s="23" t="str">
        <f t="shared" si="2"/>
        <v/>
      </c>
      <c r="L965" s="17" t="str">
        <f t="shared" si="3"/>
        <v/>
      </c>
      <c r="M965" s="17" t="str">
        <f t="shared" si="4"/>
        <v/>
      </c>
    </row>
    <row r="966" ht="15.75" customHeight="1">
      <c r="A966" s="12"/>
      <c r="B966" s="11"/>
      <c r="C966" s="11"/>
      <c r="D966" s="11"/>
      <c r="E966" s="11" t="str">
        <f>IF(J966="","", C966 * IFERROR(VLOOKUP(J966, SETUP!$A:$D, 3, FALSE), 0))</f>
        <v/>
      </c>
      <c r="F966" s="11" t="str">
        <f>IF(J966="","", C966 * IFERROR(VLOOKUP(J966, SETUP!$A:$D, 4, FALSE), 0))</f>
        <v/>
      </c>
      <c r="G966" s="11" t="str">
        <f t="shared" si="1"/>
        <v/>
      </c>
      <c r="H966" s="22"/>
      <c r="I966" s="11"/>
      <c r="J966" s="17" t="str">
        <f>IF(TRIM(B966)="","",IF(ISNUMBER(SEARCH(" - ",B966)),TRIM(RIGHT(B966,LEN(B966)-FIND(" - ",B966)-2)),IFERROR(VLOOKUP(UPPER(TRIM(B966)), SETUP!$B$4:$C$11, 2, FALSE), UPPER(TRIM(B966)))))</f>
        <v/>
      </c>
      <c r="K966" s="23" t="str">
        <f t="shared" si="2"/>
        <v/>
      </c>
      <c r="L966" s="17" t="str">
        <f t="shared" si="3"/>
        <v/>
      </c>
      <c r="M966" s="17" t="str">
        <f t="shared" si="4"/>
        <v/>
      </c>
    </row>
    <row r="967" ht="15.75" customHeight="1">
      <c r="A967" s="12"/>
      <c r="B967" s="11"/>
      <c r="C967" s="11"/>
      <c r="D967" s="11"/>
      <c r="E967" s="11" t="str">
        <f>IF(J967="","", C967 * IFERROR(VLOOKUP(J967, SETUP!$A:$D, 3, FALSE), 0))</f>
        <v/>
      </c>
      <c r="F967" s="11" t="str">
        <f>IF(J967="","", C967 * IFERROR(VLOOKUP(J967, SETUP!$A:$D, 4, FALSE), 0))</f>
        <v/>
      </c>
      <c r="G967" s="11" t="str">
        <f t="shared" si="1"/>
        <v/>
      </c>
      <c r="H967" s="22"/>
      <c r="I967" s="11"/>
      <c r="J967" s="17" t="str">
        <f>IF(TRIM(B967)="","",IF(ISNUMBER(SEARCH(" - ",B967)),TRIM(RIGHT(B967,LEN(B967)-FIND(" - ",B967)-2)),IFERROR(VLOOKUP(UPPER(TRIM(B967)), SETUP!$B$4:$C$11, 2, FALSE), UPPER(TRIM(B967)))))</f>
        <v/>
      </c>
      <c r="K967" s="23" t="str">
        <f t="shared" si="2"/>
        <v/>
      </c>
      <c r="L967" s="17" t="str">
        <f t="shared" si="3"/>
        <v/>
      </c>
      <c r="M967" s="17" t="str">
        <f t="shared" si="4"/>
        <v/>
      </c>
    </row>
    <row r="968" ht="15.75" customHeight="1">
      <c r="A968" s="12"/>
      <c r="B968" s="11"/>
      <c r="C968" s="11"/>
      <c r="D968" s="11"/>
      <c r="E968" s="11" t="str">
        <f>IF(J968="","", C968 * IFERROR(VLOOKUP(J968, SETUP!$A:$D, 3, FALSE), 0))</f>
        <v/>
      </c>
      <c r="F968" s="11" t="str">
        <f>IF(J968="","", C968 * IFERROR(VLOOKUP(J968, SETUP!$A:$D, 4, FALSE), 0))</f>
        <v/>
      </c>
      <c r="G968" s="11" t="str">
        <f t="shared" si="1"/>
        <v/>
      </c>
      <c r="H968" s="22"/>
      <c r="I968" s="11"/>
      <c r="J968" s="17" t="str">
        <f>IF(TRIM(B968)="","",IF(ISNUMBER(SEARCH(" - ",B968)),TRIM(RIGHT(B968,LEN(B968)-FIND(" - ",B968)-2)),IFERROR(VLOOKUP(UPPER(TRIM(B968)), SETUP!$B$4:$C$11, 2, FALSE), UPPER(TRIM(B968)))))</f>
        <v/>
      </c>
      <c r="K968" s="23" t="str">
        <f t="shared" si="2"/>
        <v/>
      </c>
      <c r="L968" s="17" t="str">
        <f t="shared" si="3"/>
        <v/>
      </c>
      <c r="M968" s="17" t="str">
        <f t="shared" si="4"/>
        <v/>
      </c>
    </row>
    <row r="969" ht="15.75" customHeight="1">
      <c r="A969" s="12"/>
      <c r="B969" s="11"/>
      <c r="C969" s="11"/>
      <c r="D969" s="11"/>
      <c r="E969" s="11" t="str">
        <f>IF(J969="","", C969 * IFERROR(VLOOKUP(J969, SETUP!$A:$D, 3, FALSE), 0))</f>
        <v/>
      </c>
      <c r="F969" s="11" t="str">
        <f>IF(J969="","", C969 * IFERROR(VLOOKUP(J969, SETUP!$A:$D, 4, FALSE), 0))</f>
        <v/>
      </c>
      <c r="G969" s="11" t="str">
        <f t="shared" si="1"/>
        <v/>
      </c>
      <c r="H969" s="22"/>
      <c r="I969" s="11"/>
      <c r="J969" s="17" t="str">
        <f>IF(TRIM(B969)="","",IF(ISNUMBER(SEARCH(" - ",B969)),TRIM(RIGHT(B969,LEN(B969)-FIND(" - ",B969)-2)),IFERROR(VLOOKUP(UPPER(TRIM(B969)), SETUP!$B$4:$C$11, 2, FALSE), UPPER(TRIM(B969)))))</f>
        <v/>
      </c>
      <c r="K969" s="23" t="str">
        <f t="shared" si="2"/>
        <v/>
      </c>
      <c r="L969" s="17" t="str">
        <f t="shared" si="3"/>
        <v/>
      </c>
      <c r="M969" s="17" t="str">
        <f t="shared" si="4"/>
        <v/>
      </c>
    </row>
    <row r="970" ht="15.75" customHeight="1">
      <c r="A970" s="12"/>
      <c r="B970" s="11"/>
      <c r="C970" s="11"/>
      <c r="D970" s="11"/>
      <c r="E970" s="11" t="str">
        <f>IF(J970="","", C970 * IFERROR(VLOOKUP(J970, SETUP!$A:$D, 3, FALSE), 0))</f>
        <v/>
      </c>
      <c r="F970" s="11" t="str">
        <f>IF(J970="","", C970 * IFERROR(VLOOKUP(J970, SETUP!$A:$D, 4, FALSE), 0))</f>
        <v/>
      </c>
      <c r="G970" s="11" t="str">
        <f t="shared" si="1"/>
        <v/>
      </c>
      <c r="H970" s="22"/>
      <c r="I970" s="11"/>
      <c r="J970" s="17" t="str">
        <f>IF(TRIM(B970)="","",IF(ISNUMBER(SEARCH(" - ",B970)),TRIM(RIGHT(B970,LEN(B970)-FIND(" - ",B970)-2)),IFERROR(VLOOKUP(UPPER(TRIM(B970)), SETUP!$B$4:$C$11, 2, FALSE), UPPER(TRIM(B970)))))</f>
        <v/>
      </c>
      <c r="K970" s="23" t="str">
        <f t="shared" si="2"/>
        <v/>
      </c>
      <c r="L970" s="17" t="str">
        <f t="shared" si="3"/>
        <v/>
      </c>
      <c r="M970" s="17" t="str">
        <f t="shared" si="4"/>
        <v/>
      </c>
    </row>
    <row r="971" ht="15.75" customHeight="1">
      <c r="A971" s="12"/>
      <c r="B971" s="11"/>
      <c r="C971" s="11"/>
      <c r="D971" s="11"/>
      <c r="E971" s="11" t="str">
        <f>IF(J971="","", C971 * IFERROR(VLOOKUP(J971, SETUP!$A:$D, 3, FALSE), 0))</f>
        <v/>
      </c>
      <c r="F971" s="11" t="str">
        <f>IF(J971="","", C971 * IFERROR(VLOOKUP(J971, SETUP!$A:$D, 4, FALSE), 0))</f>
        <v/>
      </c>
      <c r="G971" s="11" t="str">
        <f t="shared" si="1"/>
        <v/>
      </c>
      <c r="H971" s="22"/>
      <c r="I971" s="11"/>
      <c r="J971" s="17" t="str">
        <f>IF(TRIM(B971)="","",IF(ISNUMBER(SEARCH(" - ",B971)),TRIM(RIGHT(B971,LEN(B971)-FIND(" - ",B971)-2)),IFERROR(VLOOKUP(UPPER(TRIM(B971)), SETUP!$B$4:$C$11, 2, FALSE), UPPER(TRIM(B971)))))</f>
        <v/>
      </c>
      <c r="K971" s="23" t="str">
        <f t="shared" si="2"/>
        <v/>
      </c>
      <c r="L971" s="17" t="str">
        <f t="shared" si="3"/>
        <v/>
      </c>
      <c r="M971" s="17" t="str">
        <f t="shared" si="4"/>
        <v/>
      </c>
    </row>
    <row r="972" ht="15.75" customHeight="1">
      <c r="A972" s="12"/>
      <c r="B972" s="11"/>
      <c r="C972" s="11"/>
      <c r="D972" s="11"/>
      <c r="E972" s="11" t="str">
        <f>IF(J972="","", C972 * IFERROR(VLOOKUP(J972, SETUP!$A:$D, 3, FALSE), 0))</f>
        <v/>
      </c>
      <c r="F972" s="11" t="str">
        <f>IF(J972="","", C972 * IFERROR(VLOOKUP(J972, SETUP!$A:$D, 4, FALSE), 0))</f>
        <v/>
      </c>
      <c r="G972" s="11" t="str">
        <f t="shared" si="1"/>
        <v/>
      </c>
      <c r="H972" s="22"/>
      <c r="I972" s="11"/>
      <c r="J972" s="17" t="str">
        <f>IF(TRIM(B972)="","",IF(ISNUMBER(SEARCH(" - ",B972)),TRIM(RIGHT(B972,LEN(B972)-FIND(" - ",B972)-2)),IFERROR(VLOOKUP(UPPER(TRIM(B972)), SETUP!$B$4:$C$11, 2, FALSE), UPPER(TRIM(B972)))))</f>
        <v/>
      </c>
      <c r="K972" s="23" t="str">
        <f t="shared" si="2"/>
        <v/>
      </c>
      <c r="L972" s="17" t="str">
        <f t="shared" si="3"/>
        <v/>
      </c>
      <c r="M972" s="17" t="str">
        <f t="shared" si="4"/>
        <v/>
      </c>
    </row>
    <row r="973" ht="15.75" customHeight="1">
      <c r="A973" s="12"/>
      <c r="B973" s="11"/>
      <c r="C973" s="11"/>
      <c r="D973" s="11"/>
      <c r="E973" s="11" t="str">
        <f>IF(J973="","", C973 * IFERROR(VLOOKUP(J973, SETUP!$A:$D, 3, FALSE), 0))</f>
        <v/>
      </c>
      <c r="F973" s="11" t="str">
        <f>IF(J973="","", C973 * IFERROR(VLOOKUP(J973, SETUP!$A:$D, 4, FALSE), 0))</f>
        <v/>
      </c>
      <c r="G973" s="11" t="str">
        <f t="shared" si="1"/>
        <v/>
      </c>
      <c r="H973" s="22"/>
      <c r="I973" s="11"/>
      <c r="J973" s="17" t="str">
        <f>IF(TRIM(B973)="","",IF(ISNUMBER(SEARCH(" - ",B973)),TRIM(RIGHT(B973,LEN(B973)-FIND(" - ",B973)-2)),IFERROR(VLOOKUP(UPPER(TRIM(B973)), SETUP!$B$4:$C$11, 2, FALSE), UPPER(TRIM(B973)))))</f>
        <v/>
      </c>
      <c r="K973" s="23" t="str">
        <f t="shared" si="2"/>
        <v/>
      </c>
      <c r="L973" s="17" t="str">
        <f t="shared" si="3"/>
        <v/>
      </c>
      <c r="M973" s="17" t="str">
        <f t="shared" si="4"/>
        <v/>
      </c>
    </row>
    <row r="974" ht="15.75" customHeight="1">
      <c r="A974" s="12"/>
      <c r="B974" s="11"/>
      <c r="C974" s="11"/>
      <c r="D974" s="11"/>
      <c r="E974" s="11" t="str">
        <f>IF(J974="","", C974 * IFERROR(VLOOKUP(J974, SETUP!$A:$D, 3, FALSE), 0))</f>
        <v/>
      </c>
      <c r="F974" s="11" t="str">
        <f>IF(J974="","", C974 * IFERROR(VLOOKUP(J974, SETUP!$A:$D, 4, FALSE), 0))</f>
        <v/>
      </c>
      <c r="G974" s="11" t="str">
        <f t="shared" si="1"/>
        <v/>
      </c>
      <c r="H974" s="22"/>
      <c r="I974" s="11"/>
      <c r="J974" s="17" t="str">
        <f>IF(TRIM(B974)="","",IF(ISNUMBER(SEARCH(" - ",B974)),TRIM(RIGHT(B974,LEN(B974)-FIND(" - ",B974)-2)),IFERROR(VLOOKUP(UPPER(TRIM(B974)), SETUP!$B$4:$C$11, 2, FALSE), UPPER(TRIM(B974)))))</f>
        <v/>
      </c>
      <c r="K974" s="23" t="str">
        <f t="shared" si="2"/>
        <v/>
      </c>
      <c r="L974" s="17" t="str">
        <f t="shared" si="3"/>
        <v/>
      </c>
      <c r="M974" s="17" t="str">
        <f t="shared" si="4"/>
        <v/>
      </c>
    </row>
    <row r="975" ht="15.75" customHeight="1">
      <c r="A975" s="12"/>
      <c r="B975" s="11"/>
      <c r="C975" s="11"/>
      <c r="D975" s="11"/>
      <c r="E975" s="11" t="str">
        <f>IF(J975="","", C975 * IFERROR(VLOOKUP(J975, SETUP!$A:$D, 3, FALSE), 0))</f>
        <v/>
      </c>
      <c r="F975" s="11" t="str">
        <f>IF(J975="","", C975 * IFERROR(VLOOKUP(J975, SETUP!$A:$D, 4, FALSE), 0))</f>
        <v/>
      </c>
      <c r="G975" s="11" t="str">
        <f t="shared" si="1"/>
        <v/>
      </c>
      <c r="H975" s="22"/>
      <c r="I975" s="11"/>
      <c r="J975" s="17" t="str">
        <f>IF(TRIM(B975)="","",IF(ISNUMBER(SEARCH(" - ",B975)),TRIM(RIGHT(B975,LEN(B975)-FIND(" - ",B975)-2)),IFERROR(VLOOKUP(UPPER(TRIM(B975)), SETUP!$B$4:$C$11, 2, FALSE), UPPER(TRIM(B975)))))</f>
        <v/>
      </c>
      <c r="K975" s="23" t="str">
        <f t="shared" si="2"/>
        <v/>
      </c>
      <c r="L975" s="17" t="str">
        <f t="shared" si="3"/>
        <v/>
      </c>
      <c r="M975" s="17" t="str">
        <f t="shared" si="4"/>
        <v/>
      </c>
    </row>
    <row r="976" ht="15.75" customHeight="1">
      <c r="A976" s="12"/>
      <c r="B976" s="11"/>
      <c r="C976" s="11"/>
      <c r="D976" s="11"/>
      <c r="E976" s="11" t="str">
        <f>IF(J976="","", C976 * IFERROR(VLOOKUP(J976, SETUP!$A:$D, 3, FALSE), 0))</f>
        <v/>
      </c>
      <c r="F976" s="11" t="str">
        <f>IF(J976="","", C976 * IFERROR(VLOOKUP(J976, SETUP!$A:$D, 4, FALSE), 0))</f>
        <v/>
      </c>
      <c r="G976" s="11" t="str">
        <f t="shared" si="1"/>
        <v/>
      </c>
      <c r="H976" s="22"/>
      <c r="I976" s="11"/>
      <c r="J976" s="17" t="str">
        <f>IF(TRIM(B976)="","",IF(ISNUMBER(SEARCH(" - ",B976)),TRIM(RIGHT(B976,LEN(B976)-FIND(" - ",B976)-2)),IFERROR(VLOOKUP(UPPER(TRIM(B976)), SETUP!$B$4:$C$11, 2, FALSE), UPPER(TRIM(B976)))))</f>
        <v/>
      </c>
      <c r="K976" s="23" t="str">
        <f t="shared" si="2"/>
        <v/>
      </c>
      <c r="L976" s="17" t="str">
        <f t="shared" si="3"/>
        <v/>
      </c>
      <c r="M976" s="17" t="str">
        <f t="shared" si="4"/>
        <v/>
      </c>
    </row>
    <row r="977" ht="15.75" customHeight="1">
      <c r="A977" s="12"/>
      <c r="B977" s="11"/>
      <c r="C977" s="11"/>
      <c r="D977" s="11"/>
      <c r="E977" s="11" t="str">
        <f>IF(J977="","", C977 * IFERROR(VLOOKUP(J977, SETUP!$A:$D, 3, FALSE), 0))</f>
        <v/>
      </c>
      <c r="F977" s="11" t="str">
        <f>IF(J977="","", C977 * IFERROR(VLOOKUP(J977, SETUP!$A:$D, 4, FALSE), 0))</f>
        <v/>
      </c>
      <c r="G977" s="11" t="str">
        <f t="shared" si="1"/>
        <v/>
      </c>
      <c r="H977" s="22"/>
      <c r="I977" s="11"/>
      <c r="J977" s="17" t="str">
        <f>IF(TRIM(B977)="","",IF(ISNUMBER(SEARCH(" - ",B977)),TRIM(RIGHT(B977,LEN(B977)-FIND(" - ",B977)-2)),IFERROR(VLOOKUP(UPPER(TRIM(B977)), SETUP!$B$4:$C$11, 2, FALSE), UPPER(TRIM(B977)))))</f>
        <v/>
      </c>
      <c r="K977" s="23" t="str">
        <f t="shared" si="2"/>
        <v/>
      </c>
      <c r="L977" s="17" t="str">
        <f t="shared" si="3"/>
        <v/>
      </c>
      <c r="M977" s="17" t="str">
        <f t="shared" si="4"/>
        <v/>
      </c>
    </row>
    <row r="978" ht="15.75" customHeight="1">
      <c r="A978" s="12"/>
      <c r="B978" s="11"/>
      <c r="C978" s="11"/>
      <c r="D978" s="11"/>
      <c r="E978" s="11" t="str">
        <f>IF(J978="","", C978 * IFERROR(VLOOKUP(J978, SETUP!$A:$D, 3, FALSE), 0))</f>
        <v/>
      </c>
      <c r="F978" s="11" t="str">
        <f>IF(J978="","", C978 * IFERROR(VLOOKUP(J978, SETUP!$A:$D, 4, FALSE), 0))</f>
        <v/>
      </c>
      <c r="G978" s="11" t="str">
        <f t="shared" si="1"/>
        <v/>
      </c>
      <c r="H978" s="22"/>
      <c r="I978" s="11"/>
      <c r="J978" s="17" t="str">
        <f>IF(TRIM(B978)="","",IF(ISNUMBER(SEARCH(" - ",B978)),TRIM(RIGHT(B978,LEN(B978)-FIND(" - ",B978)-2)),IFERROR(VLOOKUP(UPPER(TRIM(B978)), SETUP!$B$4:$C$11, 2, FALSE), UPPER(TRIM(B978)))))</f>
        <v/>
      </c>
      <c r="K978" s="23" t="str">
        <f t="shared" si="2"/>
        <v/>
      </c>
      <c r="L978" s="17" t="str">
        <f t="shared" si="3"/>
        <v/>
      </c>
      <c r="M978" s="17" t="str">
        <f t="shared" si="4"/>
        <v/>
      </c>
    </row>
    <row r="979" ht="15.75" customHeight="1">
      <c r="A979" s="12"/>
      <c r="B979" s="11"/>
      <c r="C979" s="11"/>
      <c r="D979" s="11"/>
      <c r="E979" s="11" t="str">
        <f>IF(J979="","", C979 * IFERROR(VLOOKUP(J979, SETUP!$A:$D, 3, FALSE), 0))</f>
        <v/>
      </c>
      <c r="F979" s="11" t="str">
        <f>IF(J979="","", C979 * IFERROR(VLOOKUP(J979, SETUP!$A:$D, 4, FALSE), 0))</f>
        <v/>
      </c>
      <c r="G979" s="11" t="str">
        <f t="shared" si="1"/>
        <v/>
      </c>
      <c r="H979" s="22"/>
      <c r="I979" s="11"/>
      <c r="J979" s="17" t="str">
        <f>IF(TRIM(B979)="","",IF(ISNUMBER(SEARCH(" - ",B979)),TRIM(RIGHT(B979,LEN(B979)-FIND(" - ",B979)-2)),IFERROR(VLOOKUP(UPPER(TRIM(B979)), SETUP!$B$4:$C$11, 2, FALSE), UPPER(TRIM(B979)))))</f>
        <v/>
      </c>
      <c r="K979" s="23" t="str">
        <f t="shared" si="2"/>
        <v/>
      </c>
      <c r="L979" s="17" t="str">
        <f t="shared" si="3"/>
        <v/>
      </c>
      <c r="M979" s="17" t="str">
        <f t="shared" si="4"/>
        <v/>
      </c>
    </row>
    <row r="980" ht="15.75" customHeight="1">
      <c r="A980" s="12"/>
      <c r="B980" s="11"/>
      <c r="C980" s="11"/>
      <c r="D980" s="11"/>
      <c r="E980" s="11" t="str">
        <f>IF(J980="","", C980 * IFERROR(VLOOKUP(J980, SETUP!$A:$D, 3, FALSE), 0))</f>
        <v/>
      </c>
      <c r="F980" s="11" t="str">
        <f>IF(J980="","", C980 * IFERROR(VLOOKUP(J980, SETUP!$A:$D, 4, FALSE), 0))</f>
        <v/>
      </c>
      <c r="G980" s="11" t="str">
        <f t="shared" si="1"/>
        <v/>
      </c>
      <c r="H980" s="22"/>
      <c r="I980" s="11"/>
      <c r="J980" s="17" t="str">
        <f>IF(TRIM(B980)="","",IF(ISNUMBER(SEARCH(" - ",B980)),TRIM(RIGHT(B980,LEN(B980)-FIND(" - ",B980)-2)),IFERROR(VLOOKUP(UPPER(TRIM(B980)), SETUP!$B$4:$C$11, 2, FALSE), UPPER(TRIM(B980)))))</f>
        <v/>
      </c>
      <c r="K980" s="23" t="str">
        <f t="shared" si="2"/>
        <v/>
      </c>
      <c r="L980" s="17" t="str">
        <f t="shared" si="3"/>
        <v/>
      </c>
      <c r="M980" s="17" t="str">
        <f t="shared" si="4"/>
        <v/>
      </c>
    </row>
    <row r="981" ht="15.75" customHeight="1">
      <c r="A981" s="12"/>
      <c r="B981" s="11"/>
      <c r="C981" s="11"/>
      <c r="D981" s="11"/>
      <c r="E981" s="11" t="str">
        <f>IF(J981="","", C981 * IFERROR(VLOOKUP(J981, SETUP!$A:$D, 3, FALSE), 0))</f>
        <v/>
      </c>
      <c r="F981" s="11" t="str">
        <f>IF(J981="","", C981 * IFERROR(VLOOKUP(J981, SETUP!$A:$D, 4, FALSE), 0))</f>
        <v/>
      </c>
      <c r="G981" s="11" t="str">
        <f t="shared" si="1"/>
        <v/>
      </c>
      <c r="H981" s="22"/>
      <c r="I981" s="11"/>
      <c r="J981" s="17" t="str">
        <f>IF(TRIM(B981)="","",IF(ISNUMBER(SEARCH(" - ",B981)),TRIM(RIGHT(B981,LEN(B981)-FIND(" - ",B981)-2)),IFERROR(VLOOKUP(UPPER(TRIM(B981)), SETUP!$B$4:$C$11, 2, FALSE), UPPER(TRIM(B981)))))</f>
        <v/>
      </c>
      <c r="K981" s="23" t="str">
        <f t="shared" si="2"/>
        <v/>
      </c>
      <c r="L981" s="17" t="str">
        <f t="shared" si="3"/>
        <v/>
      </c>
      <c r="M981" s="17" t="str">
        <f t="shared" si="4"/>
        <v/>
      </c>
    </row>
    <row r="982" ht="15.75" customHeight="1">
      <c r="A982" s="12"/>
      <c r="B982" s="11"/>
      <c r="C982" s="11"/>
      <c r="D982" s="11"/>
      <c r="E982" s="11" t="str">
        <f>IF(J982="","", C982 * IFERROR(VLOOKUP(J982, SETUP!$A:$D, 3, FALSE), 0))</f>
        <v/>
      </c>
      <c r="F982" s="11" t="str">
        <f>IF(J982="","", C982 * IFERROR(VLOOKUP(J982, SETUP!$A:$D, 4, FALSE), 0))</f>
        <v/>
      </c>
      <c r="G982" s="11" t="str">
        <f t="shared" si="1"/>
        <v/>
      </c>
      <c r="H982" s="22"/>
      <c r="I982" s="11"/>
      <c r="J982" s="17" t="str">
        <f>IF(TRIM(B982)="","",IF(ISNUMBER(SEARCH(" - ",B982)),TRIM(RIGHT(B982,LEN(B982)-FIND(" - ",B982)-2)),IFERROR(VLOOKUP(UPPER(TRIM(B982)), SETUP!$B$4:$C$11, 2, FALSE), UPPER(TRIM(B982)))))</f>
        <v/>
      </c>
      <c r="K982" s="23" t="str">
        <f t="shared" si="2"/>
        <v/>
      </c>
      <c r="L982" s="17" t="str">
        <f t="shared" si="3"/>
        <v/>
      </c>
      <c r="M982" s="17" t="str">
        <f t="shared" si="4"/>
        <v/>
      </c>
    </row>
    <row r="983" ht="15.75" customHeight="1">
      <c r="A983" s="12"/>
      <c r="B983" s="11"/>
      <c r="C983" s="11"/>
      <c r="D983" s="11"/>
      <c r="E983" s="11" t="str">
        <f>IF(J983="","", C983 * IFERROR(VLOOKUP(J983, SETUP!$A:$D, 3, FALSE), 0))</f>
        <v/>
      </c>
      <c r="F983" s="11" t="str">
        <f>IF(J983="","", C983 * IFERROR(VLOOKUP(J983, SETUP!$A:$D, 4, FALSE), 0))</f>
        <v/>
      </c>
      <c r="G983" s="11" t="str">
        <f t="shared" si="1"/>
        <v/>
      </c>
      <c r="H983" s="22"/>
      <c r="I983" s="11"/>
      <c r="J983" s="17" t="str">
        <f>IF(TRIM(B983)="","",IF(ISNUMBER(SEARCH(" - ",B983)),TRIM(RIGHT(B983,LEN(B983)-FIND(" - ",B983)-2)),IFERROR(VLOOKUP(UPPER(TRIM(B983)), SETUP!$B$4:$C$11, 2, FALSE), UPPER(TRIM(B983)))))</f>
        <v/>
      </c>
      <c r="K983" s="23" t="str">
        <f t="shared" si="2"/>
        <v/>
      </c>
      <c r="L983" s="17" t="str">
        <f t="shared" si="3"/>
        <v/>
      </c>
      <c r="M983" s="17" t="str">
        <f t="shared" si="4"/>
        <v/>
      </c>
    </row>
    <row r="984" ht="15.75" customHeight="1">
      <c r="A984" s="12"/>
      <c r="B984" s="11"/>
      <c r="C984" s="11"/>
      <c r="D984" s="11"/>
      <c r="E984" s="11" t="str">
        <f>IF(J984="","", C984 * IFERROR(VLOOKUP(J984, SETUP!$A:$D, 3, FALSE), 0))</f>
        <v/>
      </c>
      <c r="F984" s="11" t="str">
        <f>IF(J984="","", C984 * IFERROR(VLOOKUP(J984, SETUP!$A:$D, 4, FALSE), 0))</f>
        <v/>
      </c>
      <c r="G984" s="11" t="str">
        <f t="shared" si="1"/>
        <v/>
      </c>
      <c r="H984" s="22"/>
      <c r="I984" s="11"/>
      <c r="J984" s="17" t="str">
        <f>IF(TRIM(B984)="","",IF(ISNUMBER(SEARCH(" - ",B984)),TRIM(RIGHT(B984,LEN(B984)-FIND(" - ",B984)-2)),IFERROR(VLOOKUP(UPPER(TRIM(B984)), SETUP!$B$4:$C$11, 2, FALSE), UPPER(TRIM(B984)))))</f>
        <v/>
      </c>
      <c r="K984" s="23" t="str">
        <f t="shared" si="2"/>
        <v/>
      </c>
      <c r="L984" s="17" t="str">
        <f t="shared" si="3"/>
        <v/>
      </c>
      <c r="M984" s="17" t="str">
        <f t="shared" si="4"/>
        <v/>
      </c>
    </row>
    <row r="985" ht="15.75" customHeight="1">
      <c r="A985" s="12"/>
      <c r="B985" s="11"/>
      <c r="C985" s="11"/>
      <c r="D985" s="11"/>
      <c r="E985" s="11" t="str">
        <f>IF(J985="","", C985 * IFERROR(VLOOKUP(J985, SETUP!$A:$D, 3, FALSE), 0))</f>
        <v/>
      </c>
      <c r="F985" s="11" t="str">
        <f>IF(J985="","", C985 * IFERROR(VLOOKUP(J985, SETUP!$A:$D, 4, FALSE), 0))</f>
        <v/>
      </c>
      <c r="G985" s="11" t="str">
        <f t="shared" si="1"/>
        <v/>
      </c>
      <c r="H985" s="22"/>
      <c r="I985" s="11"/>
      <c r="J985" s="17" t="str">
        <f>IF(TRIM(B985)="","",IF(ISNUMBER(SEARCH(" - ",B985)),TRIM(RIGHT(B985,LEN(B985)-FIND(" - ",B985)-2)),IFERROR(VLOOKUP(UPPER(TRIM(B985)), SETUP!$B$4:$C$11, 2, FALSE), UPPER(TRIM(B985)))))</f>
        <v/>
      </c>
      <c r="K985" s="23" t="str">
        <f t="shared" si="2"/>
        <v/>
      </c>
      <c r="L985" s="17" t="str">
        <f t="shared" si="3"/>
        <v/>
      </c>
      <c r="M985" s="17" t="str">
        <f t="shared" si="4"/>
        <v/>
      </c>
    </row>
    <row r="986" ht="15.75" customHeight="1">
      <c r="A986" s="12"/>
      <c r="B986" s="11"/>
      <c r="C986" s="11"/>
      <c r="D986" s="11"/>
      <c r="E986" s="11" t="str">
        <f>IF(J986="","", C986 * IFERROR(VLOOKUP(J986, SETUP!$A:$D, 3, FALSE), 0))</f>
        <v/>
      </c>
      <c r="F986" s="11" t="str">
        <f>IF(J986="","", C986 * IFERROR(VLOOKUP(J986, SETUP!$A:$D, 4, FALSE), 0))</f>
        <v/>
      </c>
      <c r="G986" s="11" t="str">
        <f t="shared" si="1"/>
        <v/>
      </c>
      <c r="H986" s="22"/>
      <c r="I986" s="11"/>
      <c r="J986" s="17" t="str">
        <f>IF(TRIM(B986)="","",IF(ISNUMBER(SEARCH(" - ",B986)),TRIM(RIGHT(B986,LEN(B986)-FIND(" - ",B986)-2)),IFERROR(VLOOKUP(UPPER(TRIM(B986)), SETUP!$B$4:$C$11, 2, FALSE), UPPER(TRIM(B986)))))</f>
        <v/>
      </c>
      <c r="K986" s="23" t="str">
        <f t="shared" si="2"/>
        <v/>
      </c>
      <c r="L986" s="17" t="str">
        <f t="shared" si="3"/>
        <v/>
      </c>
      <c r="M986" s="17" t="str">
        <f t="shared" si="4"/>
        <v/>
      </c>
    </row>
    <row r="987" ht="15.75" customHeight="1">
      <c r="A987" s="12"/>
      <c r="B987" s="11"/>
      <c r="C987" s="11"/>
      <c r="D987" s="11"/>
      <c r="E987" s="11" t="str">
        <f>IF(J987="","", C987 * IFERROR(VLOOKUP(J987, SETUP!$A:$D, 3, FALSE), 0))</f>
        <v/>
      </c>
      <c r="F987" s="11" t="str">
        <f>IF(J987="","", C987 * IFERROR(VLOOKUP(J987, SETUP!$A:$D, 4, FALSE), 0))</f>
        <v/>
      </c>
      <c r="G987" s="11" t="str">
        <f t="shared" si="1"/>
        <v/>
      </c>
      <c r="H987" s="22"/>
      <c r="I987" s="11"/>
      <c r="J987" s="17" t="str">
        <f>IF(TRIM(B987)="","",IF(ISNUMBER(SEARCH(" - ",B987)),TRIM(RIGHT(B987,LEN(B987)-FIND(" - ",B987)-2)),IFERROR(VLOOKUP(UPPER(TRIM(B987)), SETUP!$B$4:$C$11, 2, FALSE), UPPER(TRIM(B987)))))</f>
        <v/>
      </c>
      <c r="K987" s="23" t="str">
        <f t="shared" si="2"/>
        <v/>
      </c>
      <c r="L987" s="17" t="str">
        <f t="shared" si="3"/>
        <v/>
      </c>
      <c r="M987" s="17" t="str">
        <f t="shared" si="4"/>
        <v/>
      </c>
    </row>
    <row r="988" ht="15.75" customHeight="1">
      <c r="A988" s="12"/>
      <c r="B988" s="11"/>
      <c r="C988" s="11"/>
      <c r="D988" s="11"/>
      <c r="E988" s="11" t="str">
        <f>IF(J988="","", C988 * IFERROR(VLOOKUP(J988, SETUP!$A:$D, 3, FALSE), 0))</f>
        <v/>
      </c>
      <c r="F988" s="11" t="str">
        <f>IF(J988="","", C988 * IFERROR(VLOOKUP(J988, SETUP!$A:$D, 4, FALSE), 0))</f>
        <v/>
      </c>
      <c r="G988" s="11" t="str">
        <f t="shared" si="1"/>
        <v/>
      </c>
      <c r="H988" s="22"/>
      <c r="I988" s="11"/>
      <c r="J988" s="17" t="str">
        <f>IF(TRIM(B988)="","",IF(ISNUMBER(SEARCH(" - ",B988)),TRIM(RIGHT(B988,LEN(B988)-FIND(" - ",B988)-2)),IFERROR(VLOOKUP(UPPER(TRIM(B988)), SETUP!$B$4:$C$11, 2, FALSE), UPPER(TRIM(B988)))))</f>
        <v/>
      </c>
      <c r="K988" s="23" t="str">
        <f t="shared" si="2"/>
        <v/>
      </c>
      <c r="L988" s="17" t="str">
        <f t="shared" si="3"/>
        <v/>
      </c>
      <c r="M988" s="17" t="str">
        <f t="shared" si="4"/>
        <v/>
      </c>
    </row>
    <row r="989" ht="15.75" customHeight="1">
      <c r="A989" s="12"/>
      <c r="B989" s="11"/>
      <c r="C989" s="11"/>
      <c r="D989" s="11"/>
      <c r="E989" s="11" t="str">
        <f>IF(J989="","", C989 * IFERROR(VLOOKUP(J989, SETUP!$A:$D, 3, FALSE), 0))</f>
        <v/>
      </c>
      <c r="F989" s="11" t="str">
        <f>IF(J989="","", C989 * IFERROR(VLOOKUP(J989, SETUP!$A:$D, 4, FALSE), 0))</f>
        <v/>
      </c>
      <c r="G989" s="11" t="str">
        <f t="shared" si="1"/>
        <v/>
      </c>
      <c r="H989" s="22"/>
      <c r="I989" s="11"/>
      <c r="J989" s="17" t="str">
        <f>IF(TRIM(B989)="","",IF(ISNUMBER(SEARCH(" - ",B989)),TRIM(RIGHT(B989,LEN(B989)-FIND(" - ",B989)-2)),IFERROR(VLOOKUP(UPPER(TRIM(B989)), SETUP!$B$4:$C$11, 2, FALSE), UPPER(TRIM(B989)))))</f>
        <v/>
      </c>
      <c r="K989" s="23" t="str">
        <f t="shared" si="2"/>
        <v/>
      </c>
      <c r="L989" s="17" t="str">
        <f t="shared" si="3"/>
        <v/>
      </c>
      <c r="M989" s="17" t="str">
        <f t="shared" si="4"/>
        <v/>
      </c>
    </row>
    <row r="990" ht="15.75" customHeight="1">
      <c r="A990" s="12"/>
      <c r="B990" s="11"/>
      <c r="C990" s="11"/>
      <c r="D990" s="11"/>
      <c r="E990" s="11" t="str">
        <f>IF(J990="","", C990 * IFERROR(VLOOKUP(J990, SETUP!$A:$D, 3, FALSE), 0))</f>
        <v/>
      </c>
      <c r="F990" s="11" t="str">
        <f>IF(J990="","", C990 * IFERROR(VLOOKUP(J990, SETUP!$A:$D, 4, FALSE), 0))</f>
        <v/>
      </c>
      <c r="G990" s="11" t="str">
        <f t="shared" si="1"/>
        <v/>
      </c>
      <c r="H990" s="22"/>
      <c r="I990" s="11"/>
      <c r="J990" s="17" t="str">
        <f>IF(TRIM(B990)="","",IF(ISNUMBER(SEARCH(" - ",B990)),TRIM(RIGHT(B990,LEN(B990)-FIND(" - ",B990)-2)),IFERROR(VLOOKUP(UPPER(TRIM(B990)), SETUP!$B$4:$C$11, 2, FALSE), UPPER(TRIM(B990)))))</f>
        <v/>
      </c>
      <c r="K990" s="23" t="str">
        <f t="shared" si="2"/>
        <v/>
      </c>
      <c r="L990" s="17" t="str">
        <f t="shared" si="3"/>
        <v/>
      </c>
      <c r="M990" s="17" t="str">
        <f t="shared" si="4"/>
        <v/>
      </c>
    </row>
    <row r="991" ht="15.75" customHeight="1">
      <c r="A991" s="12"/>
      <c r="B991" s="11"/>
      <c r="C991" s="11"/>
      <c r="D991" s="11"/>
      <c r="E991" s="11" t="str">
        <f>IF(J991="","", C991 * IFERROR(VLOOKUP(J991, SETUP!$A:$D, 3, FALSE), 0))</f>
        <v/>
      </c>
      <c r="F991" s="11" t="str">
        <f>IF(J991="","", C991 * IFERROR(VLOOKUP(J991, SETUP!$A:$D, 4, FALSE), 0))</f>
        <v/>
      </c>
      <c r="G991" s="11" t="str">
        <f t="shared" si="1"/>
        <v/>
      </c>
      <c r="H991" s="22"/>
      <c r="I991" s="11"/>
      <c r="J991" s="17" t="str">
        <f>IF(TRIM(B991)="","",IF(ISNUMBER(SEARCH(" - ",B991)),TRIM(RIGHT(B991,LEN(B991)-FIND(" - ",B991)-2)),IFERROR(VLOOKUP(UPPER(TRIM(B991)), SETUP!$B$4:$C$11, 2, FALSE), UPPER(TRIM(B991)))))</f>
        <v/>
      </c>
      <c r="K991" s="23" t="str">
        <f t="shared" si="2"/>
        <v/>
      </c>
      <c r="L991" s="17" t="str">
        <f t="shared" si="3"/>
        <v/>
      </c>
      <c r="M991" s="17" t="str">
        <f t="shared" si="4"/>
        <v/>
      </c>
    </row>
    <row r="992" ht="15.75" customHeight="1">
      <c r="A992" s="12"/>
      <c r="B992" s="11"/>
      <c r="C992" s="11"/>
      <c r="D992" s="11"/>
      <c r="E992" s="11" t="str">
        <f>IF(J992="","", C992 * IFERROR(VLOOKUP(J992, SETUP!$A:$D, 3, FALSE), 0))</f>
        <v/>
      </c>
      <c r="F992" s="11" t="str">
        <f>IF(J992="","", C992 * IFERROR(VLOOKUP(J992, SETUP!$A:$D, 4, FALSE), 0))</f>
        <v/>
      </c>
      <c r="G992" s="11" t="str">
        <f t="shared" si="1"/>
        <v/>
      </c>
      <c r="H992" s="22"/>
      <c r="I992" s="11"/>
      <c r="J992" s="17" t="str">
        <f>IF(TRIM(B992)="","",IF(ISNUMBER(SEARCH(" - ",B992)),TRIM(RIGHT(B992,LEN(B992)-FIND(" - ",B992)-2)),IFERROR(VLOOKUP(UPPER(TRIM(B992)), SETUP!$B$4:$C$11, 2, FALSE), UPPER(TRIM(B992)))))</f>
        <v/>
      </c>
      <c r="K992" s="23" t="str">
        <f t="shared" si="2"/>
        <v/>
      </c>
      <c r="L992" s="17" t="str">
        <f t="shared" si="3"/>
        <v/>
      </c>
      <c r="M992" s="17" t="str">
        <f t="shared" si="4"/>
        <v/>
      </c>
    </row>
    <row r="993" ht="15.75" customHeight="1">
      <c r="A993" s="12"/>
      <c r="B993" s="11"/>
      <c r="C993" s="11"/>
      <c r="D993" s="11"/>
      <c r="E993" s="11" t="str">
        <f>IF(J993="","", C993 * IFERROR(VLOOKUP(J993, SETUP!$A:$D, 3, FALSE), 0))</f>
        <v/>
      </c>
      <c r="F993" s="11" t="str">
        <f>IF(J993="","", C993 * IFERROR(VLOOKUP(J993, SETUP!$A:$D, 4, FALSE), 0))</f>
        <v/>
      </c>
      <c r="G993" s="11" t="str">
        <f t="shared" si="1"/>
        <v/>
      </c>
      <c r="H993" s="22"/>
      <c r="I993" s="11"/>
      <c r="J993" s="17" t="str">
        <f>IF(TRIM(B993)="","",IF(ISNUMBER(SEARCH(" - ",B993)),TRIM(RIGHT(B993,LEN(B993)-FIND(" - ",B993)-2)),IFERROR(VLOOKUP(UPPER(TRIM(B993)), SETUP!$B$4:$C$11, 2, FALSE), UPPER(TRIM(B993)))))</f>
        <v/>
      </c>
      <c r="K993" s="23" t="str">
        <f t="shared" si="2"/>
        <v/>
      </c>
      <c r="L993" s="17" t="str">
        <f t="shared" si="3"/>
        <v/>
      </c>
      <c r="M993" s="17" t="str">
        <f t="shared" si="4"/>
        <v/>
      </c>
    </row>
    <row r="994" ht="15.75" customHeight="1">
      <c r="A994" s="12"/>
      <c r="B994" s="11"/>
      <c r="C994" s="11"/>
      <c r="D994" s="11"/>
      <c r="E994" s="11" t="str">
        <f>IF(J994="","", C994 * IFERROR(VLOOKUP(J994, SETUP!$A:$D, 3, FALSE), 0))</f>
        <v/>
      </c>
      <c r="F994" s="11" t="str">
        <f>IF(J994="","", C994 * IFERROR(VLOOKUP(J994, SETUP!$A:$D, 4, FALSE), 0))</f>
        <v/>
      </c>
      <c r="G994" s="11" t="str">
        <f t="shared" si="1"/>
        <v/>
      </c>
      <c r="H994" s="22"/>
      <c r="I994" s="11"/>
      <c r="J994" s="17" t="str">
        <f>IF(TRIM(B994)="","",IF(ISNUMBER(SEARCH(" - ",B994)),TRIM(RIGHT(B994,LEN(B994)-FIND(" - ",B994)-2)),IFERROR(VLOOKUP(UPPER(TRIM(B994)), SETUP!$B$4:$C$11, 2, FALSE), UPPER(TRIM(B994)))))</f>
        <v/>
      </c>
      <c r="K994" s="23" t="str">
        <f t="shared" si="2"/>
        <v/>
      </c>
      <c r="L994" s="17" t="str">
        <f t="shared" si="3"/>
        <v/>
      </c>
      <c r="M994" s="17" t="str">
        <f t="shared" si="4"/>
        <v/>
      </c>
    </row>
    <row r="995" ht="15.75" customHeight="1">
      <c r="A995" s="12"/>
      <c r="B995" s="11"/>
      <c r="C995" s="11"/>
      <c r="D995" s="11"/>
      <c r="E995" s="11" t="str">
        <f>IF(J995="","", C995 * IFERROR(VLOOKUP(J995, SETUP!$A:$D, 3, FALSE), 0))</f>
        <v/>
      </c>
      <c r="F995" s="11" t="str">
        <f>IF(J995="","", C995 * IFERROR(VLOOKUP(J995, SETUP!$A:$D, 4, FALSE), 0))</f>
        <v/>
      </c>
      <c r="G995" s="11" t="str">
        <f t="shared" si="1"/>
        <v/>
      </c>
      <c r="H995" s="22"/>
      <c r="I995" s="11"/>
      <c r="J995" s="17" t="str">
        <f>IF(TRIM(B995)="","",IF(ISNUMBER(SEARCH(" - ",B995)),TRIM(RIGHT(B995,LEN(B995)-FIND(" - ",B995)-2)),IFERROR(VLOOKUP(UPPER(TRIM(B995)), SETUP!$B$4:$C$11, 2, FALSE), UPPER(TRIM(B995)))))</f>
        <v/>
      </c>
      <c r="K995" s="23" t="str">
        <f t="shared" si="2"/>
        <v/>
      </c>
      <c r="L995" s="17" t="str">
        <f t="shared" si="3"/>
        <v/>
      </c>
      <c r="M995" s="17" t="str">
        <f t="shared" si="4"/>
        <v/>
      </c>
    </row>
    <row r="996" ht="15.75" customHeight="1">
      <c r="A996" s="12"/>
      <c r="B996" s="11"/>
      <c r="C996" s="11"/>
      <c r="D996" s="11"/>
      <c r="E996" s="11" t="str">
        <f>IF(J996="","", C996 * IFERROR(VLOOKUP(J996, SETUP!$A:$D, 3, FALSE), 0))</f>
        <v/>
      </c>
      <c r="F996" s="11" t="str">
        <f>IF(J996="","", C996 * IFERROR(VLOOKUP(J996, SETUP!$A:$D, 4, FALSE), 0))</f>
        <v/>
      </c>
      <c r="G996" s="11" t="str">
        <f t="shared" si="1"/>
        <v/>
      </c>
      <c r="H996" s="22"/>
      <c r="I996" s="11"/>
      <c r="J996" s="17" t="str">
        <f>IF(TRIM(B996)="","",IF(ISNUMBER(SEARCH(" - ",B996)),TRIM(RIGHT(B996,LEN(B996)-FIND(" - ",B996)-2)),IFERROR(VLOOKUP(UPPER(TRIM(B996)), SETUP!$B$4:$C$11, 2, FALSE), UPPER(TRIM(B996)))))</f>
        <v/>
      </c>
      <c r="K996" s="23" t="str">
        <f t="shared" si="2"/>
        <v/>
      </c>
      <c r="L996" s="17" t="str">
        <f t="shared" si="3"/>
        <v/>
      </c>
      <c r="M996" s="17" t="str">
        <f t="shared" si="4"/>
        <v/>
      </c>
    </row>
    <row r="997" ht="15.75" customHeight="1">
      <c r="A997" s="12"/>
      <c r="B997" s="11"/>
      <c r="C997" s="11"/>
      <c r="D997" s="11"/>
      <c r="E997" s="11" t="str">
        <f>IF(J997="","", C997 * IFERROR(VLOOKUP(J997, SETUP!$A:$D, 3, FALSE), 0))</f>
        <v/>
      </c>
      <c r="F997" s="11" t="str">
        <f>IF(J997="","", C997 * IFERROR(VLOOKUP(J997, SETUP!$A:$D, 4, FALSE), 0))</f>
        <v/>
      </c>
      <c r="G997" s="11" t="str">
        <f t="shared" si="1"/>
        <v/>
      </c>
      <c r="H997" s="22"/>
      <c r="I997" s="11"/>
      <c r="J997" s="17" t="str">
        <f>IF(TRIM(B997)="","",IF(ISNUMBER(SEARCH(" - ",B997)),TRIM(RIGHT(B997,LEN(B997)-FIND(" - ",B997)-2)),IFERROR(VLOOKUP(UPPER(TRIM(B997)), SETUP!$B$4:$C$11, 2, FALSE), UPPER(TRIM(B997)))))</f>
        <v/>
      </c>
      <c r="K997" s="23" t="str">
        <f t="shared" si="2"/>
        <v/>
      </c>
      <c r="L997" s="17" t="str">
        <f t="shared" si="3"/>
        <v/>
      </c>
      <c r="M997" s="17" t="str">
        <f t="shared" si="4"/>
        <v/>
      </c>
    </row>
    <row r="998" ht="15.75" customHeight="1">
      <c r="A998" s="12"/>
      <c r="B998" s="11"/>
      <c r="C998" s="11"/>
      <c r="D998" s="11"/>
      <c r="E998" s="11" t="str">
        <f>IF(J998="","", C998 * IFERROR(VLOOKUP(J998, SETUP!$A:$D, 3, FALSE), 0))</f>
        <v/>
      </c>
      <c r="F998" s="11" t="str">
        <f>IF(J998="","", C998 * IFERROR(VLOOKUP(J998, SETUP!$A:$D, 4, FALSE), 0))</f>
        <v/>
      </c>
      <c r="G998" s="11" t="str">
        <f t="shared" si="1"/>
        <v/>
      </c>
      <c r="H998" s="22"/>
      <c r="I998" s="11"/>
      <c r="J998" s="17" t="str">
        <f>IF(TRIM(B998)="","",IF(ISNUMBER(SEARCH(" - ",B998)),TRIM(RIGHT(B998,LEN(B998)-FIND(" - ",B998)-2)),IFERROR(VLOOKUP(UPPER(TRIM(B998)), SETUP!$B$4:$C$11, 2, FALSE), UPPER(TRIM(B998)))))</f>
        <v/>
      </c>
      <c r="K998" s="23" t="str">
        <f t="shared" si="2"/>
        <v/>
      </c>
      <c r="L998" s="17" t="str">
        <f t="shared" si="3"/>
        <v/>
      </c>
      <c r="M998" s="17" t="str">
        <f t="shared" si="4"/>
        <v/>
      </c>
    </row>
    <row r="999" ht="15.75" customHeight="1">
      <c r="A999" s="12"/>
      <c r="B999" s="11"/>
      <c r="C999" s="11"/>
      <c r="D999" s="11"/>
      <c r="E999" s="11" t="str">
        <f>IF(J999="","", C999 * IFERROR(VLOOKUP(J999, SETUP!$A:$D, 3, FALSE), 0))</f>
        <v/>
      </c>
      <c r="F999" s="11" t="str">
        <f>IF(J999="","", C999 * IFERROR(VLOOKUP(J999, SETUP!$A:$D, 4, FALSE), 0))</f>
        <v/>
      </c>
      <c r="G999" s="11" t="str">
        <f t="shared" si="1"/>
        <v/>
      </c>
      <c r="H999" s="22"/>
      <c r="I999" s="11"/>
      <c r="J999" s="17" t="str">
        <f>IF(TRIM(B999)="","",IF(ISNUMBER(SEARCH(" - ",B999)),TRIM(RIGHT(B999,LEN(B999)-FIND(" - ",B999)-2)),IFERROR(VLOOKUP(UPPER(TRIM(B999)), SETUP!$B$4:$C$11, 2, FALSE), UPPER(TRIM(B999)))))</f>
        <v/>
      </c>
      <c r="K999" s="23" t="str">
        <f t="shared" si="2"/>
        <v/>
      </c>
      <c r="L999" s="17" t="str">
        <f t="shared" si="3"/>
        <v/>
      </c>
      <c r="M999" s="17" t="str">
        <f t="shared" si="4"/>
        <v/>
      </c>
    </row>
    <row r="1000" ht="15.75" customHeight="1">
      <c r="A1000" s="12"/>
      <c r="B1000" s="11"/>
      <c r="C1000" s="11"/>
      <c r="D1000" s="11"/>
      <c r="E1000" s="11" t="str">
        <f>IF(J1000="","", C1000 * IFERROR(VLOOKUP(J1000, SETUP!$A:$D, 3, FALSE), 0))</f>
        <v/>
      </c>
      <c r="F1000" s="11" t="str">
        <f>IF(J1000="","", C1000 * IFERROR(VLOOKUP(J1000, SETUP!$A:$D, 4, FALSE), 0))</f>
        <v/>
      </c>
      <c r="G1000" s="11" t="str">
        <f t="shared" si="1"/>
        <v/>
      </c>
      <c r="H1000" s="22"/>
      <c r="I1000" s="11"/>
      <c r="J1000" s="17" t="str">
        <f>IF(TRIM(B1000)="","",IF(ISNUMBER(SEARCH(" - ",B1000)),TRIM(RIGHT(B1000,LEN(B1000)-FIND(" - ",B1000)-2)),IFERROR(VLOOKUP(UPPER(TRIM(B1000)), SETUP!$B$4:$C$11, 2, FALSE), UPPER(TRIM(B1000)))))</f>
        <v/>
      </c>
      <c r="K1000" s="23" t="str">
        <f t="shared" si="2"/>
        <v/>
      </c>
      <c r="L1000" s="17" t="str">
        <f t="shared" si="3"/>
        <v/>
      </c>
      <c r="M1000" s="17" t="str">
        <f t="shared" si="4"/>
        <v/>
      </c>
    </row>
    <row r="1001" ht="15.75" customHeight="1">
      <c r="A1001" s="12"/>
      <c r="B1001" s="11"/>
      <c r="C1001" s="11"/>
      <c r="D1001" s="11"/>
      <c r="E1001" s="11" t="str">
        <f>IF(J1001="","", C1001 * IFERROR(VLOOKUP(J1001, SETUP!$A:$D, 3, FALSE), 0))</f>
        <v/>
      </c>
      <c r="F1001" s="11" t="str">
        <f>IF(J1001="","", C1001 * IFERROR(VLOOKUP(J1001, SETUP!$A:$D, 4, FALSE), 0))</f>
        <v/>
      </c>
      <c r="G1001" s="11" t="str">
        <f t="shared" si="1"/>
        <v/>
      </c>
      <c r="H1001" s="22"/>
      <c r="I1001" s="11"/>
      <c r="J1001" s="17" t="str">
        <f>IF(TRIM(B1001)="","",IF(ISNUMBER(SEARCH(" - ",B1001)),TRIM(RIGHT(B1001,LEN(B1001)-FIND(" - ",B1001)-2)),IFERROR(VLOOKUP(UPPER(TRIM(B1001)), SETUP!$B$4:$C$11, 2, FALSE), UPPER(TRIM(B1001)))))</f>
        <v/>
      </c>
      <c r="K1001" s="23" t="str">
        <f t="shared" si="2"/>
        <v/>
      </c>
      <c r="L1001" s="17" t="str">
        <f t="shared" si="3"/>
        <v/>
      </c>
      <c r="M1001" s="17" t="str">
        <f t="shared" si="4"/>
        <v/>
      </c>
    </row>
    <row r="1002" ht="15.75" customHeight="1">
      <c r="A1002" s="12"/>
      <c r="B1002" s="11"/>
      <c r="C1002" s="11"/>
      <c r="D1002" s="11"/>
      <c r="E1002" s="11" t="str">
        <f>IF(J1002="","", C1002 * IFERROR(VLOOKUP(J1002, SETUP!$A:$D, 3, FALSE), 0))</f>
        <v/>
      </c>
      <c r="F1002" s="11" t="str">
        <f>IF(J1002="","", C1002 * IFERROR(VLOOKUP(J1002, SETUP!$A:$D, 4, FALSE), 0))</f>
        <v/>
      </c>
      <c r="G1002" s="11" t="str">
        <f t="shared" si="1"/>
        <v/>
      </c>
      <c r="H1002" s="22"/>
      <c r="I1002" s="11"/>
      <c r="J1002" s="17" t="str">
        <f>IF(TRIM(B1002)="","",IF(ISNUMBER(SEARCH(" - ",B1002)),TRIM(RIGHT(B1002,LEN(B1002)-FIND(" - ",B1002)-2)),IFERROR(VLOOKUP(UPPER(TRIM(B1002)), SETUP!$B$4:$C$11, 2, FALSE), UPPER(TRIM(B1002)))))</f>
        <v/>
      </c>
      <c r="K1002" s="23" t="str">
        <f t="shared" si="2"/>
        <v/>
      </c>
      <c r="L1002" s="17" t="str">
        <f t="shared" si="3"/>
        <v/>
      </c>
      <c r="M1002" s="17" t="str">
        <f t="shared" si="4"/>
        <v/>
      </c>
    </row>
    <row r="1003" ht="15.75" customHeight="1">
      <c r="A1003" s="12"/>
      <c r="B1003" s="11"/>
      <c r="C1003" s="11"/>
      <c r="D1003" s="11"/>
      <c r="E1003" s="11" t="str">
        <f>IF(J1003="","", C1003 * IFERROR(VLOOKUP(J1003, SETUP!$A:$D, 3, FALSE), 0))</f>
        <v/>
      </c>
      <c r="F1003" s="11" t="str">
        <f>IF(J1003="","", C1003 * IFERROR(VLOOKUP(J1003, SETUP!$A:$D, 4, FALSE), 0))</f>
        <v/>
      </c>
      <c r="G1003" s="11" t="str">
        <f t="shared" si="1"/>
        <v/>
      </c>
      <c r="H1003" s="22"/>
      <c r="I1003" s="11"/>
      <c r="J1003" s="17" t="str">
        <f>IF(TRIM(B1003)="","",IF(ISNUMBER(SEARCH(" - ",B1003)),TRIM(RIGHT(B1003,LEN(B1003)-FIND(" - ",B1003)-2)),IFERROR(VLOOKUP(UPPER(TRIM(B1003)), SETUP!$B$4:$C$11, 2, FALSE), UPPER(TRIM(B1003)))))</f>
        <v/>
      </c>
      <c r="K1003" s="23" t="str">
        <f t="shared" si="2"/>
        <v/>
      </c>
      <c r="L1003" s="17" t="str">
        <f t="shared" si="3"/>
        <v/>
      </c>
      <c r="M1003" s="17" t="str">
        <f t="shared" si="4"/>
        <v/>
      </c>
    </row>
    <row r="1004" ht="15.75" customHeight="1">
      <c r="A1004" s="12"/>
      <c r="B1004" s="11"/>
      <c r="C1004" s="11"/>
      <c r="D1004" s="11"/>
      <c r="E1004" s="11" t="str">
        <f>IF(J1004="","", C1004 * IFERROR(VLOOKUP(J1004, SETUP!$A:$D, 3, FALSE), 0))</f>
        <v/>
      </c>
      <c r="F1004" s="11" t="str">
        <f>IF(J1004="","", C1004 * IFERROR(VLOOKUP(J1004, SETUP!$A:$D, 4, FALSE), 0))</f>
        <v/>
      </c>
      <c r="G1004" s="11" t="str">
        <f t="shared" si="1"/>
        <v/>
      </c>
      <c r="H1004" s="22"/>
      <c r="I1004" s="11"/>
      <c r="J1004" s="17" t="str">
        <f>IF(TRIM(B1004)="","",IF(ISNUMBER(SEARCH(" - ",B1004)),TRIM(RIGHT(B1004,LEN(B1004)-FIND(" - ",B1004)-2)),IFERROR(VLOOKUP(UPPER(TRIM(B1004)), SETUP!$B$4:$C$11, 2, FALSE), UPPER(TRIM(B1004)))))</f>
        <v/>
      </c>
      <c r="K1004" s="23" t="str">
        <f t="shared" si="2"/>
        <v/>
      </c>
      <c r="L1004" s="17" t="str">
        <f t="shared" si="3"/>
        <v/>
      </c>
      <c r="M1004" s="17" t="str">
        <f t="shared" si="4"/>
        <v/>
      </c>
    </row>
    <row r="1005" ht="15.75" customHeight="1">
      <c r="A1005" s="12"/>
      <c r="B1005" s="11"/>
      <c r="C1005" s="11"/>
      <c r="D1005" s="11"/>
      <c r="E1005" s="11" t="str">
        <f>IF(J1005="","", C1005 * IFERROR(VLOOKUP(J1005, SETUP!$A:$D, 3, FALSE), 0))</f>
        <v/>
      </c>
      <c r="F1005" s="11" t="str">
        <f>IF(J1005="","", C1005 * IFERROR(VLOOKUP(J1005, SETUP!$A:$D, 4, FALSE), 0))</f>
        <v/>
      </c>
      <c r="G1005" s="11" t="str">
        <f t="shared" si="1"/>
        <v/>
      </c>
      <c r="H1005" s="22"/>
      <c r="I1005" s="11"/>
      <c r="J1005" s="17" t="str">
        <f>IF(TRIM(B1005)="","",IF(ISNUMBER(SEARCH(" - ",B1005)),TRIM(RIGHT(B1005,LEN(B1005)-FIND(" - ",B1005)-2)),IFERROR(VLOOKUP(UPPER(TRIM(B1005)), SETUP!$B$4:$C$11, 2, FALSE), UPPER(TRIM(B1005)))))</f>
        <v/>
      </c>
      <c r="K1005" s="23" t="str">
        <f t="shared" si="2"/>
        <v/>
      </c>
      <c r="L1005" s="17" t="str">
        <f t="shared" si="3"/>
        <v/>
      </c>
      <c r="M1005" s="17" t="str">
        <f t="shared" si="4"/>
        <v/>
      </c>
    </row>
    <row r="1006" ht="15.75" customHeight="1">
      <c r="A1006" s="12"/>
      <c r="B1006" s="11"/>
      <c r="C1006" s="11"/>
      <c r="D1006" s="11"/>
      <c r="E1006" s="11" t="str">
        <f>IF(J1006="","", C1006 * IFERROR(VLOOKUP(J1006, SETUP!$A:$D, 3, FALSE), 0))</f>
        <v/>
      </c>
      <c r="F1006" s="11" t="str">
        <f>IF(J1006="","", C1006 * IFERROR(VLOOKUP(J1006, SETUP!$A:$D, 4, FALSE), 0))</f>
        <v/>
      </c>
      <c r="G1006" s="11" t="str">
        <f t="shared" si="1"/>
        <v/>
      </c>
      <c r="H1006" s="22"/>
      <c r="I1006" s="11"/>
      <c r="J1006" s="17" t="str">
        <f>IF(TRIM(B1006)="","",IF(ISNUMBER(SEARCH(" - ",B1006)),TRIM(RIGHT(B1006,LEN(B1006)-FIND(" - ",B1006)-2)),IFERROR(VLOOKUP(UPPER(TRIM(B1006)), SETUP!$B$4:$C$11, 2, FALSE), UPPER(TRIM(B1006)))))</f>
        <v/>
      </c>
      <c r="K1006" s="23" t="str">
        <f t="shared" si="2"/>
        <v/>
      </c>
      <c r="L1006" s="17" t="str">
        <f t="shared" si="3"/>
        <v/>
      </c>
      <c r="M1006" s="17" t="str">
        <f t="shared" si="4"/>
        <v/>
      </c>
    </row>
    <row r="1007" ht="15.75" customHeight="1">
      <c r="A1007" s="12"/>
      <c r="B1007" s="11"/>
      <c r="C1007" s="11"/>
      <c r="D1007" s="11"/>
      <c r="E1007" s="11" t="str">
        <f>IF(J1007="","", C1007 * IFERROR(VLOOKUP(J1007, SETUP!$A:$D, 3, FALSE), 0))</f>
        <v/>
      </c>
      <c r="F1007" s="11" t="str">
        <f>IF(J1007="","", C1007 * IFERROR(VLOOKUP(J1007, SETUP!$A:$D, 4, FALSE), 0))</f>
        <v/>
      </c>
      <c r="G1007" s="11" t="str">
        <f t="shared" si="1"/>
        <v/>
      </c>
      <c r="H1007" s="22"/>
      <c r="I1007" s="11"/>
      <c r="J1007" s="17" t="str">
        <f>IF(TRIM(B1007)="","",IF(ISNUMBER(SEARCH(" - ",B1007)),TRIM(RIGHT(B1007,LEN(B1007)-FIND(" - ",B1007)-2)),IFERROR(VLOOKUP(UPPER(TRIM(B1007)), SETUP!$B$4:$C$11, 2, FALSE), UPPER(TRIM(B1007)))))</f>
        <v/>
      </c>
      <c r="K1007" s="23" t="str">
        <f t="shared" si="2"/>
        <v/>
      </c>
      <c r="L1007" s="17" t="str">
        <f t="shared" si="3"/>
        <v/>
      </c>
      <c r="M1007" s="17" t="str">
        <f t="shared" si="4"/>
        <v/>
      </c>
    </row>
    <row r="1008" ht="15.75" customHeight="1">
      <c r="A1008" s="12"/>
      <c r="B1008" s="11"/>
      <c r="C1008" s="11"/>
      <c r="D1008" s="11"/>
      <c r="E1008" s="11" t="str">
        <f>IF(J1008="","", C1008 * IFERROR(VLOOKUP(J1008, SETUP!$A:$D, 3, FALSE), 0))</f>
        <v/>
      </c>
      <c r="F1008" s="11" t="str">
        <f>IF(J1008="","", C1008 * IFERROR(VLOOKUP(J1008, SETUP!$A:$D, 4, FALSE), 0))</f>
        <v/>
      </c>
      <c r="G1008" s="11" t="str">
        <f t="shared" si="1"/>
        <v/>
      </c>
      <c r="H1008" s="22"/>
      <c r="I1008" s="11"/>
      <c r="J1008" s="17" t="str">
        <f>IF(TRIM(B1008)="","",IF(ISNUMBER(SEARCH(" - ",B1008)),TRIM(RIGHT(B1008,LEN(B1008)-FIND(" - ",B1008)-2)),IFERROR(VLOOKUP(UPPER(TRIM(B1008)), SETUP!$B$4:$C$11, 2, FALSE), UPPER(TRIM(B1008)))))</f>
        <v/>
      </c>
      <c r="K1008" s="23" t="str">
        <f t="shared" si="2"/>
        <v/>
      </c>
      <c r="L1008" s="17" t="str">
        <f t="shared" si="3"/>
        <v/>
      </c>
      <c r="M1008" s="17" t="str">
        <f t="shared" si="4"/>
        <v/>
      </c>
    </row>
    <row r="1009" ht="15.75" customHeight="1">
      <c r="A1009" s="12"/>
      <c r="B1009" s="11"/>
      <c r="C1009" s="11"/>
      <c r="D1009" s="11"/>
      <c r="E1009" s="11" t="str">
        <f>IF(J1009="","", C1009 * IFERROR(VLOOKUP(J1009, SETUP!$A:$D, 3, FALSE), 0))</f>
        <v/>
      </c>
      <c r="F1009" s="11" t="str">
        <f>IF(J1009="","", C1009 * IFERROR(VLOOKUP(J1009, SETUP!$A:$D, 4, FALSE), 0))</f>
        <v/>
      </c>
      <c r="G1009" s="11" t="str">
        <f t="shared" si="1"/>
        <v/>
      </c>
      <c r="H1009" s="22"/>
      <c r="I1009" s="11"/>
      <c r="J1009" s="17" t="str">
        <f>IF(TRIM(B1009)="","",IF(ISNUMBER(SEARCH(" - ",B1009)),TRIM(RIGHT(B1009,LEN(B1009)-FIND(" - ",B1009)-2)),IFERROR(VLOOKUP(UPPER(TRIM(B1009)), SETUP!$B$4:$C$11, 2, FALSE), UPPER(TRIM(B1009)))))</f>
        <v/>
      </c>
      <c r="K1009" s="23" t="str">
        <f t="shared" si="2"/>
        <v/>
      </c>
      <c r="L1009" s="17" t="str">
        <f t="shared" si="3"/>
        <v/>
      </c>
      <c r="M1009" s="17" t="str">
        <f t="shared" si="4"/>
        <v/>
      </c>
    </row>
    <row r="1010" ht="15.75" customHeight="1">
      <c r="A1010" s="12"/>
      <c r="B1010" s="11"/>
      <c r="C1010" s="11"/>
      <c r="D1010" s="11"/>
      <c r="E1010" s="11" t="str">
        <f>IF(J1010="","", C1010 * IFERROR(VLOOKUP(J1010, SETUP!$A:$D, 3, FALSE), 0))</f>
        <v/>
      </c>
      <c r="F1010" s="11" t="str">
        <f>IF(J1010="","", C1010 * IFERROR(VLOOKUP(J1010, SETUP!$A:$D, 4, FALSE), 0))</f>
        <v/>
      </c>
      <c r="G1010" s="11" t="str">
        <f t="shared" si="1"/>
        <v/>
      </c>
      <c r="H1010" s="22"/>
      <c r="I1010" s="11"/>
      <c r="J1010" s="17" t="str">
        <f>IF(TRIM(B1010)="","",IF(ISNUMBER(SEARCH(" - ",B1010)),TRIM(RIGHT(B1010,LEN(B1010)-FIND(" - ",B1010)-2)),IFERROR(VLOOKUP(UPPER(TRIM(B1010)), SETUP!$B$4:$C$11, 2, FALSE), UPPER(TRIM(B1010)))))</f>
        <v/>
      </c>
      <c r="K1010" s="23" t="str">
        <f t="shared" si="2"/>
        <v/>
      </c>
      <c r="L1010" s="17" t="str">
        <f t="shared" si="3"/>
        <v/>
      </c>
      <c r="M1010" s="17" t="str">
        <f t="shared" si="4"/>
        <v/>
      </c>
    </row>
    <row r="1011" ht="15.75" customHeight="1">
      <c r="A1011" s="12"/>
      <c r="B1011" s="11"/>
      <c r="C1011" s="11"/>
      <c r="D1011" s="11"/>
      <c r="E1011" s="11" t="str">
        <f>IF(J1011="","", C1011 * IFERROR(VLOOKUP(J1011, SETUP!$A:$D, 3, FALSE), 0))</f>
        <v/>
      </c>
      <c r="F1011" s="11" t="str">
        <f>IF(J1011="","", C1011 * IFERROR(VLOOKUP(J1011, SETUP!$A:$D, 4, FALSE), 0))</f>
        <v/>
      </c>
      <c r="G1011" s="11" t="str">
        <f t="shared" si="1"/>
        <v/>
      </c>
      <c r="H1011" s="22"/>
      <c r="I1011" s="11"/>
      <c r="J1011" s="17" t="str">
        <f>IF(TRIM(B1011)="","",IF(ISNUMBER(SEARCH(" - ",B1011)),TRIM(RIGHT(B1011,LEN(B1011)-FIND(" - ",B1011)-2)),IFERROR(VLOOKUP(UPPER(TRIM(B1011)), SETUP!$B$4:$C$11, 2, FALSE), UPPER(TRIM(B1011)))))</f>
        <v/>
      </c>
      <c r="K1011" s="23" t="str">
        <f t="shared" si="2"/>
        <v/>
      </c>
      <c r="L1011" s="17" t="str">
        <f t="shared" si="3"/>
        <v/>
      </c>
      <c r="M1011" s="17" t="str">
        <f t="shared" si="4"/>
        <v/>
      </c>
    </row>
    <row r="1012" ht="15.75" customHeight="1">
      <c r="A1012" s="12"/>
      <c r="B1012" s="11"/>
      <c r="C1012" s="11"/>
      <c r="D1012" s="11"/>
      <c r="E1012" s="11" t="str">
        <f>IF(J1012="","", C1012 * IFERROR(VLOOKUP(J1012, SETUP!$A:$D, 3, FALSE), 0))</f>
        <v/>
      </c>
      <c r="F1012" s="11" t="str">
        <f>IF(J1012="","", C1012 * IFERROR(VLOOKUP(J1012, SETUP!$A:$D, 4, FALSE), 0))</f>
        <v/>
      </c>
      <c r="G1012" s="11" t="str">
        <f t="shared" si="1"/>
        <v/>
      </c>
      <c r="H1012" s="22"/>
      <c r="I1012" s="11"/>
      <c r="J1012" s="17" t="str">
        <f>IF(TRIM(B1012)="","",IF(ISNUMBER(SEARCH(" - ",B1012)),TRIM(RIGHT(B1012,LEN(B1012)-FIND(" - ",B1012)-2)),IFERROR(VLOOKUP(UPPER(TRIM(B1012)), SETUP!$B$4:$C$11, 2, FALSE), UPPER(TRIM(B1012)))))</f>
        <v/>
      </c>
      <c r="K1012" s="23" t="str">
        <f t="shared" si="2"/>
        <v/>
      </c>
      <c r="L1012" s="17" t="str">
        <f t="shared" si="3"/>
        <v/>
      </c>
      <c r="M1012" s="17" t="str">
        <f t="shared" si="4"/>
        <v/>
      </c>
    </row>
    <row r="1013" ht="15.75" customHeight="1">
      <c r="A1013" s="12"/>
      <c r="B1013" s="11"/>
      <c r="C1013" s="11"/>
      <c r="D1013" s="11"/>
      <c r="E1013" s="11" t="str">
        <f>IF(J1013="","", C1013 * IFERROR(VLOOKUP(J1013, SETUP!$A:$D, 3, FALSE), 0))</f>
        <v/>
      </c>
      <c r="F1013" s="11" t="str">
        <f>IF(J1013="","", C1013 * IFERROR(VLOOKUP(J1013, SETUP!$A:$D, 4, FALSE), 0))</f>
        <v/>
      </c>
      <c r="G1013" s="11" t="str">
        <f t="shared" si="1"/>
        <v/>
      </c>
      <c r="H1013" s="22"/>
      <c r="I1013" s="11"/>
      <c r="J1013" s="17" t="str">
        <f>IF(TRIM(B1013)="","",IF(ISNUMBER(SEARCH(" - ",B1013)),TRIM(RIGHT(B1013,LEN(B1013)-FIND(" - ",B1013)-2)),IFERROR(VLOOKUP(UPPER(TRIM(B1013)), SETUP!$B$4:$C$11, 2, FALSE), UPPER(TRIM(B1013)))))</f>
        <v/>
      </c>
      <c r="K1013" s="23" t="str">
        <f t="shared" si="2"/>
        <v/>
      </c>
      <c r="L1013" s="17" t="str">
        <f t="shared" si="3"/>
        <v/>
      </c>
      <c r="M1013" s="17" t="str">
        <f t="shared" si="4"/>
        <v/>
      </c>
    </row>
    <row r="1014" ht="15.75" customHeight="1">
      <c r="A1014" s="12"/>
      <c r="B1014" s="11"/>
      <c r="C1014" s="11"/>
      <c r="D1014" s="11"/>
      <c r="E1014" s="11" t="str">
        <f>IF(J1014="","", C1014 * IFERROR(VLOOKUP(J1014, SETUP!$A:$D, 3, FALSE), 0))</f>
        <v/>
      </c>
      <c r="F1014" s="11" t="str">
        <f>IF(J1014="","", C1014 * IFERROR(VLOOKUP(J1014, SETUP!$A:$D, 4, FALSE), 0))</f>
        <v/>
      </c>
      <c r="G1014" s="11" t="str">
        <f t="shared" si="1"/>
        <v/>
      </c>
      <c r="H1014" s="22"/>
      <c r="I1014" s="11"/>
      <c r="J1014" s="17" t="str">
        <f>IF(TRIM(B1014)="","",IF(ISNUMBER(SEARCH(" - ",B1014)),TRIM(RIGHT(B1014,LEN(B1014)-FIND(" - ",B1014)-2)),IFERROR(VLOOKUP(UPPER(TRIM(B1014)), SETUP!$B$4:$C$11, 2, FALSE), UPPER(TRIM(B1014)))))</f>
        <v/>
      </c>
      <c r="K1014" s="23" t="str">
        <f t="shared" si="2"/>
        <v/>
      </c>
      <c r="L1014" s="17" t="str">
        <f t="shared" si="3"/>
        <v/>
      </c>
      <c r="M1014" s="17" t="str">
        <f t="shared" si="4"/>
        <v/>
      </c>
    </row>
    <row r="1015" ht="15.75" customHeight="1">
      <c r="A1015" s="12"/>
      <c r="B1015" s="11"/>
      <c r="C1015" s="11"/>
      <c r="D1015" s="11"/>
      <c r="E1015" s="11" t="str">
        <f>IF(J1015="","", C1015 * IFERROR(VLOOKUP(J1015, SETUP!$A:$D, 3, FALSE), 0))</f>
        <v/>
      </c>
      <c r="F1015" s="11" t="str">
        <f>IF(J1015="","", C1015 * IFERROR(VLOOKUP(J1015, SETUP!$A:$D, 4, FALSE), 0))</f>
        <v/>
      </c>
      <c r="G1015" s="11" t="str">
        <f t="shared" si="1"/>
        <v/>
      </c>
      <c r="H1015" s="22"/>
      <c r="I1015" s="11"/>
      <c r="J1015" s="17" t="str">
        <f>IF(TRIM(B1015)="","",IF(ISNUMBER(SEARCH(" - ",B1015)),TRIM(RIGHT(B1015,LEN(B1015)-FIND(" - ",B1015)-2)),IFERROR(VLOOKUP(UPPER(TRIM(B1015)), SETUP!$B$4:$C$11, 2, FALSE), UPPER(TRIM(B1015)))))</f>
        <v/>
      </c>
      <c r="K1015" s="23" t="str">
        <f t="shared" si="2"/>
        <v/>
      </c>
      <c r="L1015" s="17" t="str">
        <f t="shared" si="3"/>
        <v/>
      </c>
      <c r="M1015" s="17" t="str">
        <f t="shared" si="4"/>
        <v/>
      </c>
    </row>
    <row r="1016" ht="15.75" customHeight="1">
      <c r="A1016" s="12"/>
      <c r="B1016" s="11"/>
      <c r="C1016" s="11"/>
      <c r="D1016" s="11"/>
      <c r="E1016" s="11" t="str">
        <f>IF(J1016="","", C1016 * IFERROR(VLOOKUP(J1016, SETUP!$A:$D, 3, FALSE), 0))</f>
        <v/>
      </c>
      <c r="F1016" s="11" t="str">
        <f>IF(J1016="","", C1016 * IFERROR(VLOOKUP(J1016, SETUP!$A:$D, 4, FALSE), 0))</f>
        <v/>
      </c>
      <c r="G1016" s="11" t="str">
        <f t="shared" si="1"/>
        <v/>
      </c>
      <c r="H1016" s="22"/>
      <c r="I1016" s="11"/>
      <c r="J1016" s="17" t="str">
        <f>IF(TRIM(B1016)="","",IF(ISNUMBER(SEARCH(" - ",B1016)),TRIM(RIGHT(B1016,LEN(B1016)-FIND(" - ",B1016)-2)),IFERROR(VLOOKUP(UPPER(TRIM(B1016)), SETUP!$B$4:$C$11, 2, FALSE), UPPER(TRIM(B1016)))))</f>
        <v/>
      </c>
      <c r="K1016" s="23" t="str">
        <f t="shared" si="2"/>
        <v/>
      </c>
      <c r="L1016" s="17" t="str">
        <f t="shared" si="3"/>
        <v/>
      </c>
      <c r="M1016" s="17" t="str">
        <f t="shared" si="4"/>
        <v/>
      </c>
    </row>
    <row r="1017" ht="15.75" customHeight="1">
      <c r="A1017" s="12"/>
      <c r="B1017" s="11"/>
      <c r="C1017" s="11"/>
      <c r="D1017" s="11"/>
      <c r="E1017" s="11" t="str">
        <f>IF(J1017="","", C1017 * IFERROR(VLOOKUP(J1017, SETUP!$A:$D, 3, FALSE), 0))</f>
        <v/>
      </c>
      <c r="F1017" s="11" t="str">
        <f>IF(J1017="","", C1017 * IFERROR(VLOOKUP(J1017, SETUP!$A:$D, 4, FALSE), 0))</f>
        <v/>
      </c>
      <c r="G1017" s="11" t="str">
        <f t="shared" si="1"/>
        <v/>
      </c>
      <c r="H1017" s="22"/>
      <c r="I1017" s="11"/>
      <c r="J1017" s="17" t="str">
        <f>IF(TRIM(B1017)="","",IF(ISNUMBER(SEARCH(" - ",B1017)),TRIM(RIGHT(B1017,LEN(B1017)-FIND(" - ",B1017)-2)),IFERROR(VLOOKUP(UPPER(TRIM(B1017)), SETUP!$B$4:$C$11, 2, FALSE), UPPER(TRIM(B1017)))))</f>
        <v/>
      </c>
      <c r="K1017" s="23" t="str">
        <f t="shared" si="2"/>
        <v/>
      </c>
      <c r="L1017" s="17" t="str">
        <f t="shared" si="3"/>
        <v/>
      </c>
      <c r="M1017" s="17" t="str">
        <f t="shared" si="4"/>
        <v/>
      </c>
    </row>
    <row r="1018" ht="15.75" customHeight="1">
      <c r="A1018" s="12"/>
      <c r="B1018" s="11"/>
      <c r="C1018" s="11"/>
      <c r="D1018" s="11"/>
      <c r="E1018" s="11" t="str">
        <f>IF(J1018="","", C1018 * IFERROR(VLOOKUP(J1018, SETUP!$A:$D, 3, FALSE), 0))</f>
        <v/>
      </c>
      <c r="F1018" s="11" t="str">
        <f>IF(J1018="","", C1018 * IFERROR(VLOOKUP(J1018, SETUP!$A:$D, 4, FALSE), 0))</f>
        <v/>
      </c>
      <c r="G1018" s="11" t="str">
        <f t="shared" si="1"/>
        <v/>
      </c>
      <c r="H1018" s="22"/>
      <c r="I1018" s="11"/>
      <c r="J1018" s="17" t="str">
        <f>IF(TRIM(B1018)="","",IF(ISNUMBER(SEARCH(" - ",B1018)),TRIM(RIGHT(B1018,LEN(B1018)-FIND(" - ",B1018)-2)),IFERROR(VLOOKUP(UPPER(TRIM(B1018)), SETUP!$B$4:$C$11, 2, FALSE), UPPER(TRIM(B1018)))))</f>
        <v/>
      </c>
      <c r="K1018" s="23" t="str">
        <f t="shared" si="2"/>
        <v/>
      </c>
      <c r="L1018" s="17" t="str">
        <f t="shared" si="3"/>
        <v/>
      </c>
      <c r="M1018" s="17" t="str">
        <f t="shared" si="4"/>
        <v/>
      </c>
    </row>
    <row r="1019" ht="15.75" customHeight="1">
      <c r="A1019" s="12"/>
      <c r="B1019" s="11"/>
      <c r="C1019" s="11"/>
      <c r="D1019" s="11"/>
      <c r="E1019" s="11" t="str">
        <f>IF(J1019="","", C1019 * IFERROR(VLOOKUP(J1019, SETUP!$A:$D, 3, FALSE), 0))</f>
        <v/>
      </c>
      <c r="F1019" s="11" t="str">
        <f>IF(J1019="","", C1019 * IFERROR(VLOOKUP(J1019, SETUP!$A:$D, 4, FALSE), 0))</f>
        <v/>
      </c>
      <c r="G1019" s="11" t="str">
        <f t="shared" si="1"/>
        <v/>
      </c>
      <c r="H1019" s="22"/>
      <c r="I1019" s="11"/>
      <c r="J1019" s="17" t="str">
        <f>IF(TRIM(B1019)="","",IF(ISNUMBER(SEARCH(" - ",B1019)),TRIM(RIGHT(B1019,LEN(B1019)-FIND(" - ",B1019)-2)),IFERROR(VLOOKUP(UPPER(TRIM(B1019)), SETUP!$B$4:$C$11, 2, FALSE), UPPER(TRIM(B1019)))))</f>
        <v/>
      </c>
      <c r="K1019" s="23" t="str">
        <f t="shared" si="2"/>
        <v/>
      </c>
      <c r="L1019" s="17" t="str">
        <f t="shared" si="3"/>
        <v/>
      </c>
      <c r="M1019" s="17" t="str">
        <f t="shared" si="4"/>
        <v/>
      </c>
    </row>
    <row r="1020" ht="15.75" customHeight="1">
      <c r="A1020" s="12"/>
      <c r="B1020" s="11"/>
      <c r="C1020" s="11"/>
      <c r="D1020" s="11"/>
      <c r="E1020" s="11" t="str">
        <f>IF(J1020="","", C1020 * IFERROR(VLOOKUP(J1020, SETUP!$A:$D, 3, FALSE), 0))</f>
        <v/>
      </c>
      <c r="F1020" s="11" t="str">
        <f>IF(J1020="","", C1020 * IFERROR(VLOOKUP(J1020, SETUP!$A:$D, 4, FALSE), 0))</f>
        <v/>
      </c>
      <c r="G1020" s="11" t="str">
        <f t="shared" si="1"/>
        <v/>
      </c>
      <c r="H1020" s="22"/>
      <c r="I1020" s="11"/>
      <c r="J1020" s="17" t="str">
        <f>IF(TRIM(B1020)="","",IF(ISNUMBER(SEARCH(" - ",B1020)),TRIM(RIGHT(B1020,LEN(B1020)-FIND(" - ",B1020)-2)),IFERROR(VLOOKUP(UPPER(TRIM(B1020)), SETUP!$B$4:$C$11, 2, FALSE), UPPER(TRIM(B1020)))))</f>
        <v/>
      </c>
      <c r="K1020" s="23" t="str">
        <f t="shared" si="2"/>
        <v/>
      </c>
      <c r="L1020" s="17" t="str">
        <f t="shared" si="3"/>
        <v/>
      </c>
      <c r="M1020" s="17" t="str">
        <f t="shared" si="4"/>
        <v/>
      </c>
    </row>
    <row r="1021" ht="15.75" customHeight="1">
      <c r="A1021" s="12"/>
      <c r="B1021" s="11"/>
      <c r="C1021" s="11"/>
      <c r="D1021" s="11"/>
      <c r="E1021" s="11" t="str">
        <f>IF(J1021="","", C1021 * IFERROR(VLOOKUP(J1021, SETUP!$A:$D, 3, FALSE), 0))</f>
        <v/>
      </c>
      <c r="F1021" s="11" t="str">
        <f>IF(J1021="","", C1021 * IFERROR(VLOOKUP(J1021, SETUP!$A:$D, 4, FALSE), 0))</f>
        <v/>
      </c>
      <c r="G1021" s="11" t="str">
        <f t="shared" si="1"/>
        <v/>
      </c>
      <c r="H1021" s="22"/>
      <c r="I1021" s="11"/>
      <c r="J1021" s="17" t="str">
        <f>IF(TRIM(B1021)="","",IF(ISNUMBER(SEARCH(" - ",B1021)),TRIM(RIGHT(B1021,LEN(B1021)-FIND(" - ",B1021)-2)),IFERROR(VLOOKUP(UPPER(TRIM(B1021)), SETUP!$B$4:$C$11, 2, FALSE), UPPER(TRIM(B1021)))))</f>
        <v/>
      </c>
      <c r="K1021" s="23" t="str">
        <f t="shared" si="2"/>
        <v/>
      </c>
      <c r="L1021" s="17" t="str">
        <f t="shared" si="3"/>
        <v/>
      </c>
      <c r="M1021" s="17" t="str">
        <f t="shared" si="4"/>
        <v/>
      </c>
    </row>
    <row r="1022" ht="15.75" customHeight="1">
      <c r="A1022" s="12"/>
      <c r="B1022" s="11"/>
      <c r="C1022" s="11"/>
      <c r="D1022" s="11"/>
      <c r="E1022" s="11" t="str">
        <f>IF(J1022="","", C1022 * IFERROR(VLOOKUP(J1022, SETUP!$A:$D, 3, FALSE), 0))</f>
        <v/>
      </c>
      <c r="F1022" s="11" t="str">
        <f>IF(J1022="","", C1022 * IFERROR(VLOOKUP(J1022, SETUP!$A:$D, 4, FALSE), 0))</f>
        <v/>
      </c>
      <c r="G1022" s="11" t="str">
        <f t="shared" si="1"/>
        <v/>
      </c>
      <c r="H1022" s="22"/>
      <c r="I1022" s="11"/>
      <c r="J1022" s="17" t="str">
        <f>IF(TRIM(B1022)="","",IF(ISNUMBER(SEARCH(" - ",B1022)),TRIM(RIGHT(B1022,LEN(B1022)-FIND(" - ",B1022)-2)),IFERROR(VLOOKUP(UPPER(TRIM(B1022)), SETUP!$B$4:$C$11, 2, FALSE), UPPER(TRIM(B1022)))))</f>
        <v/>
      </c>
      <c r="K1022" s="23" t="str">
        <f t="shared" si="2"/>
        <v/>
      </c>
      <c r="L1022" s="17" t="str">
        <f t="shared" si="3"/>
        <v/>
      </c>
      <c r="M1022" s="17" t="str">
        <f t="shared" si="4"/>
        <v/>
      </c>
    </row>
    <row r="1023" ht="15.75" customHeight="1">
      <c r="A1023" s="12"/>
      <c r="B1023" s="11"/>
      <c r="C1023" s="11"/>
      <c r="D1023" s="11"/>
      <c r="E1023" s="11" t="str">
        <f>IF(J1023="","", C1023 * IFERROR(VLOOKUP(J1023, SETUP!$A:$D, 3, FALSE), 0))</f>
        <v/>
      </c>
      <c r="F1023" s="11" t="str">
        <f>IF(J1023="","", C1023 * IFERROR(VLOOKUP(J1023, SETUP!$A:$D, 4, FALSE), 0))</f>
        <v/>
      </c>
      <c r="G1023" s="11" t="str">
        <f t="shared" si="1"/>
        <v/>
      </c>
      <c r="H1023" s="22"/>
      <c r="I1023" s="11"/>
      <c r="J1023" s="17" t="str">
        <f>IF(TRIM(B1023)="","",IF(ISNUMBER(SEARCH(" - ",B1023)),TRIM(RIGHT(B1023,LEN(B1023)-FIND(" - ",B1023)-2)),IFERROR(VLOOKUP(UPPER(TRIM(B1023)), SETUP!$B$4:$C$11, 2, FALSE), UPPER(TRIM(B1023)))))</f>
        <v/>
      </c>
      <c r="K1023" s="23" t="str">
        <f t="shared" si="2"/>
        <v/>
      </c>
      <c r="L1023" s="17" t="str">
        <f t="shared" si="3"/>
        <v/>
      </c>
      <c r="M1023" s="17" t="str">
        <f t="shared" si="4"/>
        <v/>
      </c>
    </row>
    <row r="1024" ht="15.75" customHeight="1">
      <c r="A1024" s="12"/>
      <c r="B1024" s="11"/>
      <c r="C1024" s="11"/>
      <c r="D1024" s="11"/>
      <c r="E1024" s="11" t="str">
        <f>IF(J1024="","", C1024 * IFERROR(VLOOKUP(J1024, SETUP!$A:$D, 3, FALSE), 0))</f>
        <v/>
      </c>
      <c r="F1024" s="11" t="str">
        <f>IF(J1024="","", C1024 * IFERROR(VLOOKUP(J1024, SETUP!$A:$D, 4, FALSE), 0))</f>
        <v/>
      </c>
      <c r="G1024" s="11" t="str">
        <f t="shared" si="1"/>
        <v/>
      </c>
      <c r="H1024" s="22"/>
      <c r="I1024" s="11"/>
      <c r="J1024" s="17" t="str">
        <f>IF(TRIM(B1024)="","",IF(ISNUMBER(SEARCH(" - ",B1024)),TRIM(RIGHT(B1024,LEN(B1024)-FIND(" - ",B1024)-2)),IFERROR(VLOOKUP(UPPER(TRIM(B1024)), SETUP!$B$4:$C$11, 2, FALSE), UPPER(TRIM(B1024)))))</f>
        <v/>
      </c>
      <c r="K1024" s="23" t="str">
        <f t="shared" si="2"/>
        <v/>
      </c>
      <c r="L1024" s="17" t="str">
        <f t="shared" si="3"/>
        <v/>
      </c>
      <c r="M1024" s="17" t="str">
        <f t="shared" si="4"/>
        <v/>
      </c>
    </row>
    <row r="1025" ht="15.75" customHeight="1">
      <c r="A1025" s="12"/>
      <c r="B1025" s="11"/>
      <c r="C1025" s="11"/>
      <c r="D1025" s="11"/>
      <c r="E1025" s="11" t="str">
        <f>IF(J1025="","", C1025 * IFERROR(VLOOKUP(J1025, SETUP!$A:$D, 3, FALSE), 0))</f>
        <v/>
      </c>
      <c r="F1025" s="11" t="str">
        <f>IF(J1025="","", C1025 * IFERROR(VLOOKUP(J1025, SETUP!$A:$D, 4, FALSE), 0))</f>
        <v/>
      </c>
      <c r="G1025" s="11" t="str">
        <f t="shared" si="1"/>
        <v/>
      </c>
      <c r="H1025" s="22"/>
      <c r="I1025" s="11"/>
      <c r="J1025" s="17" t="str">
        <f>IF(TRIM(B1025)="","",IF(ISNUMBER(SEARCH(" - ",B1025)),TRIM(RIGHT(B1025,LEN(B1025)-FIND(" - ",B1025)-2)),IFERROR(VLOOKUP(UPPER(TRIM(B1025)), SETUP!$B$4:$C$11, 2, FALSE), UPPER(TRIM(B1025)))))</f>
        <v/>
      </c>
      <c r="K1025" s="23" t="str">
        <f t="shared" si="2"/>
        <v/>
      </c>
      <c r="L1025" s="17" t="str">
        <f t="shared" si="3"/>
        <v/>
      </c>
      <c r="M1025" s="17" t="str">
        <f t="shared" si="4"/>
        <v/>
      </c>
    </row>
    <row r="1026" ht="15.75" customHeight="1">
      <c r="A1026" s="12"/>
      <c r="B1026" s="11"/>
      <c r="C1026" s="11"/>
      <c r="D1026" s="11"/>
      <c r="E1026" s="11" t="str">
        <f>IF(J1026="","", C1026 * IFERROR(VLOOKUP(J1026, SETUP!$A:$D, 3, FALSE), 0))</f>
        <v/>
      </c>
      <c r="F1026" s="11" t="str">
        <f>IF(J1026="","", C1026 * IFERROR(VLOOKUP(J1026, SETUP!$A:$D, 4, FALSE), 0))</f>
        <v/>
      </c>
      <c r="G1026" s="11" t="str">
        <f t="shared" si="1"/>
        <v/>
      </c>
      <c r="H1026" s="22"/>
      <c r="I1026" s="11"/>
      <c r="J1026" s="17" t="str">
        <f>IF(TRIM(B1026)="","",IF(ISNUMBER(SEARCH(" - ",B1026)),TRIM(RIGHT(B1026,LEN(B1026)-FIND(" - ",B1026)-2)),IFERROR(VLOOKUP(UPPER(TRIM(B1026)), SETUP!$B$4:$C$11, 2, FALSE), UPPER(TRIM(B1026)))))</f>
        <v/>
      </c>
      <c r="K1026" s="23" t="str">
        <f t="shared" si="2"/>
        <v/>
      </c>
      <c r="L1026" s="17" t="str">
        <f t="shared" si="3"/>
        <v/>
      </c>
      <c r="M1026" s="17" t="str">
        <f t="shared" si="4"/>
        <v/>
      </c>
    </row>
    <row r="1027" ht="15.75" customHeight="1">
      <c r="A1027" s="12"/>
      <c r="B1027" s="11"/>
      <c r="C1027" s="11"/>
      <c r="D1027" s="11"/>
      <c r="E1027" s="11" t="str">
        <f>IF(J1027="","", C1027 * IFERROR(VLOOKUP(J1027, SETUP!$A:$D, 3, FALSE), 0))</f>
        <v/>
      </c>
      <c r="F1027" s="11" t="str">
        <f>IF(J1027="","", C1027 * IFERROR(VLOOKUP(J1027, SETUP!$A:$D, 4, FALSE), 0))</f>
        <v/>
      </c>
      <c r="G1027" s="11" t="str">
        <f t="shared" si="1"/>
        <v/>
      </c>
      <c r="H1027" s="22"/>
      <c r="I1027" s="11"/>
      <c r="J1027" s="17" t="str">
        <f>IF(TRIM(B1027)="","",IF(ISNUMBER(SEARCH(" - ",B1027)),TRIM(RIGHT(B1027,LEN(B1027)-FIND(" - ",B1027)-2)),IFERROR(VLOOKUP(UPPER(TRIM(B1027)), SETUP!$B$4:$C$11, 2, FALSE), UPPER(TRIM(B1027)))))</f>
        <v/>
      </c>
      <c r="K1027" s="23" t="str">
        <f t="shared" si="2"/>
        <v/>
      </c>
      <c r="L1027" s="17" t="str">
        <f t="shared" si="3"/>
        <v/>
      </c>
      <c r="M1027" s="17" t="str">
        <f t="shared" si="4"/>
        <v/>
      </c>
    </row>
    <row r="1028" ht="15.75" customHeight="1">
      <c r="A1028" s="12"/>
      <c r="B1028" s="11"/>
      <c r="C1028" s="11"/>
      <c r="D1028" s="11"/>
      <c r="E1028" s="11" t="str">
        <f>IF(J1028="","", C1028 * IFERROR(VLOOKUP(J1028, SETUP!$A:$D, 3, FALSE), 0))</f>
        <v/>
      </c>
      <c r="F1028" s="11" t="str">
        <f>IF(J1028="","", C1028 * IFERROR(VLOOKUP(J1028, SETUP!$A:$D, 4, FALSE), 0))</f>
        <v/>
      </c>
      <c r="G1028" s="11" t="str">
        <f t="shared" si="1"/>
        <v/>
      </c>
      <c r="H1028" s="22"/>
      <c r="I1028" s="11"/>
      <c r="J1028" s="17" t="str">
        <f>IF(TRIM(B1028)="","",IF(ISNUMBER(SEARCH(" - ",B1028)),TRIM(RIGHT(B1028,LEN(B1028)-FIND(" - ",B1028)-2)),IFERROR(VLOOKUP(UPPER(TRIM(B1028)), SETUP!$B$4:$C$11, 2, FALSE), UPPER(TRIM(B1028)))))</f>
        <v/>
      </c>
      <c r="K1028" s="23" t="str">
        <f t="shared" si="2"/>
        <v/>
      </c>
      <c r="L1028" s="17" t="str">
        <f t="shared" si="3"/>
        <v/>
      </c>
      <c r="M1028" s="17" t="str">
        <f t="shared" si="4"/>
        <v/>
      </c>
    </row>
    <row r="1029" ht="15.75" customHeight="1">
      <c r="A1029" s="12"/>
      <c r="B1029" s="11"/>
      <c r="C1029" s="11"/>
      <c r="D1029" s="11"/>
      <c r="E1029" s="11" t="str">
        <f>IF(J1029="","", C1029 * IFERROR(VLOOKUP(J1029, SETUP!$A:$D, 3, FALSE), 0))</f>
        <v/>
      </c>
      <c r="F1029" s="11" t="str">
        <f>IF(J1029="","", C1029 * IFERROR(VLOOKUP(J1029, SETUP!$A:$D, 4, FALSE), 0))</f>
        <v/>
      </c>
      <c r="G1029" s="11" t="str">
        <f t="shared" si="1"/>
        <v/>
      </c>
      <c r="H1029" s="22"/>
      <c r="I1029" s="11"/>
      <c r="J1029" s="17" t="str">
        <f>IF(TRIM(B1029)="","",IF(ISNUMBER(SEARCH(" - ",B1029)),TRIM(RIGHT(B1029,LEN(B1029)-FIND(" - ",B1029)-2)),IFERROR(VLOOKUP(UPPER(TRIM(B1029)), SETUP!$B$4:$C$11, 2, FALSE), UPPER(TRIM(B1029)))))</f>
        <v/>
      </c>
      <c r="K1029" s="23" t="str">
        <f t="shared" si="2"/>
        <v/>
      </c>
      <c r="L1029" s="17" t="str">
        <f t="shared" si="3"/>
        <v/>
      </c>
      <c r="M1029" s="17" t="str">
        <f t="shared" si="4"/>
        <v/>
      </c>
    </row>
    <row r="1030" ht="15.75" customHeight="1">
      <c r="A1030" s="12"/>
      <c r="B1030" s="11"/>
      <c r="C1030" s="11"/>
      <c r="D1030" s="11"/>
      <c r="E1030" s="11" t="str">
        <f>IF(J1030="","", C1030 * IFERROR(VLOOKUP(J1030, SETUP!$A:$D, 3, FALSE), 0))</f>
        <v/>
      </c>
      <c r="F1030" s="11" t="str">
        <f>IF(J1030="","", C1030 * IFERROR(VLOOKUP(J1030, SETUP!$A:$D, 4, FALSE), 0))</f>
        <v/>
      </c>
      <c r="G1030" s="11" t="str">
        <f t="shared" si="1"/>
        <v/>
      </c>
      <c r="H1030" s="22"/>
      <c r="I1030" s="11"/>
      <c r="J1030" s="17" t="str">
        <f>IF(TRIM(B1030)="","",IF(ISNUMBER(SEARCH(" - ",B1030)),TRIM(RIGHT(B1030,LEN(B1030)-FIND(" - ",B1030)-2)),IFERROR(VLOOKUP(UPPER(TRIM(B1030)), SETUP!$B$4:$C$11, 2, FALSE), UPPER(TRIM(B1030)))))</f>
        <v/>
      </c>
      <c r="K1030" s="23" t="str">
        <f t="shared" si="2"/>
        <v/>
      </c>
      <c r="L1030" s="17" t="str">
        <f t="shared" si="3"/>
        <v/>
      </c>
      <c r="M1030" s="17" t="str">
        <f t="shared" si="4"/>
        <v/>
      </c>
    </row>
    <row r="1031" ht="15.75" customHeight="1">
      <c r="A1031" s="12"/>
      <c r="B1031" s="11"/>
      <c r="C1031" s="11"/>
      <c r="D1031" s="11"/>
      <c r="E1031" s="11" t="str">
        <f>IF(J1031="","", C1031 * IFERROR(VLOOKUP(J1031, SETUP!$A:$D, 3, FALSE), 0))</f>
        <v/>
      </c>
      <c r="F1031" s="11" t="str">
        <f>IF(J1031="","", C1031 * IFERROR(VLOOKUP(J1031, SETUP!$A:$D, 4, FALSE), 0))</f>
        <v/>
      </c>
      <c r="G1031" s="11" t="str">
        <f t="shared" si="1"/>
        <v/>
      </c>
      <c r="H1031" s="22"/>
      <c r="I1031" s="11"/>
      <c r="J1031" s="17" t="str">
        <f>IF(TRIM(B1031)="","",IF(ISNUMBER(SEARCH(" - ",B1031)),TRIM(RIGHT(B1031,LEN(B1031)-FIND(" - ",B1031)-2)),IFERROR(VLOOKUP(UPPER(TRIM(B1031)), SETUP!$B$4:$C$11, 2, FALSE), UPPER(TRIM(B1031)))))</f>
        <v/>
      </c>
      <c r="K1031" s="23" t="str">
        <f t="shared" si="2"/>
        <v/>
      </c>
      <c r="L1031" s="17" t="str">
        <f t="shared" si="3"/>
        <v/>
      </c>
      <c r="M1031" s="17" t="str">
        <f t="shared" si="4"/>
        <v/>
      </c>
    </row>
    <row r="1032" ht="15.75" customHeight="1">
      <c r="A1032" s="12"/>
      <c r="B1032" s="11"/>
      <c r="C1032" s="11"/>
      <c r="D1032" s="11"/>
      <c r="E1032" s="11" t="str">
        <f>IF(J1032="","", C1032 * IFERROR(VLOOKUP(J1032, SETUP!$A:$D, 3, FALSE), 0))</f>
        <v/>
      </c>
      <c r="F1032" s="11" t="str">
        <f>IF(J1032="","", C1032 * IFERROR(VLOOKUP(J1032, SETUP!$A:$D, 4, FALSE), 0))</f>
        <v/>
      </c>
      <c r="G1032" s="11" t="str">
        <f t="shared" si="1"/>
        <v/>
      </c>
      <c r="H1032" s="22"/>
      <c r="I1032" s="11"/>
      <c r="J1032" s="17" t="str">
        <f>IF(TRIM(B1032)="","",IF(ISNUMBER(SEARCH(" - ",B1032)),TRIM(RIGHT(B1032,LEN(B1032)-FIND(" - ",B1032)-2)),IFERROR(VLOOKUP(UPPER(TRIM(B1032)), SETUP!$B$4:$C$11, 2, FALSE), UPPER(TRIM(B1032)))))</f>
        <v/>
      </c>
      <c r="K1032" s="23" t="str">
        <f t="shared" si="2"/>
        <v/>
      </c>
      <c r="L1032" s="17" t="str">
        <f t="shared" si="3"/>
        <v/>
      </c>
      <c r="M1032" s="17" t="str">
        <f t="shared" si="4"/>
        <v/>
      </c>
    </row>
    <row r="1033" ht="15.75" customHeight="1">
      <c r="A1033" s="12"/>
      <c r="B1033" s="11"/>
      <c r="C1033" s="11"/>
      <c r="D1033" s="11"/>
      <c r="E1033" s="11" t="str">
        <f>IF(J1033="","", C1033 * IFERROR(VLOOKUP(J1033, SETUP!$A:$D, 3, FALSE), 0))</f>
        <v/>
      </c>
      <c r="F1033" s="11" t="str">
        <f>IF(J1033="","", C1033 * IFERROR(VLOOKUP(J1033, SETUP!$A:$D, 4, FALSE), 0))</f>
        <v/>
      </c>
      <c r="G1033" s="11" t="str">
        <f t="shared" si="1"/>
        <v/>
      </c>
      <c r="H1033" s="22"/>
      <c r="I1033" s="11"/>
      <c r="J1033" s="17" t="str">
        <f>IF(TRIM(B1033)="","",IF(ISNUMBER(SEARCH(" - ",B1033)),TRIM(RIGHT(B1033,LEN(B1033)-FIND(" - ",B1033)-2)),IFERROR(VLOOKUP(UPPER(TRIM(B1033)), SETUP!$B$4:$C$11, 2, FALSE), UPPER(TRIM(B1033)))))</f>
        <v/>
      </c>
      <c r="K1033" s="23" t="str">
        <f t="shared" si="2"/>
        <v/>
      </c>
      <c r="L1033" s="17" t="str">
        <f t="shared" si="3"/>
        <v/>
      </c>
      <c r="M1033" s="17" t="str">
        <f t="shared" si="4"/>
        <v/>
      </c>
    </row>
    <row r="1034" ht="15.75" customHeight="1">
      <c r="A1034" s="12"/>
      <c r="B1034" s="11"/>
      <c r="C1034" s="11"/>
      <c r="D1034" s="11"/>
      <c r="E1034" s="11" t="str">
        <f>IF(J1034="","", C1034 * IFERROR(VLOOKUP(J1034, SETUP!$A:$D, 3, FALSE), 0))</f>
        <v/>
      </c>
      <c r="F1034" s="11" t="str">
        <f>IF(J1034="","", C1034 * IFERROR(VLOOKUP(J1034, SETUP!$A:$D, 4, FALSE), 0))</f>
        <v/>
      </c>
      <c r="G1034" s="11" t="str">
        <f t="shared" si="1"/>
        <v/>
      </c>
      <c r="H1034" s="22"/>
      <c r="I1034" s="11"/>
      <c r="J1034" s="17" t="str">
        <f>IF(TRIM(B1034)="","",IF(ISNUMBER(SEARCH(" - ",B1034)),TRIM(RIGHT(B1034,LEN(B1034)-FIND(" - ",B1034)-2)),IFERROR(VLOOKUP(UPPER(TRIM(B1034)), SETUP!$B$4:$C$11, 2, FALSE), UPPER(TRIM(B1034)))))</f>
        <v/>
      </c>
      <c r="K1034" s="23" t="str">
        <f t="shared" si="2"/>
        <v/>
      </c>
      <c r="L1034" s="17" t="str">
        <f t="shared" si="3"/>
        <v/>
      </c>
      <c r="M1034" s="17" t="str">
        <f t="shared" si="4"/>
        <v/>
      </c>
    </row>
    <row r="1035" ht="15.75" customHeight="1">
      <c r="A1035" s="12"/>
      <c r="B1035" s="11"/>
      <c r="C1035" s="11"/>
      <c r="D1035" s="11"/>
      <c r="E1035" s="11" t="str">
        <f>IF(J1035="","", C1035 * IFERROR(VLOOKUP(J1035, SETUP!$A:$D, 3, FALSE), 0))</f>
        <v/>
      </c>
      <c r="F1035" s="11" t="str">
        <f>IF(J1035="","", C1035 * IFERROR(VLOOKUP(J1035, SETUP!$A:$D, 4, FALSE), 0))</f>
        <v/>
      </c>
      <c r="G1035" s="11" t="str">
        <f t="shared" si="1"/>
        <v/>
      </c>
      <c r="H1035" s="22"/>
      <c r="I1035" s="11"/>
      <c r="J1035" s="17" t="str">
        <f>IF(TRIM(B1035)="","",IF(ISNUMBER(SEARCH(" - ",B1035)),TRIM(RIGHT(B1035,LEN(B1035)-FIND(" - ",B1035)-2)),IFERROR(VLOOKUP(UPPER(TRIM(B1035)), SETUP!$B$4:$C$11, 2, FALSE), UPPER(TRIM(B1035)))))</f>
        <v/>
      </c>
      <c r="K1035" s="23" t="str">
        <f t="shared" si="2"/>
        <v/>
      </c>
      <c r="L1035" s="17" t="str">
        <f t="shared" si="3"/>
        <v/>
      </c>
      <c r="M1035" s="17" t="str">
        <f t="shared" si="4"/>
        <v/>
      </c>
    </row>
    <row r="1036" ht="15.75" customHeight="1">
      <c r="A1036" s="12"/>
      <c r="B1036" s="11"/>
      <c r="C1036" s="11"/>
      <c r="D1036" s="11"/>
      <c r="E1036" s="11" t="str">
        <f>IF(J1036="","", C1036 * IFERROR(VLOOKUP(J1036, SETUP!$A:$D, 3, FALSE), 0))</f>
        <v/>
      </c>
      <c r="F1036" s="11" t="str">
        <f>IF(J1036="","", C1036 * IFERROR(VLOOKUP(J1036, SETUP!$A:$D, 4, FALSE), 0))</f>
        <v/>
      </c>
      <c r="G1036" s="11" t="str">
        <f t="shared" si="1"/>
        <v/>
      </c>
      <c r="H1036" s="22"/>
      <c r="I1036" s="11"/>
      <c r="J1036" s="17" t="str">
        <f>IF(TRIM(B1036)="","",IF(ISNUMBER(SEARCH(" - ",B1036)),TRIM(RIGHT(B1036,LEN(B1036)-FIND(" - ",B1036)-2)),IFERROR(VLOOKUP(UPPER(TRIM(B1036)), SETUP!$B$4:$C$11, 2, FALSE), UPPER(TRIM(B1036)))))</f>
        <v/>
      </c>
      <c r="K1036" s="23" t="str">
        <f t="shared" si="2"/>
        <v/>
      </c>
      <c r="L1036" s="17" t="str">
        <f t="shared" si="3"/>
        <v/>
      </c>
      <c r="M1036" s="17" t="str">
        <f t="shared" si="4"/>
        <v/>
      </c>
    </row>
    <row r="1037" ht="15.75" customHeight="1">
      <c r="A1037" s="12"/>
      <c r="B1037" s="11"/>
      <c r="C1037" s="11"/>
      <c r="D1037" s="11"/>
      <c r="E1037" s="11" t="str">
        <f>IF(J1037="","", C1037 * IFERROR(VLOOKUP(J1037, SETUP!$A:$D, 3, FALSE), 0))</f>
        <v/>
      </c>
      <c r="F1037" s="11" t="str">
        <f>IF(J1037="","", C1037 * IFERROR(VLOOKUP(J1037, SETUP!$A:$D, 4, FALSE), 0))</f>
        <v/>
      </c>
      <c r="G1037" s="11" t="str">
        <f t="shared" si="1"/>
        <v/>
      </c>
      <c r="H1037" s="22"/>
      <c r="I1037" s="11"/>
      <c r="J1037" s="17" t="str">
        <f>IF(TRIM(B1037)="","",IF(ISNUMBER(SEARCH(" - ",B1037)),TRIM(RIGHT(B1037,LEN(B1037)-FIND(" - ",B1037)-2)),IFERROR(VLOOKUP(UPPER(TRIM(B1037)), SETUP!$B$4:$C$11, 2, FALSE), UPPER(TRIM(B1037)))))</f>
        <v/>
      </c>
      <c r="K1037" s="23" t="str">
        <f t="shared" si="2"/>
        <v/>
      </c>
      <c r="L1037" s="17" t="str">
        <f t="shared" si="3"/>
        <v/>
      </c>
      <c r="M1037" s="17" t="str">
        <f t="shared" si="4"/>
        <v/>
      </c>
    </row>
    <row r="1038" ht="15.75" customHeight="1">
      <c r="A1038" s="12"/>
      <c r="B1038" s="11"/>
      <c r="C1038" s="11"/>
      <c r="D1038" s="11"/>
      <c r="E1038" s="11" t="str">
        <f>IF(J1038="","", C1038 * IFERROR(VLOOKUP(J1038, SETUP!$A:$D, 3, FALSE), 0))</f>
        <v/>
      </c>
      <c r="F1038" s="11" t="str">
        <f>IF(J1038="","", C1038 * IFERROR(VLOOKUP(J1038, SETUP!$A:$D, 4, FALSE), 0))</f>
        <v/>
      </c>
      <c r="G1038" s="11" t="str">
        <f t="shared" si="1"/>
        <v/>
      </c>
      <c r="H1038" s="22"/>
      <c r="I1038" s="11"/>
      <c r="J1038" s="17" t="str">
        <f>IF(TRIM(B1038)="","",IF(ISNUMBER(SEARCH(" - ",B1038)),TRIM(RIGHT(B1038,LEN(B1038)-FIND(" - ",B1038)-2)),IFERROR(VLOOKUP(UPPER(TRIM(B1038)), SETUP!$B$4:$C$11, 2, FALSE), UPPER(TRIM(B1038)))))</f>
        <v/>
      </c>
      <c r="K1038" s="23" t="str">
        <f t="shared" si="2"/>
        <v/>
      </c>
      <c r="L1038" s="17" t="str">
        <f t="shared" si="3"/>
        <v/>
      </c>
      <c r="M1038" s="17" t="str">
        <f t="shared" si="4"/>
        <v/>
      </c>
    </row>
    <row r="1039" ht="15.75" customHeight="1">
      <c r="A1039" s="12"/>
      <c r="B1039" s="11"/>
      <c r="C1039" s="11"/>
      <c r="D1039" s="11"/>
      <c r="E1039" s="11" t="str">
        <f>IF(J1039="","", C1039 * IFERROR(VLOOKUP(J1039, SETUP!$A:$D, 3, FALSE), 0))</f>
        <v/>
      </c>
      <c r="F1039" s="11" t="str">
        <f>IF(J1039="","", C1039 * IFERROR(VLOOKUP(J1039, SETUP!$A:$D, 4, FALSE), 0))</f>
        <v/>
      </c>
      <c r="G1039" s="11" t="str">
        <f t="shared" si="1"/>
        <v/>
      </c>
      <c r="H1039" s="22"/>
      <c r="I1039" s="11"/>
      <c r="J1039" s="17" t="str">
        <f>IF(TRIM(B1039)="","",IF(ISNUMBER(SEARCH(" - ",B1039)),TRIM(RIGHT(B1039,LEN(B1039)-FIND(" - ",B1039)-2)),IFERROR(VLOOKUP(UPPER(TRIM(B1039)), SETUP!$B$4:$C$11, 2, FALSE), UPPER(TRIM(B1039)))))</f>
        <v/>
      </c>
      <c r="K1039" s="23" t="str">
        <f t="shared" si="2"/>
        <v/>
      </c>
      <c r="L1039" s="17" t="str">
        <f t="shared" si="3"/>
        <v/>
      </c>
      <c r="M1039" s="17" t="str">
        <f t="shared" si="4"/>
        <v/>
      </c>
    </row>
    <row r="1040" ht="15.75" customHeight="1">
      <c r="A1040" s="12"/>
      <c r="B1040" s="11"/>
      <c r="C1040" s="11"/>
      <c r="D1040" s="11"/>
      <c r="E1040" s="11" t="str">
        <f>IF(J1040="","", C1040 * IFERROR(VLOOKUP(J1040, SETUP!$A:$D, 3, FALSE), 0))</f>
        <v/>
      </c>
      <c r="F1040" s="11" t="str">
        <f>IF(J1040="","", C1040 * IFERROR(VLOOKUP(J1040, SETUP!$A:$D, 4, FALSE), 0))</f>
        <v/>
      </c>
      <c r="G1040" s="11" t="str">
        <f t="shared" si="1"/>
        <v/>
      </c>
      <c r="H1040" s="22"/>
      <c r="I1040" s="11"/>
      <c r="J1040" s="17" t="str">
        <f>IF(TRIM(B1040)="","",IF(ISNUMBER(SEARCH(" - ",B1040)),TRIM(RIGHT(B1040,LEN(B1040)-FIND(" - ",B1040)-2)),IFERROR(VLOOKUP(UPPER(TRIM(B1040)), SETUP!$B$4:$C$11, 2, FALSE), UPPER(TRIM(B1040)))))</f>
        <v/>
      </c>
      <c r="K1040" s="23" t="str">
        <f t="shared" si="2"/>
        <v/>
      </c>
      <c r="L1040" s="17" t="str">
        <f t="shared" si="3"/>
        <v/>
      </c>
      <c r="M1040" s="17" t="str">
        <f t="shared" si="4"/>
        <v/>
      </c>
    </row>
    <row r="1041" ht="15.75" customHeight="1">
      <c r="A1041" s="12"/>
      <c r="B1041" s="11"/>
      <c r="C1041" s="11"/>
      <c r="D1041" s="11"/>
      <c r="E1041" s="11" t="str">
        <f>IF(J1041="","", C1041 * IFERROR(VLOOKUP(J1041, SETUP!$A:$D, 3, FALSE), 0))</f>
        <v/>
      </c>
      <c r="F1041" s="11" t="str">
        <f>IF(J1041="","", C1041 * IFERROR(VLOOKUP(J1041, SETUP!$A:$D, 4, FALSE), 0))</f>
        <v/>
      </c>
      <c r="G1041" s="11" t="str">
        <f t="shared" si="1"/>
        <v/>
      </c>
      <c r="H1041" s="22"/>
      <c r="I1041" s="11"/>
      <c r="J1041" s="17" t="str">
        <f>IF(TRIM(B1041)="","",IF(ISNUMBER(SEARCH(" - ",B1041)),TRIM(RIGHT(B1041,LEN(B1041)-FIND(" - ",B1041)-2)),IFERROR(VLOOKUP(UPPER(TRIM(B1041)), SETUP!$B$4:$C$11, 2, FALSE), UPPER(TRIM(B1041)))))</f>
        <v/>
      </c>
      <c r="K1041" s="23" t="str">
        <f t="shared" si="2"/>
        <v/>
      </c>
      <c r="L1041" s="17" t="str">
        <f t="shared" si="3"/>
        <v/>
      </c>
      <c r="M1041" s="17" t="str">
        <f t="shared" si="4"/>
        <v/>
      </c>
    </row>
    <row r="1042" ht="15.75" customHeight="1">
      <c r="A1042" s="12"/>
      <c r="B1042" s="11"/>
      <c r="C1042" s="11"/>
      <c r="D1042" s="11"/>
      <c r="E1042" s="11" t="str">
        <f>IF(J1042="","", C1042 * IFERROR(VLOOKUP(J1042, SETUP!$A:$D, 3, FALSE), 0))</f>
        <v/>
      </c>
      <c r="F1042" s="11" t="str">
        <f>IF(J1042="","", C1042 * IFERROR(VLOOKUP(J1042, SETUP!$A:$D, 4, FALSE), 0))</f>
        <v/>
      </c>
      <c r="G1042" s="11" t="str">
        <f t="shared" si="1"/>
        <v/>
      </c>
      <c r="H1042" s="22"/>
      <c r="I1042" s="11"/>
      <c r="J1042" s="17" t="str">
        <f>IF(TRIM(B1042)="","",IF(ISNUMBER(SEARCH(" - ",B1042)),TRIM(RIGHT(B1042,LEN(B1042)-FIND(" - ",B1042)-2)),IFERROR(VLOOKUP(UPPER(TRIM(B1042)), SETUP!$B$4:$C$11, 2, FALSE), UPPER(TRIM(B1042)))))</f>
        <v/>
      </c>
      <c r="K1042" s="23" t="str">
        <f t="shared" si="2"/>
        <v/>
      </c>
      <c r="L1042" s="17" t="str">
        <f t="shared" si="3"/>
        <v/>
      </c>
      <c r="M1042" s="17" t="str">
        <f t="shared" si="4"/>
        <v/>
      </c>
    </row>
    <row r="1043" ht="15.75" customHeight="1">
      <c r="A1043" s="12"/>
      <c r="B1043" s="11"/>
      <c r="C1043" s="11"/>
      <c r="D1043" s="11"/>
      <c r="E1043" s="11" t="str">
        <f>IF(J1043="","", C1043 * IFERROR(VLOOKUP(J1043, SETUP!$A:$D, 3, FALSE), 0))</f>
        <v/>
      </c>
      <c r="F1043" s="11" t="str">
        <f>IF(J1043="","", C1043 * IFERROR(VLOOKUP(J1043, SETUP!$A:$D, 4, FALSE), 0))</f>
        <v/>
      </c>
      <c r="G1043" s="11" t="str">
        <f t="shared" si="1"/>
        <v/>
      </c>
      <c r="H1043" s="22"/>
      <c r="I1043" s="11"/>
      <c r="J1043" s="17" t="str">
        <f>IF(TRIM(B1043)="","",IF(ISNUMBER(SEARCH(" - ",B1043)),TRIM(RIGHT(B1043,LEN(B1043)-FIND(" - ",B1043)-2)),IFERROR(VLOOKUP(UPPER(TRIM(B1043)), SETUP!$B$4:$C$11, 2, FALSE), UPPER(TRIM(B1043)))))</f>
        <v/>
      </c>
      <c r="K1043" s="23" t="str">
        <f t="shared" si="2"/>
        <v/>
      </c>
      <c r="L1043" s="17" t="str">
        <f t="shared" si="3"/>
        <v/>
      </c>
      <c r="M1043" s="17" t="str">
        <f t="shared" si="4"/>
        <v/>
      </c>
    </row>
    <row r="1044" ht="15.75" customHeight="1">
      <c r="A1044" s="12"/>
      <c r="B1044" s="11"/>
      <c r="C1044" s="11"/>
      <c r="D1044" s="11"/>
      <c r="E1044" s="11" t="str">
        <f>IF(J1044="","", C1044 * IFERROR(VLOOKUP(J1044, SETUP!$A:$D, 3, FALSE), 0))</f>
        <v/>
      </c>
      <c r="F1044" s="11" t="str">
        <f>IF(J1044="","", C1044 * IFERROR(VLOOKUP(J1044, SETUP!$A:$D, 4, FALSE), 0))</f>
        <v/>
      </c>
      <c r="G1044" s="11" t="str">
        <f t="shared" si="1"/>
        <v/>
      </c>
      <c r="H1044" s="22"/>
      <c r="I1044" s="11"/>
      <c r="J1044" s="17" t="str">
        <f>IF(TRIM(B1044)="","",IF(ISNUMBER(SEARCH(" - ",B1044)),TRIM(RIGHT(B1044,LEN(B1044)-FIND(" - ",B1044)-2)),IFERROR(VLOOKUP(UPPER(TRIM(B1044)), SETUP!$B$4:$C$11, 2, FALSE), UPPER(TRIM(B1044)))))</f>
        <v/>
      </c>
      <c r="K1044" s="23" t="str">
        <f t="shared" si="2"/>
        <v/>
      </c>
      <c r="L1044" s="17" t="str">
        <f t="shared" si="3"/>
        <v/>
      </c>
      <c r="M1044" s="17" t="str">
        <f t="shared" si="4"/>
        <v/>
      </c>
    </row>
    <row r="1045" ht="15.75" customHeight="1">
      <c r="A1045" s="12"/>
      <c r="B1045" s="11"/>
      <c r="C1045" s="11"/>
      <c r="D1045" s="11"/>
      <c r="E1045" s="11" t="str">
        <f>IF(J1045="","", C1045 * IFERROR(VLOOKUP(J1045, SETUP!$A:$D, 3, FALSE), 0))</f>
        <v/>
      </c>
      <c r="F1045" s="11" t="str">
        <f>IF(J1045="","", C1045 * IFERROR(VLOOKUP(J1045, SETUP!$A:$D, 4, FALSE), 0))</f>
        <v/>
      </c>
      <c r="G1045" s="11" t="str">
        <f t="shared" si="1"/>
        <v/>
      </c>
      <c r="H1045" s="22"/>
      <c r="I1045" s="11"/>
      <c r="J1045" s="17" t="str">
        <f>IF(TRIM(B1045)="","",IF(ISNUMBER(SEARCH(" - ",B1045)),TRIM(RIGHT(B1045,LEN(B1045)-FIND(" - ",B1045)-2)),IFERROR(VLOOKUP(UPPER(TRIM(B1045)), SETUP!$B$4:$C$11, 2, FALSE), UPPER(TRIM(B1045)))))</f>
        <v/>
      </c>
      <c r="K1045" s="23" t="str">
        <f t="shared" si="2"/>
        <v/>
      </c>
      <c r="L1045" s="17" t="str">
        <f t="shared" si="3"/>
        <v/>
      </c>
      <c r="M1045" s="17" t="str">
        <f t="shared" si="4"/>
        <v/>
      </c>
    </row>
    <row r="1046" ht="15.75" customHeight="1">
      <c r="A1046" s="12"/>
      <c r="B1046" s="11"/>
      <c r="C1046" s="11"/>
      <c r="D1046" s="11"/>
      <c r="E1046" s="11" t="str">
        <f>IF(J1046="","", C1046 * IFERROR(VLOOKUP(J1046, SETUP!$A:$D, 3, FALSE), 0))</f>
        <v/>
      </c>
      <c r="F1046" s="11" t="str">
        <f>IF(J1046="","", C1046 * IFERROR(VLOOKUP(J1046, SETUP!$A:$D, 4, FALSE), 0))</f>
        <v/>
      </c>
      <c r="G1046" s="11" t="str">
        <f t="shared" si="1"/>
        <v/>
      </c>
      <c r="H1046" s="22"/>
      <c r="I1046" s="11"/>
      <c r="J1046" s="17" t="str">
        <f>IF(TRIM(B1046)="","",IF(ISNUMBER(SEARCH(" - ",B1046)),TRIM(RIGHT(B1046,LEN(B1046)-FIND(" - ",B1046)-2)),IFERROR(VLOOKUP(UPPER(TRIM(B1046)), SETUP!$B$4:$C$11, 2, FALSE), UPPER(TRIM(B1046)))))</f>
        <v/>
      </c>
      <c r="K1046" s="23" t="str">
        <f t="shared" si="2"/>
        <v/>
      </c>
      <c r="L1046" s="17" t="str">
        <f t="shared" si="3"/>
        <v/>
      </c>
      <c r="M1046" s="17" t="str">
        <f t="shared" si="4"/>
        <v/>
      </c>
    </row>
    <row r="1047" ht="15.75" customHeight="1">
      <c r="A1047" s="12"/>
      <c r="B1047" s="11"/>
      <c r="C1047" s="11"/>
      <c r="D1047" s="11"/>
      <c r="E1047" s="11" t="str">
        <f>IF(J1047="","", C1047 * IFERROR(VLOOKUP(J1047, SETUP!$A:$D, 3, FALSE), 0))</f>
        <v/>
      </c>
      <c r="F1047" s="11" t="str">
        <f>IF(J1047="","", C1047 * IFERROR(VLOOKUP(J1047, SETUP!$A:$D, 4, FALSE), 0))</f>
        <v/>
      </c>
      <c r="G1047" s="11" t="str">
        <f t="shared" si="1"/>
        <v/>
      </c>
      <c r="H1047" s="22"/>
      <c r="I1047" s="11"/>
      <c r="J1047" s="17" t="str">
        <f>IF(TRIM(B1047)="","",IF(ISNUMBER(SEARCH(" - ",B1047)),TRIM(RIGHT(B1047,LEN(B1047)-FIND(" - ",B1047)-2)),IFERROR(VLOOKUP(UPPER(TRIM(B1047)), SETUP!$B$4:$C$11, 2, FALSE), UPPER(TRIM(B1047)))))</f>
        <v/>
      </c>
      <c r="K1047" s="23" t="str">
        <f t="shared" si="2"/>
        <v/>
      </c>
      <c r="L1047" s="17" t="str">
        <f t="shared" si="3"/>
        <v/>
      </c>
      <c r="M1047" s="17" t="str">
        <f t="shared" si="4"/>
        <v/>
      </c>
    </row>
    <row r="1048" ht="15.75" customHeight="1">
      <c r="A1048" s="12"/>
      <c r="B1048" s="11"/>
      <c r="C1048" s="11"/>
      <c r="D1048" s="11"/>
      <c r="E1048" s="11" t="str">
        <f>IF(J1048="","", C1048 * IFERROR(VLOOKUP(J1048, SETUP!$A:$D, 3, FALSE), 0))</f>
        <v/>
      </c>
      <c r="F1048" s="11" t="str">
        <f>IF(J1048="","", C1048 * IFERROR(VLOOKUP(J1048, SETUP!$A:$D, 4, FALSE), 0))</f>
        <v/>
      </c>
      <c r="G1048" s="11" t="str">
        <f t="shared" si="1"/>
        <v/>
      </c>
      <c r="H1048" s="22"/>
      <c r="I1048" s="11"/>
      <c r="J1048" s="17" t="str">
        <f>IF(TRIM(B1048)="","",IF(ISNUMBER(SEARCH(" - ",B1048)),TRIM(RIGHT(B1048,LEN(B1048)-FIND(" - ",B1048)-2)),IFERROR(VLOOKUP(UPPER(TRIM(B1048)), SETUP!$B$4:$C$11, 2, FALSE), UPPER(TRIM(B1048)))))</f>
        <v/>
      </c>
      <c r="K1048" s="23" t="str">
        <f t="shared" si="2"/>
        <v/>
      </c>
      <c r="L1048" s="17" t="str">
        <f t="shared" si="3"/>
        <v/>
      </c>
      <c r="M1048" s="17" t="str">
        <f t="shared" si="4"/>
        <v/>
      </c>
    </row>
    <row r="1049" ht="15.75" customHeight="1">
      <c r="A1049" s="12"/>
      <c r="B1049" s="11"/>
      <c r="C1049" s="11"/>
      <c r="D1049" s="11"/>
      <c r="E1049" s="11" t="str">
        <f>IF(J1049="","", C1049 * IFERROR(VLOOKUP(J1049, SETUP!$A:$D, 3, FALSE), 0))</f>
        <v/>
      </c>
      <c r="F1049" s="11" t="str">
        <f>IF(J1049="","", C1049 * IFERROR(VLOOKUP(J1049, SETUP!$A:$D, 4, FALSE), 0))</f>
        <v/>
      </c>
      <c r="G1049" s="11" t="str">
        <f t="shared" si="1"/>
        <v/>
      </c>
      <c r="H1049" s="22"/>
      <c r="I1049" s="11"/>
      <c r="J1049" s="17" t="str">
        <f>IF(TRIM(B1049)="","",IF(ISNUMBER(SEARCH(" - ",B1049)),TRIM(RIGHT(B1049,LEN(B1049)-FIND(" - ",B1049)-2)),IFERROR(VLOOKUP(UPPER(TRIM(B1049)), SETUP!$B$4:$C$11, 2, FALSE), UPPER(TRIM(B1049)))))</f>
        <v/>
      </c>
      <c r="K1049" s="23" t="str">
        <f t="shared" si="2"/>
        <v/>
      </c>
      <c r="L1049" s="17" t="str">
        <f t="shared" si="3"/>
        <v/>
      </c>
      <c r="M1049" s="17" t="str">
        <f t="shared" si="4"/>
        <v/>
      </c>
    </row>
    <row r="1050" ht="15.75" customHeight="1">
      <c r="A1050" s="12"/>
      <c r="B1050" s="11"/>
      <c r="C1050" s="11"/>
      <c r="D1050" s="11"/>
      <c r="E1050" s="11" t="str">
        <f>IF(J1050="","", C1050 * IFERROR(VLOOKUP(J1050, SETUP!$A:$D, 3, FALSE), 0))</f>
        <v/>
      </c>
      <c r="F1050" s="11" t="str">
        <f>IF(J1050="","", C1050 * IFERROR(VLOOKUP(J1050, SETUP!$A:$D, 4, FALSE), 0))</f>
        <v/>
      </c>
      <c r="G1050" s="11" t="str">
        <f t="shared" si="1"/>
        <v/>
      </c>
      <c r="H1050" s="22"/>
      <c r="I1050" s="11"/>
      <c r="J1050" s="17" t="str">
        <f>IF(TRIM(B1050)="","",IF(ISNUMBER(SEARCH(" - ",B1050)),TRIM(RIGHT(B1050,LEN(B1050)-FIND(" - ",B1050)-2)),IFERROR(VLOOKUP(UPPER(TRIM(B1050)), SETUP!$B$4:$C$11, 2, FALSE), UPPER(TRIM(B1050)))))</f>
        <v/>
      </c>
      <c r="K1050" s="23" t="str">
        <f t="shared" si="2"/>
        <v/>
      </c>
      <c r="L1050" s="17" t="str">
        <f t="shared" si="3"/>
        <v/>
      </c>
      <c r="M1050" s="17" t="str">
        <f t="shared" si="4"/>
        <v/>
      </c>
    </row>
    <row r="1051" ht="15.75" customHeight="1">
      <c r="A1051" s="12"/>
      <c r="B1051" s="11"/>
      <c r="C1051" s="11"/>
      <c r="D1051" s="11"/>
      <c r="E1051" s="11" t="str">
        <f>IF(J1051="","", C1051 * IFERROR(VLOOKUP(J1051, SETUP!$A:$D, 3, FALSE), 0))</f>
        <v/>
      </c>
      <c r="F1051" s="11" t="str">
        <f>IF(J1051="","", C1051 * IFERROR(VLOOKUP(J1051, SETUP!$A:$D, 4, FALSE), 0))</f>
        <v/>
      </c>
      <c r="G1051" s="11" t="str">
        <f t="shared" si="1"/>
        <v/>
      </c>
      <c r="H1051" s="22"/>
      <c r="I1051" s="11"/>
      <c r="J1051" s="17" t="str">
        <f>IF(TRIM(B1051)="","",IF(ISNUMBER(SEARCH(" - ",B1051)),TRIM(RIGHT(B1051,LEN(B1051)-FIND(" - ",B1051)-2)),IFERROR(VLOOKUP(UPPER(TRIM(B1051)), SETUP!$B$4:$C$11, 2, FALSE), UPPER(TRIM(B1051)))))</f>
        <v/>
      </c>
      <c r="K1051" s="23" t="str">
        <f t="shared" si="2"/>
        <v/>
      </c>
      <c r="L1051" s="17" t="str">
        <f t="shared" si="3"/>
        <v/>
      </c>
      <c r="M1051" s="17" t="str">
        <f t="shared" si="4"/>
        <v/>
      </c>
    </row>
    <row r="1052" ht="15.75" customHeight="1">
      <c r="A1052" s="12"/>
      <c r="B1052" s="11"/>
      <c r="C1052" s="11"/>
      <c r="D1052" s="11"/>
      <c r="E1052" s="11" t="str">
        <f>IF(J1052="","", C1052 * IFERROR(VLOOKUP(J1052, SETUP!$A:$D, 3, FALSE), 0))</f>
        <v/>
      </c>
      <c r="F1052" s="11" t="str">
        <f>IF(J1052="","", C1052 * IFERROR(VLOOKUP(J1052, SETUP!$A:$D, 4, FALSE), 0))</f>
        <v/>
      </c>
      <c r="G1052" s="11" t="str">
        <f t="shared" si="1"/>
        <v/>
      </c>
      <c r="H1052" s="22"/>
      <c r="I1052" s="11"/>
      <c r="J1052" s="17" t="str">
        <f>IF(TRIM(B1052)="","",IF(ISNUMBER(SEARCH(" - ",B1052)),TRIM(RIGHT(B1052,LEN(B1052)-FIND(" - ",B1052)-2)),IFERROR(VLOOKUP(UPPER(TRIM(B1052)), SETUP!$B$4:$C$11, 2, FALSE), UPPER(TRIM(B1052)))))</f>
        <v/>
      </c>
      <c r="K1052" s="23" t="str">
        <f t="shared" si="2"/>
        <v/>
      </c>
      <c r="L1052" s="17" t="str">
        <f t="shared" si="3"/>
        <v/>
      </c>
      <c r="M1052" s="17" t="str">
        <f t="shared" si="4"/>
        <v/>
      </c>
    </row>
    <row r="1053" ht="15.75" customHeight="1">
      <c r="A1053" s="12"/>
      <c r="B1053" s="11"/>
      <c r="C1053" s="11"/>
      <c r="D1053" s="11"/>
      <c r="E1053" s="11" t="str">
        <f>IF(J1053="","", C1053 * IFERROR(VLOOKUP(J1053, SETUP!$A:$D, 3, FALSE), 0))</f>
        <v/>
      </c>
      <c r="F1053" s="11" t="str">
        <f>IF(J1053="","", C1053 * IFERROR(VLOOKUP(J1053, SETUP!$A:$D, 4, FALSE), 0))</f>
        <v/>
      </c>
      <c r="G1053" s="11" t="str">
        <f t="shared" si="1"/>
        <v/>
      </c>
      <c r="H1053" s="22"/>
      <c r="I1053" s="11"/>
      <c r="J1053" s="17" t="str">
        <f>IF(TRIM(B1053)="","",IF(ISNUMBER(SEARCH(" - ",B1053)),TRIM(RIGHT(B1053,LEN(B1053)-FIND(" - ",B1053)-2)),IFERROR(VLOOKUP(UPPER(TRIM(B1053)), SETUP!$B$4:$C$11, 2, FALSE), UPPER(TRIM(B1053)))))</f>
        <v/>
      </c>
      <c r="K1053" s="23" t="str">
        <f t="shared" si="2"/>
        <v/>
      </c>
      <c r="L1053" s="17" t="str">
        <f t="shared" si="3"/>
        <v/>
      </c>
      <c r="M1053" s="17" t="str">
        <f t="shared" si="4"/>
        <v/>
      </c>
    </row>
    <row r="1054" ht="15.75" customHeight="1">
      <c r="A1054" s="12"/>
      <c r="B1054" s="11"/>
      <c r="C1054" s="11"/>
      <c r="D1054" s="11"/>
      <c r="E1054" s="11" t="str">
        <f>IF(J1054="","", C1054 * IFERROR(VLOOKUP(J1054, SETUP!$A:$D, 3, FALSE), 0))</f>
        <v/>
      </c>
      <c r="F1054" s="11" t="str">
        <f>IF(J1054="","", C1054 * IFERROR(VLOOKUP(J1054, SETUP!$A:$D, 4, FALSE), 0))</f>
        <v/>
      </c>
      <c r="G1054" s="11" t="str">
        <f t="shared" si="1"/>
        <v/>
      </c>
      <c r="H1054" s="22"/>
      <c r="I1054" s="11"/>
      <c r="J1054" s="17" t="str">
        <f>IF(TRIM(B1054)="","",IF(ISNUMBER(SEARCH(" - ",B1054)),TRIM(RIGHT(B1054,LEN(B1054)-FIND(" - ",B1054)-2)),IFERROR(VLOOKUP(UPPER(TRIM(B1054)), SETUP!$B$4:$C$11, 2, FALSE), UPPER(TRIM(B1054)))))</f>
        <v/>
      </c>
      <c r="K1054" s="23" t="str">
        <f t="shared" si="2"/>
        <v/>
      </c>
      <c r="L1054" s="17" t="str">
        <f t="shared" si="3"/>
        <v/>
      </c>
      <c r="M1054" s="17" t="str">
        <f t="shared" si="4"/>
        <v/>
      </c>
    </row>
    <row r="1055" ht="15.75" customHeight="1">
      <c r="A1055" s="12"/>
      <c r="B1055" s="11"/>
      <c r="C1055" s="11"/>
      <c r="D1055" s="11"/>
      <c r="E1055" s="11" t="str">
        <f>IF(J1055="","", C1055 * IFERROR(VLOOKUP(J1055, SETUP!$A:$D, 3, FALSE), 0))</f>
        <v/>
      </c>
      <c r="F1055" s="11" t="str">
        <f>IF(J1055="","", C1055 * IFERROR(VLOOKUP(J1055, SETUP!$A:$D, 4, FALSE), 0))</f>
        <v/>
      </c>
      <c r="G1055" s="11" t="str">
        <f t="shared" si="1"/>
        <v/>
      </c>
      <c r="H1055" s="22"/>
      <c r="I1055" s="11"/>
      <c r="J1055" s="17" t="str">
        <f>IF(TRIM(B1055)="","",IF(ISNUMBER(SEARCH(" - ",B1055)),TRIM(RIGHT(B1055,LEN(B1055)-FIND(" - ",B1055)-2)),IFERROR(VLOOKUP(UPPER(TRIM(B1055)), SETUP!$B$4:$C$11, 2, FALSE), UPPER(TRIM(B1055)))))</f>
        <v/>
      </c>
      <c r="K1055" s="23" t="str">
        <f t="shared" si="2"/>
        <v/>
      </c>
      <c r="L1055" s="17" t="str">
        <f t="shared" si="3"/>
        <v/>
      </c>
      <c r="M1055" s="17" t="str">
        <f t="shared" si="4"/>
        <v/>
      </c>
    </row>
    <row r="1056" ht="15.75" customHeight="1">
      <c r="A1056" s="12"/>
      <c r="B1056" s="11"/>
      <c r="C1056" s="11"/>
      <c r="D1056" s="11"/>
      <c r="E1056" s="11" t="str">
        <f>IF(J1056="","", C1056 * IFERROR(VLOOKUP(J1056, SETUP!$A:$D, 3, FALSE), 0))</f>
        <v/>
      </c>
      <c r="F1056" s="11" t="str">
        <f>IF(J1056="","", C1056 * IFERROR(VLOOKUP(J1056, SETUP!$A:$D, 4, FALSE), 0))</f>
        <v/>
      </c>
      <c r="G1056" s="11" t="str">
        <f t="shared" si="1"/>
        <v/>
      </c>
      <c r="H1056" s="22"/>
      <c r="I1056" s="11"/>
      <c r="J1056" s="17" t="str">
        <f>IF(TRIM(B1056)="","",IF(ISNUMBER(SEARCH(" - ",B1056)),TRIM(RIGHT(B1056,LEN(B1056)-FIND(" - ",B1056)-2)),IFERROR(VLOOKUP(UPPER(TRIM(B1056)), SETUP!$B$4:$C$11, 2, FALSE), UPPER(TRIM(B1056)))))</f>
        <v/>
      </c>
      <c r="K1056" s="23" t="str">
        <f t="shared" si="2"/>
        <v/>
      </c>
      <c r="L1056" s="17" t="str">
        <f t="shared" si="3"/>
        <v/>
      </c>
      <c r="M1056" s="17" t="str">
        <f t="shared" si="4"/>
        <v/>
      </c>
    </row>
    <row r="1057" ht="15.75" customHeight="1">
      <c r="A1057" s="12"/>
      <c r="B1057" s="11"/>
      <c r="C1057" s="11"/>
      <c r="D1057" s="11"/>
      <c r="E1057" s="11" t="str">
        <f>IF(J1057="","", C1057 * IFERROR(VLOOKUP(J1057, SETUP!$A:$D, 3, FALSE), 0))</f>
        <v/>
      </c>
      <c r="F1057" s="11" t="str">
        <f>IF(J1057="","", C1057 * IFERROR(VLOOKUP(J1057, SETUP!$A:$D, 4, FALSE), 0))</f>
        <v/>
      </c>
      <c r="G1057" s="11" t="str">
        <f t="shared" si="1"/>
        <v/>
      </c>
      <c r="H1057" s="22"/>
      <c r="I1057" s="11"/>
      <c r="J1057" s="17" t="str">
        <f>IF(TRIM(B1057)="","",IF(ISNUMBER(SEARCH(" - ",B1057)),TRIM(RIGHT(B1057,LEN(B1057)-FIND(" - ",B1057)-2)),IFERROR(VLOOKUP(UPPER(TRIM(B1057)), SETUP!$B$4:$C$11, 2, FALSE), UPPER(TRIM(B1057)))))</f>
        <v/>
      </c>
      <c r="K1057" s="23" t="str">
        <f t="shared" si="2"/>
        <v/>
      </c>
      <c r="L1057" s="17" t="str">
        <f t="shared" si="3"/>
        <v/>
      </c>
      <c r="M1057" s="17" t="str">
        <f t="shared" si="4"/>
        <v/>
      </c>
    </row>
    <row r="1058" ht="15.75" customHeight="1">
      <c r="A1058" s="12"/>
      <c r="B1058" s="11"/>
      <c r="C1058" s="11"/>
      <c r="D1058" s="11"/>
      <c r="E1058" s="11" t="str">
        <f>IF(J1058="","", C1058 * IFERROR(VLOOKUP(J1058, SETUP!$A:$D, 3, FALSE), 0))</f>
        <v/>
      </c>
      <c r="F1058" s="11" t="str">
        <f>IF(J1058="","", C1058 * IFERROR(VLOOKUP(J1058, SETUP!$A:$D, 4, FALSE), 0))</f>
        <v/>
      </c>
      <c r="G1058" s="11" t="str">
        <f t="shared" si="1"/>
        <v/>
      </c>
      <c r="H1058" s="22"/>
      <c r="I1058" s="11"/>
      <c r="J1058" s="17" t="str">
        <f>IF(TRIM(B1058)="","",IF(ISNUMBER(SEARCH(" - ",B1058)),TRIM(RIGHT(B1058,LEN(B1058)-FIND(" - ",B1058)-2)),IFERROR(VLOOKUP(UPPER(TRIM(B1058)), SETUP!$B$4:$C$11, 2, FALSE), UPPER(TRIM(B1058)))))</f>
        <v/>
      </c>
      <c r="K1058" s="23" t="str">
        <f t="shared" si="2"/>
        <v/>
      </c>
      <c r="L1058" s="17" t="str">
        <f t="shared" si="3"/>
        <v/>
      </c>
      <c r="M1058" s="17" t="str">
        <f t="shared" si="4"/>
        <v/>
      </c>
    </row>
    <row r="1059" ht="15.75" customHeight="1">
      <c r="A1059" s="12"/>
      <c r="B1059" s="11"/>
      <c r="C1059" s="11"/>
      <c r="D1059" s="11"/>
      <c r="E1059" s="11" t="str">
        <f>IF(J1059="","", C1059 * IFERROR(VLOOKUP(J1059, SETUP!$A:$D, 3, FALSE), 0))</f>
        <v/>
      </c>
      <c r="F1059" s="11" t="str">
        <f>IF(J1059="","", C1059 * IFERROR(VLOOKUP(J1059, SETUP!$A:$D, 4, FALSE), 0))</f>
        <v/>
      </c>
      <c r="G1059" s="11" t="str">
        <f t="shared" si="1"/>
        <v/>
      </c>
      <c r="H1059" s="22"/>
      <c r="I1059" s="11"/>
      <c r="J1059" s="17" t="str">
        <f>IF(TRIM(B1059)="","",IF(ISNUMBER(SEARCH(" - ",B1059)),TRIM(RIGHT(B1059,LEN(B1059)-FIND(" - ",B1059)-2)),IFERROR(VLOOKUP(UPPER(TRIM(B1059)), SETUP!$B$4:$C$11, 2, FALSE), UPPER(TRIM(B1059)))))</f>
        <v/>
      </c>
      <c r="K1059" s="23" t="str">
        <f t="shared" si="2"/>
        <v/>
      </c>
      <c r="L1059" s="17" t="str">
        <f t="shared" si="3"/>
        <v/>
      </c>
      <c r="M1059" s="17" t="str">
        <f t="shared" si="4"/>
        <v/>
      </c>
    </row>
    <row r="1060" ht="15.75" customHeight="1">
      <c r="A1060" s="12"/>
      <c r="B1060" s="11"/>
      <c r="C1060" s="11"/>
      <c r="D1060" s="11"/>
      <c r="E1060" s="11" t="str">
        <f>IF(J1060="","", C1060 * IFERROR(VLOOKUP(J1060, SETUP!$A:$D, 3, FALSE), 0))</f>
        <v/>
      </c>
      <c r="F1060" s="11" t="str">
        <f>IF(J1060="","", C1060 * IFERROR(VLOOKUP(J1060, SETUP!$A:$D, 4, FALSE), 0))</f>
        <v/>
      </c>
      <c r="G1060" s="11" t="str">
        <f t="shared" si="1"/>
        <v/>
      </c>
      <c r="H1060" s="22"/>
      <c r="I1060" s="11"/>
      <c r="J1060" s="17" t="str">
        <f>IF(TRIM(B1060)="","",IF(ISNUMBER(SEARCH(" - ",B1060)),TRIM(RIGHT(B1060,LEN(B1060)-FIND(" - ",B1060)-2)),IFERROR(VLOOKUP(UPPER(TRIM(B1060)), SETUP!$B$4:$C$11, 2, FALSE), UPPER(TRIM(B1060)))))</f>
        <v/>
      </c>
      <c r="K1060" s="23" t="str">
        <f t="shared" si="2"/>
        <v/>
      </c>
      <c r="L1060" s="17" t="str">
        <f t="shared" si="3"/>
        <v/>
      </c>
      <c r="M1060" s="17" t="str">
        <f t="shared" si="4"/>
        <v/>
      </c>
    </row>
    <row r="1061" ht="15.75" customHeight="1">
      <c r="A1061" s="12"/>
      <c r="B1061" s="11"/>
      <c r="C1061" s="11"/>
      <c r="D1061" s="11"/>
      <c r="E1061" s="11" t="str">
        <f>IF(J1061="","", C1061 * IFERROR(VLOOKUP(J1061, SETUP!$A:$D, 3, FALSE), 0))</f>
        <v/>
      </c>
      <c r="F1061" s="11" t="str">
        <f>IF(J1061="","", C1061 * IFERROR(VLOOKUP(J1061, SETUP!$A:$D, 4, FALSE), 0))</f>
        <v/>
      </c>
      <c r="G1061" s="11" t="str">
        <f t="shared" si="1"/>
        <v/>
      </c>
      <c r="H1061" s="22"/>
      <c r="I1061" s="11"/>
      <c r="J1061" s="17" t="str">
        <f>IF(TRIM(B1061)="","",IF(ISNUMBER(SEARCH(" - ",B1061)),TRIM(RIGHT(B1061,LEN(B1061)-FIND(" - ",B1061)-2)),IFERROR(VLOOKUP(UPPER(TRIM(B1061)), SETUP!$B$4:$C$11, 2, FALSE), UPPER(TRIM(B1061)))))</f>
        <v/>
      </c>
      <c r="K1061" s="23" t="str">
        <f t="shared" si="2"/>
        <v/>
      </c>
      <c r="L1061" s="17" t="str">
        <f t="shared" si="3"/>
        <v/>
      </c>
      <c r="M1061" s="17" t="str">
        <f t="shared" si="4"/>
        <v/>
      </c>
    </row>
    <row r="1062" ht="15.75" customHeight="1">
      <c r="A1062" s="12"/>
      <c r="B1062" s="11"/>
      <c r="C1062" s="11"/>
      <c r="D1062" s="11"/>
      <c r="E1062" s="11" t="str">
        <f>IF(J1062="","", C1062 * IFERROR(VLOOKUP(J1062, SETUP!$A:$D, 3, FALSE), 0))</f>
        <v/>
      </c>
      <c r="F1062" s="11" t="str">
        <f>IF(J1062="","", C1062 * IFERROR(VLOOKUP(J1062, SETUP!$A:$D, 4, FALSE), 0))</f>
        <v/>
      </c>
      <c r="G1062" s="11" t="str">
        <f t="shared" si="1"/>
        <v/>
      </c>
      <c r="H1062" s="22"/>
      <c r="I1062" s="11"/>
      <c r="J1062" s="17" t="str">
        <f>IF(TRIM(B1062)="","",IF(ISNUMBER(SEARCH(" - ",B1062)),TRIM(RIGHT(B1062,LEN(B1062)-FIND(" - ",B1062)-2)),IFERROR(VLOOKUP(UPPER(TRIM(B1062)), SETUP!$B$4:$C$11, 2, FALSE), UPPER(TRIM(B1062)))))</f>
        <v/>
      </c>
      <c r="K1062" s="23" t="str">
        <f t="shared" si="2"/>
        <v/>
      </c>
      <c r="L1062" s="17" t="str">
        <f t="shared" si="3"/>
        <v/>
      </c>
      <c r="M1062" s="17" t="str">
        <f t="shared" si="4"/>
        <v/>
      </c>
    </row>
    <row r="1063" ht="15.75" customHeight="1">
      <c r="A1063" s="12"/>
      <c r="B1063" s="11"/>
      <c r="C1063" s="11"/>
      <c r="D1063" s="11"/>
      <c r="E1063" s="11" t="str">
        <f>IF(J1063="","", C1063 * IFERROR(VLOOKUP(J1063, SETUP!$A:$D, 3, FALSE), 0))</f>
        <v/>
      </c>
      <c r="F1063" s="11" t="str">
        <f>IF(J1063="","", C1063 * IFERROR(VLOOKUP(J1063, SETUP!$A:$D, 4, FALSE), 0))</f>
        <v/>
      </c>
      <c r="G1063" s="11" t="str">
        <f t="shared" si="1"/>
        <v/>
      </c>
      <c r="H1063" s="22"/>
      <c r="I1063" s="11"/>
      <c r="J1063" s="17" t="str">
        <f>IF(TRIM(B1063)="","",IF(ISNUMBER(SEARCH(" - ",B1063)),TRIM(RIGHT(B1063,LEN(B1063)-FIND(" - ",B1063)-2)),IFERROR(VLOOKUP(UPPER(TRIM(B1063)), SETUP!$B$4:$C$11, 2, FALSE), UPPER(TRIM(B1063)))))</f>
        <v/>
      </c>
      <c r="K1063" s="23" t="str">
        <f t="shared" si="2"/>
        <v/>
      </c>
      <c r="L1063" s="17" t="str">
        <f t="shared" si="3"/>
        <v/>
      </c>
      <c r="M1063" s="17" t="str">
        <f t="shared" si="4"/>
        <v/>
      </c>
    </row>
    <row r="1064" ht="15.75" customHeight="1">
      <c r="A1064" s="12"/>
      <c r="B1064" s="11"/>
      <c r="C1064" s="11"/>
      <c r="D1064" s="11"/>
      <c r="E1064" s="11" t="str">
        <f>IF(J1064="","", C1064 * IFERROR(VLOOKUP(J1064, SETUP!$A:$D, 3, FALSE), 0))</f>
        <v/>
      </c>
      <c r="F1064" s="11" t="str">
        <f>IF(J1064="","", C1064 * IFERROR(VLOOKUP(J1064, SETUP!$A:$D, 4, FALSE), 0))</f>
        <v/>
      </c>
      <c r="G1064" s="11" t="str">
        <f t="shared" si="1"/>
        <v/>
      </c>
      <c r="H1064" s="22"/>
      <c r="I1064" s="11"/>
      <c r="J1064" s="17" t="str">
        <f>IF(TRIM(B1064)="","",IF(ISNUMBER(SEARCH(" - ",B1064)),TRIM(RIGHT(B1064,LEN(B1064)-FIND(" - ",B1064)-2)),IFERROR(VLOOKUP(UPPER(TRIM(B1064)), SETUP!$B$4:$C$11, 2, FALSE), UPPER(TRIM(B1064)))))</f>
        <v/>
      </c>
      <c r="K1064" s="23" t="str">
        <f t="shared" si="2"/>
        <v/>
      </c>
      <c r="L1064" s="17" t="str">
        <f t="shared" si="3"/>
        <v/>
      </c>
      <c r="M1064" s="17" t="str">
        <f t="shared" si="4"/>
        <v/>
      </c>
    </row>
    <row r="1065" ht="15.75" customHeight="1">
      <c r="A1065" s="12"/>
      <c r="B1065" s="11"/>
      <c r="C1065" s="11"/>
      <c r="D1065" s="11"/>
      <c r="E1065" s="11" t="str">
        <f>IF(J1065="","", C1065 * IFERROR(VLOOKUP(J1065, SETUP!$A:$D, 3, FALSE), 0))</f>
        <v/>
      </c>
      <c r="F1065" s="11" t="str">
        <f>IF(J1065="","", C1065 * IFERROR(VLOOKUP(J1065, SETUP!$A:$D, 4, FALSE), 0))</f>
        <v/>
      </c>
      <c r="G1065" s="11" t="str">
        <f t="shared" si="1"/>
        <v/>
      </c>
      <c r="H1065" s="22"/>
      <c r="I1065" s="11"/>
      <c r="J1065" s="17" t="str">
        <f>IF(TRIM(B1065)="","",IF(ISNUMBER(SEARCH(" - ",B1065)),TRIM(RIGHT(B1065,LEN(B1065)-FIND(" - ",B1065)-2)),IFERROR(VLOOKUP(UPPER(TRIM(B1065)), SETUP!$B$4:$C$11, 2, FALSE), UPPER(TRIM(B1065)))))</f>
        <v/>
      </c>
      <c r="K1065" s="23" t="str">
        <f t="shared" si="2"/>
        <v/>
      </c>
      <c r="L1065" s="17" t="str">
        <f t="shared" si="3"/>
        <v/>
      </c>
      <c r="M1065" s="17" t="str">
        <f t="shared" si="4"/>
        <v/>
      </c>
    </row>
    <row r="1066" ht="15.75" customHeight="1">
      <c r="A1066" s="12"/>
      <c r="B1066" s="11"/>
      <c r="C1066" s="11"/>
      <c r="D1066" s="11"/>
      <c r="E1066" s="11" t="str">
        <f>IF(J1066="","", C1066 * IFERROR(VLOOKUP(J1066, SETUP!$A:$D, 3, FALSE), 0))</f>
        <v/>
      </c>
      <c r="F1066" s="11" t="str">
        <f>IF(J1066="","", C1066 * IFERROR(VLOOKUP(J1066, SETUP!$A:$D, 4, FALSE), 0))</f>
        <v/>
      </c>
      <c r="G1066" s="11" t="str">
        <f t="shared" si="1"/>
        <v/>
      </c>
      <c r="H1066" s="22"/>
      <c r="I1066" s="11"/>
      <c r="J1066" s="17" t="str">
        <f>IF(TRIM(B1066)="","",IF(ISNUMBER(SEARCH(" - ",B1066)),TRIM(RIGHT(B1066,LEN(B1066)-FIND(" - ",B1066)-2)),IFERROR(VLOOKUP(UPPER(TRIM(B1066)), SETUP!$B$4:$C$11, 2, FALSE), UPPER(TRIM(B1066)))))</f>
        <v/>
      </c>
      <c r="K1066" s="23" t="str">
        <f t="shared" si="2"/>
        <v/>
      </c>
      <c r="L1066" s="17" t="str">
        <f t="shared" si="3"/>
        <v/>
      </c>
      <c r="M1066" s="17" t="str">
        <f t="shared" si="4"/>
        <v/>
      </c>
    </row>
    <row r="1067" ht="15.75" customHeight="1">
      <c r="A1067" s="12"/>
      <c r="B1067" s="11"/>
      <c r="C1067" s="11"/>
      <c r="D1067" s="11"/>
      <c r="E1067" s="11" t="str">
        <f>IF(J1067="","", C1067 * IFERROR(VLOOKUP(J1067, SETUP!$A:$D, 3, FALSE), 0))</f>
        <v/>
      </c>
      <c r="F1067" s="11" t="str">
        <f>IF(J1067="","", C1067 * IFERROR(VLOOKUP(J1067, SETUP!$A:$D, 4, FALSE), 0))</f>
        <v/>
      </c>
      <c r="G1067" s="11" t="str">
        <f t="shared" si="1"/>
        <v/>
      </c>
      <c r="H1067" s="22"/>
      <c r="I1067" s="11"/>
      <c r="J1067" s="17" t="str">
        <f>IF(TRIM(B1067)="","",IF(ISNUMBER(SEARCH(" - ",B1067)),TRIM(RIGHT(B1067,LEN(B1067)-FIND(" - ",B1067)-2)),IFERROR(VLOOKUP(UPPER(TRIM(B1067)), SETUP!$B$4:$C$11, 2, FALSE), UPPER(TRIM(B1067)))))</f>
        <v/>
      </c>
      <c r="K1067" s="23" t="str">
        <f t="shared" si="2"/>
        <v/>
      </c>
      <c r="L1067" s="17" t="str">
        <f t="shared" si="3"/>
        <v/>
      </c>
      <c r="M1067" s="17" t="str">
        <f t="shared" si="4"/>
        <v/>
      </c>
    </row>
    <row r="1068" ht="15.75" customHeight="1">
      <c r="A1068" s="12"/>
      <c r="B1068" s="11"/>
      <c r="C1068" s="11"/>
      <c r="D1068" s="11"/>
      <c r="E1068" s="11" t="str">
        <f>IF(J1068="","", C1068 * IFERROR(VLOOKUP(J1068, SETUP!$A:$D, 3, FALSE), 0))</f>
        <v/>
      </c>
      <c r="F1068" s="11" t="str">
        <f>IF(J1068="","", C1068 * IFERROR(VLOOKUP(J1068, SETUP!$A:$D, 4, FALSE), 0))</f>
        <v/>
      </c>
      <c r="G1068" s="11" t="str">
        <f t="shared" si="1"/>
        <v/>
      </c>
      <c r="H1068" s="22"/>
      <c r="I1068" s="11"/>
      <c r="J1068" s="17" t="str">
        <f>IF(TRIM(B1068)="","",IF(ISNUMBER(SEARCH(" - ",B1068)),TRIM(RIGHT(B1068,LEN(B1068)-FIND(" - ",B1068)-2)),IFERROR(VLOOKUP(UPPER(TRIM(B1068)), SETUP!$B$4:$C$11, 2, FALSE), UPPER(TRIM(B1068)))))</f>
        <v/>
      </c>
      <c r="K1068" s="23" t="str">
        <f t="shared" si="2"/>
        <v/>
      </c>
      <c r="L1068" s="17" t="str">
        <f t="shared" si="3"/>
        <v/>
      </c>
      <c r="M1068" s="17" t="str">
        <f t="shared" si="4"/>
        <v/>
      </c>
    </row>
    <row r="1069" ht="15.75" customHeight="1">
      <c r="A1069" s="12"/>
      <c r="B1069" s="11"/>
      <c r="C1069" s="11"/>
      <c r="D1069" s="11"/>
      <c r="E1069" s="11" t="str">
        <f>IF(J1069="","", C1069 * IFERROR(VLOOKUP(J1069, SETUP!$A:$D, 3, FALSE), 0))</f>
        <v/>
      </c>
      <c r="F1069" s="11" t="str">
        <f>IF(J1069="","", C1069 * IFERROR(VLOOKUP(J1069, SETUP!$A:$D, 4, FALSE), 0))</f>
        <v/>
      </c>
      <c r="G1069" s="11" t="str">
        <f t="shared" si="1"/>
        <v/>
      </c>
      <c r="H1069" s="22"/>
      <c r="I1069" s="11"/>
      <c r="J1069" s="17" t="str">
        <f>IF(TRIM(B1069)="","",IF(ISNUMBER(SEARCH(" - ",B1069)),TRIM(RIGHT(B1069,LEN(B1069)-FIND(" - ",B1069)-2)),IFERROR(VLOOKUP(UPPER(TRIM(B1069)), SETUP!$B$4:$C$11, 2, FALSE), UPPER(TRIM(B1069)))))</f>
        <v/>
      </c>
      <c r="K1069" s="23" t="str">
        <f t="shared" si="2"/>
        <v/>
      </c>
      <c r="L1069" s="17" t="str">
        <f t="shared" si="3"/>
        <v/>
      </c>
      <c r="M1069" s="17" t="str">
        <f t="shared" si="4"/>
        <v/>
      </c>
    </row>
    <row r="1070" ht="15.75" customHeight="1">
      <c r="A1070" s="12"/>
      <c r="B1070" s="11"/>
      <c r="C1070" s="11"/>
      <c r="D1070" s="11"/>
      <c r="E1070" s="11" t="str">
        <f>IF(J1070="","", C1070 * IFERROR(VLOOKUP(J1070, SETUP!$A:$D, 3, FALSE), 0))</f>
        <v/>
      </c>
      <c r="F1070" s="11" t="str">
        <f>IF(J1070="","", C1070 * IFERROR(VLOOKUP(J1070, SETUP!$A:$D, 4, FALSE), 0))</f>
        <v/>
      </c>
      <c r="G1070" s="11" t="str">
        <f t="shared" si="1"/>
        <v/>
      </c>
      <c r="H1070" s="22"/>
      <c r="I1070" s="11"/>
      <c r="J1070" s="17" t="str">
        <f>IF(TRIM(B1070)="","",IF(ISNUMBER(SEARCH(" - ",B1070)),TRIM(RIGHT(B1070,LEN(B1070)-FIND(" - ",B1070)-2)),IFERROR(VLOOKUP(UPPER(TRIM(B1070)), SETUP!$B$4:$C$11, 2, FALSE), UPPER(TRIM(B1070)))))</f>
        <v/>
      </c>
      <c r="K1070" s="23" t="str">
        <f t="shared" si="2"/>
        <v/>
      </c>
      <c r="L1070" s="17" t="str">
        <f t="shared" si="3"/>
        <v/>
      </c>
      <c r="M1070" s="17" t="str">
        <f t="shared" si="4"/>
        <v/>
      </c>
    </row>
    <row r="1071" ht="15.75" customHeight="1">
      <c r="A1071" s="12"/>
      <c r="B1071" s="11"/>
      <c r="C1071" s="11"/>
      <c r="D1071" s="11"/>
      <c r="E1071" s="11" t="str">
        <f>IF(J1071="","", C1071 * IFERROR(VLOOKUP(J1071, SETUP!$A:$D, 3, FALSE), 0))</f>
        <v/>
      </c>
      <c r="F1071" s="11" t="str">
        <f>IF(J1071="","", C1071 * IFERROR(VLOOKUP(J1071, SETUP!$A:$D, 4, FALSE), 0))</f>
        <v/>
      </c>
      <c r="G1071" s="11" t="str">
        <f t="shared" si="1"/>
        <v/>
      </c>
      <c r="H1071" s="22"/>
      <c r="I1071" s="11"/>
      <c r="J1071" s="17" t="str">
        <f>IF(TRIM(B1071)="","",IF(ISNUMBER(SEARCH(" - ",B1071)),TRIM(RIGHT(B1071,LEN(B1071)-FIND(" - ",B1071)-2)),IFERROR(VLOOKUP(UPPER(TRIM(B1071)), SETUP!$B$4:$C$11, 2, FALSE), UPPER(TRIM(B1071)))))</f>
        <v/>
      </c>
      <c r="K1071" s="23" t="str">
        <f t="shared" si="2"/>
        <v/>
      </c>
      <c r="L1071" s="17" t="str">
        <f t="shared" si="3"/>
        <v/>
      </c>
      <c r="M1071" s="17" t="str">
        <f t="shared" si="4"/>
        <v/>
      </c>
    </row>
    <row r="1072" ht="15.75" customHeight="1">
      <c r="A1072" s="12"/>
      <c r="B1072" s="11"/>
      <c r="C1072" s="11"/>
      <c r="D1072" s="11"/>
      <c r="E1072" s="11" t="str">
        <f>IF(J1072="","", C1072 * IFERROR(VLOOKUP(J1072, SETUP!$A:$D, 3, FALSE), 0))</f>
        <v/>
      </c>
      <c r="F1072" s="11" t="str">
        <f>IF(J1072="","", C1072 * IFERROR(VLOOKUP(J1072, SETUP!$A:$D, 4, FALSE), 0))</f>
        <v/>
      </c>
      <c r="G1072" s="11" t="str">
        <f t="shared" si="1"/>
        <v/>
      </c>
      <c r="H1072" s="22"/>
      <c r="I1072" s="11"/>
      <c r="J1072" s="17" t="str">
        <f>IF(TRIM(B1072)="","",IF(ISNUMBER(SEARCH(" - ",B1072)),TRIM(RIGHT(B1072,LEN(B1072)-FIND(" - ",B1072)-2)),IFERROR(VLOOKUP(UPPER(TRIM(B1072)), SETUP!$B$4:$C$11, 2, FALSE), UPPER(TRIM(B1072)))))</f>
        <v/>
      </c>
      <c r="K1072" s="23" t="str">
        <f t="shared" si="2"/>
        <v/>
      </c>
      <c r="L1072" s="17" t="str">
        <f t="shared" si="3"/>
        <v/>
      </c>
      <c r="M1072" s="17" t="str">
        <f t="shared" si="4"/>
        <v/>
      </c>
    </row>
    <row r="1073" ht="15.75" customHeight="1">
      <c r="A1073" s="12"/>
      <c r="B1073" s="11"/>
      <c r="C1073" s="11"/>
      <c r="D1073" s="11"/>
      <c r="E1073" s="11" t="str">
        <f>IF(J1073="","", C1073 * IFERROR(VLOOKUP(J1073, SETUP!$A:$D, 3, FALSE), 0))</f>
        <v/>
      </c>
      <c r="F1073" s="11" t="str">
        <f>IF(J1073="","", C1073 * IFERROR(VLOOKUP(J1073, SETUP!$A:$D, 4, FALSE), 0))</f>
        <v/>
      </c>
      <c r="G1073" s="11" t="str">
        <f t="shared" si="1"/>
        <v/>
      </c>
      <c r="H1073" s="22"/>
      <c r="I1073" s="11"/>
      <c r="J1073" s="17" t="str">
        <f>IF(TRIM(B1073)="","",IF(ISNUMBER(SEARCH(" - ",B1073)),TRIM(RIGHT(B1073,LEN(B1073)-FIND(" - ",B1073)-2)),IFERROR(VLOOKUP(UPPER(TRIM(B1073)), SETUP!$B$4:$C$11, 2, FALSE), UPPER(TRIM(B1073)))))</f>
        <v/>
      </c>
      <c r="K1073" s="23" t="str">
        <f t="shared" si="2"/>
        <v/>
      </c>
      <c r="L1073" s="17" t="str">
        <f t="shared" si="3"/>
        <v/>
      </c>
      <c r="M1073" s="17" t="str">
        <f t="shared" si="4"/>
        <v/>
      </c>
    </row>
    <row r="1074" ht="15.75" customHeight="1">
      <c r="A1074" s="12"/>
      <c r="B1074" s="11"/>
      <c r="C1074" s="11"/>
      <c r="D1074" s="11"/>
      <c r="E1074" s="11" t="str">
        <f>IF(J1074="","", C1074 * IFERROR(VLOOKUP(J1074, SETUP!$A:$D, 3, FALSE), 0))</f>
        <v/>
      </c>
      <c r="F1074" s="11" t="str">
        <f>IF(J1074="","", C1074 * IFERROR(VLOOKUP(J1074, SETUP!$A:$D, 4, FALSE), 0))</f>
        <v/>
      </c>
      <c r="G1074" s="11" t="str">
        <f t="shared" si="1"/>
        <v/>
      </c>
      <c r="H1074" s="22"/>
      <c r="I1074" s="11"/>
      <c r="J1074" s="17" t="str">
        <f>IF(TRIM(B1074)="","",IF(ISNUMBER(SEARCH(" - ",B1074)),TRIM(RIGHT(B1074,LEN(B1074)-FIND(" - ",B1074)-2)),IFERROR(VLOOKUP(UPPER(TRIM(B1074)), SETUP!$B$4:$C$11, 2, FALSE), UPPER(TRIM(B1074)))))</f>
        <v/>
      </c>
      <c r="K1074" s="23" t="str">
        <f t="shared" si="2"/>
        <v/>
      </c>
      <c r="L1074" s="17" t="str">
        <f t="shared" si="3"/>
        <v/>
      </c>
      <c r="M1074" s="17" t="str">
        <f t="shared" si="4"/>
        <v/>
      </c>
    </row>
    <row r="1075" ht="15.75" customHeight="1">
      <c r="A1075" s="12"/>
      <c r="B1075" s="11"/>
      <c r="C1075" s="11"/>
      <c r="D1075" s="11"/>
      <c r="E1075" s="11" t="str">
        <f>IF(J1075="","", C1075 * IFERROR(VLOOKUP(J1075, SETUP!$A:$D, 3, FALSE), 0))</f>
        <v/>
      </c>
      <c r="F1075" s="11" t="str">
        <f>IF(J1075="","", C1075 * IFERROR(VLOOKUP(J1075, SETUP!$A:$D, 4, FALSE), 0))</f>
        <v/>
      </c>
      <c r="G1075" s="11" t="str">
        <f t="shared" si="1"/>
        <v/>
      </c>
      <c r="H1075" s="22"/>
      <c r="I1075" s="11"/>
      <c r="J1075" s="17" t="str">
        <f>IF(TRIM(B1075)="","",IF(ISNUMBER(SEARCH(" - ",B1075)),TRIM(RIGHT(B1075,LEN(B1075)-FIND(" - ",B1075)-2)),IFERROR(VLOOKUP(UPPER(TRIM(B1075)), SETUP!$B$4:$C$11, 2, FALSE), UPPER(TRIM(B1075)))))</f>
        <v/>
      </c>
      <c r="K1075" s="23" t="str">
        <f t="shared" si="2"/>
        <v/>
      </c>
      <c r="L1075" s="17" t="str">
        <f t="shared" si="3"/>
        <v/>
      </c>
      <c r="M1075" s="17" t="str">
        <f t="shared" si="4"/>
        <v/>
      </c>
    </row>
    <row r="1076" ht="15.75" customHeight="1">
      <c r="A1076" s="12"/>
      <c r="B1076" s="11"/>
      <c r="C1076" s="11"/>
      <c r="D1076" s="11"/>
      <c r="E1076" s="11" t="str">
        <f>IF(J1076="","", C1076 * IFERROR(VLOOKUP(J1076, SETUP!$A:$D, 3, FALSE), 0))</f>
        <v/>
      </c>
      <c r="F1076" s="11" t="str">
        <f>IF(J1076="","", C1076 * IFERROR(VLOOKUP(J1076, SETUP!$A:$D, 4, FALSE), 0))</f>
        <v/>
      </c>
      <c r="G1076" s="11" t="str">
        <f t="shared" si="1"/>
        <v/>
      </c>
      <c r="H1076" s="22"/>
      <c r="I1076" s="11"/>
      <c r="J1076" s="17" t="str">
        <f>IF(TRIM(B1076)="","",IF(ISNUMBER(SEARCH(" - ",B1076)),TRIM(RIGHT(B1076,LEN(B1076)-FIND(" - ",B1076)-2)),IFERROR(VLOOKUP(UPPER(TRIM(B1076)), SETUP!$B$4:$C$11, 2, FALSE), UPPER(TRIM(B1076)))))</f>
        <v/>
      </c>
      <c r="K1076" s="23" t="str">
        <f t="shared" si="2"/>
        <v/>
      </c>
      <c r="L1076" s="17" t="str">
        <f t="shared" si="3"/>
        <v/>
      </c>
      <c r="M1076" s="17" t="str">
        <f t="shared" si="4"/>
        <v/>
      </c>
    </row>
    <row r="1077" ht="15.75" customHeight="1">
      <c r="A1077" s="12"/>
      <c r="B1077" s="11"/>
      <c r="C1077" s="11"/>
      <c r="D1077" s="11"/>
      <c r="E1077" s="11" t="str">
        <f>IF(J1077="","", C1077 * IFERROR(VLOOKUP(J1077, SETUP!$A:$D, 3, FALSE), 0))</f>
        <v/>
      </c>
      <c r="F1077" s="11" t="str">
        <f>IF(J1077="","", C1077 * IFERROR(VLOOKUP(J1077, SETUP!$A:$D, 4, FALSE), 0))</f>
        <v/>
      </c>
      <c r="G1077" s="11" t="str">
        <f t="shared" si="1"/>
        <v/>
      </c>
      <c r="H1077" s="22"/>
      <c r="I1077" s="11"/>
      <c r="J1077" s="17" t="str">
        <f>IF(TRIM(B1077)="","",IF(ISNUMBER(SEARCH(" - ",B1077)),TRIM(RIGHT(B1077,LEN(B1077)-FIND(" - ",B1077)-2)),IFERROR(VLOOKUP(UPPER(TRIM(B1077)), SETUP!$B$4:$C$11, 2, FALSE), UPPER(TRIM(B1077)))))</f>
        <v/>
      </c>
      <c r="K1077" s="23" t="str">
        <f t="shared" si="2"/>
        <v/>
      </c>
      <c r="L1077" s="17" t="str">
        <f t="shared" si="3"/>
        <v/>
      </c>
      <c r="M1077" s="17" t="str">
        <f t="shared" si="4"/>
        <v/>
      </c>
    </row>
    <row r="1078" ht="15.75" customHeight="1">
      <c r="A1078" s="12"/>
      <c r="B1078" s="11"/>
      <c r="C1078" s="11"/>
      <c r="D1078" s="11"/>
      <c r="E1078" s="11" t="str">
        <f>IF(J1078="","", C1078 * IFERROR(VLOOKUP(J1078, SETUP!$A:$D, 3, FALSE), 0))</f>
        <v/>
      </c>
      <c r="F1078" s="11" t="str">
        <f>IF(J1078="","", C1078 * IFERROR(VLOOKUP(J1078, SETUP!$A:$D, 4, FALSE), 0))</f>
        <v/>
      </c>
      <c r="G1078" s="11" t="str">
        <f t="shared" si="1"/>
        <v/>
      </c>
      <c r="H1078" s="22"/>
      <c r="I1078" s="11"/>
      <c r="J1078" s="17" t="str">
        <f>IF(TRIM(B1078)="","",IF(ISNUMBER(SEARCH(" - ",B1078)),TRIM(RIGHT(B1078,LEN(B1078)-FIND(" - ",B1078)-2)),IFERROR(VLOOKUP(UPPER(TRIM(B1078)), SETUP!$B$4:$C$11, 2, FALSE), UPPER(TRIM(B1078)))))</f>
        <v/>
      </c>
      <c r="K1078" s="23" t="str">
        <f t="shared" si="2"/>
        <v/>
      </c>
      <c r="L1078" s="17" t="str">
        <f t="shared" si="3"/>
        <v/>
      </c>
      <c r="M1078" s="17" t="str">
        <f t="shared" si="4"/>
        <v/>
      </c>
    </row>
    <row r="1079" ht="15.75" customHeight="1">
      <c r="A1079" s="12"/>
      <c r="B1079" s="11"/>
      <c r="C1079" s="11"/>
      <c r="D1079" s="11"/>
      <c r="E1079" s="11" t="str">
        <f>IF(J1079="","", C1079 * IFERROR(VLOOKUP(J1079, SETUP!$A:$D, 3, FALSE), 0))</f>
        <v/>
      </c>
      <c r="F1079" s="11" t="str">
        <f>IF(J1079="","", C1079 * IFERROR(VLOOKUP(J1079, SETUP!$A:$D, 4, FALSE), 0))</f>
        <v/>
      </c>
      <c r="G1079" s="11" t="str">
        <f t="shared" si="1"/>
        <v/>
      </c>
      <c r="H1079" s="22"/>
      <c r="I1079" s="11"/>
      <c r="J1079" s="17" t="str">
        <f>IF(TRIM(B1079)="","",IF(ISNUMBER(SEARCH(" - ",B1079)),TRIM(RIGHT(B1079,LEN(B1079)-FIND(" - ",B1079)-2)),IFERROR(VLOOKUP(UPPER(TRIM(B1079)), SETUP!$B$4:$C$11, 2, FALSE), UPPER(TRIM(B1079)))))</f>
        <v/>
      </c>
      <c r="K1079" s="23" t="str">
        <f t="shared" si="2"/>
        <v/>
      </c>
      <c r="L1079" s="17" t="str">
        <f t="shared" si="3"/>
        <v/>
      </c>
      <c r="M1079" s="17" t="str">
        <f t="shared" si="4"/>
        <v/>
      </c>
    </row>
    <row r="1080" ht="15.75" customHeight="1">
      <c r="A1080" s="12"/>
      <c r="B1080" s="11"/>
      <c r="C1080" s="11"/>
      <c r="D1080" s="11"/>
      <c r="E1080" s="11" t="str">
        <f>IF(J1080="","", C1080 * IFERROR(VLOOKUP(J1080, SETUP!$A:$D, 3, FALSE), 0))</f>
        <v/>
      </c>
      <c r="F1080" s="11" t="str">
        <f>IF(J1080="","", C1080 * IFERROR(VLOOKUP(J1080, SETUP!$A:$D, 4, FALSE), 0))</f>
        <v/>
      </c>
      <c r="G1080" s="11" t="str">
        <f t="shared" si="1"/>
        <v/>
      </c>
      <c r="H1080" s="22"/>
      <c r="I1080" s="11"/>
      <c r="J1080" s="17" t="str">
        <f>IF(TRIM(B1080)="","",IF(ISNUMBER(SEARCH(" - ",B1080)),TRIM(RIGHT(B1080,LEN(B1080)-FIND(" - ",B1080)-2)),IFERROR(VLOOKUP(UPPER(TRIM(B1080)), SETUP!$B$4:$C$11, 2, FALSE), UPPER(TRIM(B1080)))))</f>
        <v/>
      </c>
      <c r="K1080" s="23" t="str">
        <f t="shared" si="2"/>
        <v/>
      </c>
      <c r="L1080" s="17" t="str">
        <f t="shared" si="3"/>
        <v/>
      </c>
      <c r="M1080" s="17" t="str">
        <f t="shared" si="4"/>
        <v/>
      </c>
    </row>
    <row r="1081" ht="15.75" customHeight="1">
      <c r="A1081" s="12"/>
      <c r="B1081" s="11"/>
      <c r="C1081" s="11"/>
      <c r="D1081" s="11"/>
      <c r="E1081" s="11" t="str">
        <f>IF(J1081="","", C1081 * IFERROR(VLOOKUP(J1081, SETUP!$A:$D, 3, FALSE), 0))</f>
        <v/>
      </c>
      <c r="F1081" s="11" t="str">
        <f>IF(J1081="","", C1081 * IFERROR(VLOOKUP(J1081, SETUP!$A:$D, 4, FALSE), 0))</f>
        <v/>
      </c>
      <c r="G1081" s="11" t="str">
        <f t="shared" si="1"/>
        <v/>
      </c>
      <c r="H1081" s="22"/>
      <c r="I1081" s="11"/>
      <c r="J1081" s="17" t="str">
        <f>IF(TRIM(B1081)="","",IF(ISNUMBER(SEARCH(" - ",B1081)),TRIM(RIGHT(B1081,LEN(B1081)-FIND(" - ",B1081)-2)),IFERROR(VLOOKUP(UPPER(TRIM(B1081)), SETUP!$B$4:$C$11, 2, FALSE), UPPER(TRIM(B1081)))))</f>
        <v/>
      </c>
      <c r="K1081" s="23" t="str">
        <f t="shared" si="2"/>
        <v/>
      </c>
      <c r="L1081" s="17" t="str">
        <f t="shared" si="3"/>
        <v/>
      </c>
      <c r="M1081" s="17" t="str">
        <f t="shared" si="4"/>
        <v/>
      </c>
    </row>
    <row r="1082" ht="15.75" customHeight="1">
      <c r="A1082" s="12"/>
      <c r="B1082" s="11"/>
      <c r="C1082" s="11"/>
      <c r="D1082" s="11"/>
      <c r="E1082" s="11" t="str">
        <f>IF(J1082="","", C1082 * IFERROR(VLOOKUP(J1082, SETUP!$A:$D, 3, FALSE), 0))</f>
        <v/>
      </c>
      <c r="F1082" s="11" t="str">
        <f>IF(J1082="","", C1082 * IFERROR(VLOOKUP(J1082, SETUP!$A:$D, 4, FALSE), 0))</f>
        <v/>
      </c>
      <c r="G1082" s="11" t="str">
        <f t="shared" si="1"/>
        <v/>
      </c>
      <c r="H1082" s="22"/>
      <c r="I1082" s="11"/>
      <c r="J1082" s="17" t="str">
        <f>IF(TRIM(B1082)="","",IF(ISNUMBER(SEARCH(" - ",B1082)),TRIM(RIGHT(B1082,LEN(B1082)-FIND(" - ",B1082)-2)),IFERROR(VLOOKUP(UPPER(TRIM(B1082)), SETUP!$B$4:$C$11, 2, FALSE), UPPER(TRIM(B1082)))))</f>
        <v/>
      </c>
      <c r="K1082" s="23" t="str">
        <f t="shared" si="2"/>
        <v/>
      </c>
      <c r="L1082" s="17" t="str">
        <f t="shared" si="3"/>
        <v/>
      </c>
      <c r="M1082" s="17" t="str">
        <f t="shared" si="4"/>
        <v/>
      </c>
    </row>
    <row r="1083" ht="15.75" customHeight="1">
      <c r="A1083" s="12"/>
      <c r="B1083" s="11"/>
      <c r="C1083" s="11"/>
      <c r="D1083" s="11"/>
      <c r="E1083" s="11" t="str">
        <f>IF(J1083="","", C1083 * IFERROR(VLOOKUP(J1083, SETUP!$A:$D, 3, FALSE), 0))</f>
        <v/>
      </c>
      <c r="F1083" s="11" t="str">
        <f>IF(J1083="","", C1083 * IFERROR(VLOOKUP(J1083, SETUP!$A:$D, 4, FALSE), 0))</f>
        <v/>
      </c>
      <c r="G1083" s="11" t="str">
        <f t="shared" si="1"/>
        <v/>
      </c>
      <c r="H1083" s="22"/>
      <c r="I1083" s="11"/>
      <c r="J1083" s="17" t="str">
        <f>IF(TRIM(B1083)="","",IF(ISNUMBER(SEARCH(" - ",B1083)),TRIM(RIGHT(B1083,LEN(B1083)-FIND(" - ",B1083)-2)),IFERROR(VLOOKUP(UPPER(TRIM(B1083)), SETUP!$B$4:$C$11, 2, FALSE), UPPER(TRIM(B1083)))))</f>
        <v/>
      </c>
      <c r="K1083" s="23" t="str">
        <f t="shared" si="2"/>
        <v/>
      </c>
      <c r="L1083" s="17" t="str">
        <f t="shared" si="3"/>
        <v/>
      </c>
      <c r="M1083" s="17" t="str">
        <f t="shared" si="4"/>
        <v/>
      </c>
    </row>
    <row r="1084" ht="15.75" customHeight="1">
      <c r="A1084" s="12"/>
      <c r="B1084" s="11"/>
      <c r="C1084" s="11"/>
      <c r="D1084" s="11"/>
      <c r="E1084" s="11" t="str">
        <f>IF(J1084="","", C1084 * IFERROR(VLOOKUP(J1084, SETUP!$A:$D, 3, FALSE), 0))</f>
        <v/>
      </c>
      <c r="F1084" s="11" t="str">
        <f>IF(J1084="","", C1084 * IFERROR(VLOOKUP(J1084, SETUP!$A:$D, 4, FALSE), 0))</f>
        <v/>
      </c>
      <c r="G1084" s="11" t="str">
        <f t="shared" si="1"/>
        <v/>
      </c>
      <c r="H1084" s="22"/>
      <c r="I1084" s="11"/>
      <c r="J1084" s="17" t="str">
        <f>IF(TRIM(B1084)="","",IF(ISNUMBER(SEARCH(" - ",B1084)),TRIM(RIGHT(B1084,LEN(B1084)-FIND(" - ",B1084)-2)),IFERROR(VLOOKUP(UPPER(TRIM(B1084)), SETUP!$B$4:$C$11, 2, FALSE), UPPER(TRIM(B1084)))))</f>
        <v/>
      </c>
      <c r="K1084" s="23" t="str">
        <f t="shared" si="2"/>
        <v/>
      </c>
      <c r="L1084" s="17" t="str">
        <f t="shared" si="3"/>
        <v/>
      </c>
      <c r="M1084" s="17" t="str">
        <f t="shared" si="4"/>
        <v/>
      </c>
    </row>
    <row r="1085" ht="15.75" customHeight="1">
      <c r="A1085" s="12"/>
      <c r="B1085" s="11"/>
      <c r="C1085" s="11"/>
      <c r="D1085" s="11"/>
      <c r="E1085" s="11" t="str">
        <f>IF(J1085="","", C1085 * IFERROR(VLOOKUP(J1085, SETUP!$A:$D, 3, FALSE), 0))</f>
        <v/>
      </c>
      <c r="F1085" s="11" t="str">
        <f>IF(J1085="","", C1085 * IFERROR(VLOOKUP(J1085, SETUP!$A:$D, 4, FALSE), 0))</f>
        <v/>
      </c>
      <c r="G1085" s="11" t="str">
        <f t="shared" si="1"/>
        <v/>
      </c>
      <c r="H1085" s="22"/>
      <c r="I1085" s="11"/>
      <c r="J1085" s="17" t="str">
        <f>IF(TRIM(B1085)="","",IF(ISNUMBER(SEARCH(" - ",B1085)),TRIM(RIGHT(B1085,LEN(B1085)-FIND(" - ",B1085)-2)),IFERROR(VLOOKUP(UPPER(TRIM(B1085)), SETUP!$B$4:$C$11, 2, FALSE), UPPER(TRIM(B1085)))))</f>
        <v/>
      </c>
      <c r="K1085" s="23" t="str">
        <f t="shared" si="2"/>
        <v/>
      </c>
      <c r="L1085" s="17" t="str">
        <f t="shared" si="3"/>
        <v/>
      </c>
      <c r="M1085" s="17" t="str">
        <f t="shared" si="4"/>
        <v/>
      </c>
    </row>
    <row r="1086" ht="15.75" customHeight="1">
      <c r="A1086" s="12"/>
      <c r="B1086" s="11"/>
      <c r="C1086" s="11"/>
      <c r="D1086" s="11"/>
      <c r="E1086" s="11" t="str">
        <f>IF(J1086="","", C1086 * IFERROR(VLOOKUP(J1086, SETUP!$A:$D, 3, FALSE), 0))</f>
        <v/>
      </c>
      <c r="F1086" s="11" t="str">
        <f>IF(J1086="","", C1086 * IFERROR(VLOOKUP(J1086, SETUP!$A:$D, 4, FALSE), 0))</f>
        <v/>
      </c>
      <c r="G1086" s="11" t="str">
        <f t="shared" si="1"/>
        <v/>
      </c>
      <c r="H1086" s="22"/>
      <c r="I1086" s="11"/>
      <c r="J1086" s="17" t="str">
        <f>IF(TRIM(B1086)="","",IF(ISNUMBER(SEARCH(" - ",B1086)),TRIM(RIGHT(B1086,LEN(B1086)-FIND(" - ",B1086)-2)),IFERROR(VLOOKUP(UPPER(TRIM(B1086)), SETUP!$B$4:$C$11, 2, FALSE), UPPER(TRIM(B1086)))))</f>
        <v/>
      </c>
      <c r="K1086" s="23" t="str">
        <f t="shared" si="2"/>
        <v/>
      </c>
      <c r="L1086" s="17" t="str">
        <f t="shared" si="3"/>
        <v/>
      </c>
      <c r="M1086" s="17" t="str">
        <f t="shared" si="4"/>
        <v/>
      </c>
    </row>
    <row r="1087" ht="15.75" customHeight="1">
      <c r="A1087" s="12"/>
      <c r="B1087" s="11"/>
      <c r="C1087" s="11"/>
      <c r="D1087" s="11"/>
      <c r="E1087" s="11" t="str">
        <f>IF(J1087="","", C1087 * IFERROR(VLOOKUP(J1087, SETUP!$A:$D, 3, FALSE), 0))</f>
        <v/>
      </c>
      <c r="F1087" s="11" t="str">
        <f>IF(J1087="","", C1087 * IFERROR(VLOOKUP(J1087, SETUP!$A:$D, 4, FALSE), 0))</f>
        <v/>
      </c>
      <c r="G1087" s="11" t="str">
        <f t="shared" si="1"/>
        <v/>
      </c>
      <c r="H1087" s="22"/>
      <c r="I1087" s="11"/>
      <c r="J1087" s="17" t="str">
        <f>IF(TRIM(B1087)="","",IF(ISNUMBER(SEARCH(" - ",B1087)),TRIM(RIGHT(B1087,LEN(B1087)-FIND(" - ",B1087)-2)),IFERROR(VLOOKUP(UPPER(TRIM(B1087)), SETUP!$B$4:$C$11, 2, FALSE), UPPER(TRIM(B1087)))))</f>
        <v/>
      </c>
      <c r="K1087" s="23" t="str">
        <f t="shared" si="2"/>
        <v/>
      </c>
      <c r="L1087" s="17" t="str">
        <f t="shared" si="3"/>
        <v/>
      </c>
      <c r="M1087" s="17" t="str">
        <f t="shared" si="4"/>
        <v/>
      </c>
    </row>
    <row r="1088" ht="15.75" customHeight="1">
      <c r="A1088" s="12"/>
      <c r="B1088" s="11"/>
      <c r="C1088" s="11"/>
      <c r="D1088" s="11"/>
      <c r="E1088" s="11" t="str">
        <f>IF(J1088="","", C1088 * IFERROR(VLOOKUP(J1088, SETUP!$A:$D, 3, FALSE), 0))</f>
        <v/>
      </c>
      <c r="F1088" s="11" t="str">
        <f>IF(J1088="","", C1088 * IFERROR(VLOOKUP(J1088, SETUP!$A:$D, 4, FALSE), 0))</f>
        <v/>
      </c>
      <c r="G1088" s="11" t="str">
        <f t="shared" si="1"/>
        <v/>
      </c>
      <c r="H1088" s="22"/>
      <c r="I1088" s="11"/>
      <c r="J1088" s="17" t="str">
        <f>IF(TRIM(B1088)="","",IF(ISNUMBER(SEARCH(" - ",B1088)),TRIM(RIGHT(B1088,LEN(B1088)-FIND(" - ",B1088)-2)),IFERROR(VLOOKUP(UPPER(TRIM(B1088)), SETUP!$B$4:$C$11, 2, FALSE), UPPER(TRIM(B1088)))))</f>
        <v/>
      </c>
      <c r="K1088" s="23" t="str">
        <f t="shared" si="2"/>
        <v/>
      </c>
      <c r="L1088" s="17" t="str">
        <f t="shared" si="3"/>
        <v/>
      </c>
      <c r="M1088" s="17" t="str">
        <f t="shared" si="4"/>
        <v/>
      </c>
    </row>
    <row r="1089" ht="15.75" customHeight="1">
      <c r="A1089" s="12"/>
      <c r="B1089" s="11"/>
      <c r="C1089" s="11"/>
      <c r="D1089" s="11"/>
      <c r="E1089" s="11" t="str">
        <f>IF(J1089="","", C1089 * IFERROR(VLOOKUP(J1089, SETUP!$A:$D, 3, FALSE), 0))</f>
        <v/>
      </c>
      <c r="F1089" s="11" t="str">
        <f>IF(J1089="","", C1089 * IFERROR(VLOOKUP(J1089, SETUP!$A:$D, 4, FALSE), 0))</f>
        <v/>
      </c>
      <c r="G1089" s="11" t="str">
        <f t="shared" si="1"/>
        <v/>
      </c>
      <c r="H1089" s="22"/>
      <c r="I1089" s="11"/>
      <c r="J1089" s="17" t="str">
        <f>IF(TRIM(B1089)="","",IF(ISNUMBER(SEARCH(" - ",B1089)),TRIM(RIGHT(B1089,LEN(B1089)-FIND(" - ",B1089)-2)),IFERROR(VLOOKUP(UPPER(TRIM(B1089)), SETUP!$B$4:$C$11, 2, FALSE), UPPER(TRIM(B1089)))))</f>
        <v/>
      </c>
      <c r="K1089" s="23" t="str">
        <f t="shared" si="2"/>
        <v/>
      </c>
      <c r="L1089" s="17" t="str">
        <f t="shared" si="3"/>
        <v/>
      </c>
      <c r="M1089" s="17" t="str">
        <f t="shared" si="4"/>
        <v/>
      </c>
    </row>
    <row r="1090" ht="15.75" customHeight="1">
      <c r="A1090" s="12"/>
      <c r="B1090" s="11"/>
      <c r="C1090" s="11"/>
      <c r="D1090" s="11"/>
      <c r="E1090" s="11" t="str">
        <f>IF(J1090="","", C1090 * IFERROR(VLOOKUP(J1090, SETUP!$A:$D, 3, FALSE), 0))</f>
        <v/>
      </c>
      <c r="F1090" s="11" t="str">
        <f>IF(J1090="","", C1090 * IFERROR(VLOOKUP(J1090, SETUP!$A:$D, 4, FALSE), 0))</f>
        <v/>
      </c>
      <c r="G1090" s="11" t="str">
        <f t="shared" si="1"/>
        <v/>
      </c>
      <c r="H1090" s="22"/>
      <c r="I1090" s="11"/>
      <c r="J1090" s="17" t="str">
        <f>IF(TRIM(B1090)="","",IF(ISNUMBER(SEARCH(" - ",B1090)),TRIM(RIGHT(B1090,LEN(B1090)-FIND(" - ",B1090)-2)),IFERROR(VLOOKUP(UPPER(TRIM(B1090)), SETUP!$B$4:$C$11, 2, FALSE), UPPER(TRIM(B1090)))))</f>
        <v/>
      </c>
      <c r="K1090" s="23" t="str">
        <f t="shared" si="2"/>
        <v/>
      </c>
      <c r="L1090" s="17" t="str">
        <f t="shared" si="3"/>
        <v/>
      </c>
      <c r="M1090" s="17" t="str">
        <f t="shared" si="4"/>
        <v/>
      </c>
    </row>
    <row r="1091" ht="15.75" customHeight="1">
      <c r="A1091" s="12"/>
      <c r="B1091" s="11"/>
      <c r="C1091" s="11"/>
      <c r="D1091" s="11"/>
      <c r="E1091" s="11" t="str">
        <f>IF(J1091="","", C1091 * IFERROR(VLOOKUP(J1091, SETUP!$A:$D, 3, FALSE), 0))</f>
        <v/>
      </c>
      <c r="F1091" s="11" t="str">
        <f>IF(J1091="","", C1091 * IFERROR(VLOOKUP(J1091, SETUP!$A:$D, 4, FALSE), 0))</f>
        <v/>
      </c>
      <c r="G1091" s="11" t="str">
        <f t="shared" si="1"/>
        <v/>
      </c>
      <c r="H1091" s="22"/>
      <c r="I1091" s="11"/>
      <c r="J1091" s="17" t="str">
        <f>IF(TRIM(B1091)="","",IF(ISNUMBER(SEARCH(" - ",B1091)),TRIM(RIGHT(B1091,LEN(B1091)-FIND(" - ",B1091)-2)),IFERROR(VLOOKUP(UPPER(TRIM(B1091)), SETUP!$B$4:$C$11, 2, FALSE), UPPER(TRIM(B1091)))))</f>
        <v/>
      </c>
      <c r="K1091" s="23" t="str">
        <f t="shared" si="2"/>
        <v/>
      </c>
      <c r="L1091" s="17" t="str">
        <f t="shared" si="3"/>
        <v/>
      </c>
      <c r="M1091" s="17" t="str">
        <f t="shared" si="4"/>
        <v/>
      </c>
    </row>
    <row r="1092" ht="15.75" customHeight="1">
      <c r="A1092" s="12"/>
      <c r="B1092" s="11"/>
      <c r="C1092" s="11"/>
      <c r="D1092" s="11"/>
      <c r="E1092" s="11" t="str">
        <f>IF(J1092="","", C1092 * IFERROR(VLOOKUP(J1092, SETUP!$A:$D, 3, FALSE), 0))</f>
        <v/>
      </c>
      <c r="F1092" s="11" t="str">
        <f>IF(J1092="","", C1092 * IFERROR(VLOOKUP(J1092, SETUP!$A:$D, 4, FALSE), 0))</f>
        <v/>
      </c>
      <c r="G1092" s="11" t="str">
        <f t="shared" si="1"/>
        <v/>
      </c>
      <c r="H1092" s="22"/>
      <c r="I1092" s="11"/>
      <c r="J1092" s="17" t="str">
        <f>IF(TRIM(B1092)="","",IF(ISNUMBER(SEARCH(" - ",B1092)),TRIM(RIGHT(B1092,LEN(B1092)-FIND(" - ",B1092)-2)),IFERROR(VLOOKUP(UPPER(TRIM(B1092)), SETUP!$B$4:$C$11, 2, FALSE), UPPER(TRIM(B1092)))))</f>
        <v/>
      </c>
      <c r="K1092" s="23" t="str">
        <f t="shared" si="2"/>
        <v/>
      </c>
      <c r="L1092" s="17" t="str">
        <f t="shared" si="3"/>
        <v/>
      </c>
      <c r="M1092" s="17" t="str">
        <f t="shared" si="4"/>
        <v/>
      </c>
    </row>
    <row r="1093" ht="15.75" customHeight="1">
      <c r="A1093" s="12"/>
      <c r="B1093" s="11"/>
      <c r="C1093" s="11"/>
      <c r="D1093" s="11"/>
      <c r="E1093" s="11" t="str">
        <f>IF(J1093="","", C1093 * IFERROR(VLOOKUP(J1093, SETUP!$A:$D, 3, FALSE), 0))</f>
        <v/>
      </c>
      <c r="F1093" s="11" t="str">
        <f>IF(J1093="","", C1093 * IFERROR(VLOOKUP(J1093, SETUP!$A:$D, 4, FALSE), 0))</f>
        <v/>
      </c>
      <c r="G1093" s="11" t="str">
        <f t="shared" si="1"/>
        <v/>
      </c>
      <c r="H1093" s="22"/>
      <c r="I1093" s="11"/>
      <c r="J1093" s="17" t="str">
        <f>IF(TRIM(B1093)="","",IF(ISNUMBER(SEARCH(" - ",B1093)),TRIM(RIGHT(B1093,LEN(B1093)-FIND(" - ",B1093)-2)),IFERROR(VLOOKUP(UPPER(TRIM(B1093)), SETUP!$B$4:$C$11, 2, FALSE), UPPER(TRIM(B1093)))))</f>
        <v/>
      </c>
      <c r="K1093" s="23" t="str">
        <f t="shared" si="2"/>
        <v/>
      </c>
      <c r="L1093" s="17" t="str">
        <f t="shared" si="3"/>
        <v/>
      </c>
      <c r="M1093" s="17" t="str">
        <f t="shared" si="4"/>
        <v/>
      </c>
    </row>
    <row r="1094" ht="15.75" customHeight="1">
      <c r="A1094" s="12"/>
      <c r="B1094" s="11"/>
      <c r="C1094" s="11"/>
      <c r="D1094" s="11"/>
      <c r="E1094" s="11" t="str">
        <f>IF(J1094="","", C1094 * IFERROR(VLOOKUP(J1094, SETUP!$A:$D, 3, FALSE), 0))</f>
        <v/>
      </c>
      <c r="F1094" s="11" t="str">
        <f>IF(J1094="","", C1094 * IFERROR(VLOOKUP(J1094, SETUP!$A:$D, 4, FALSE), 0))</f>
        <v/>
      </c>
      <c r="G1094" s="11" t="str">
        <f t="shared" si="1"/>
        <v/>
      </c>
      <c r="H1094" s="22"/>
      <c r="I1094" s="11"/>
      <c r="J1094" s="17" t="str">
        <f>IF(TRIM(B1094)="","",IF(ISNUMBER(SEARCH(" - ",B1094)),TRIM(RIGHT(B1094,LEN(B1094)-FIND(" - ",B1094)-2)),IFERROR(VLOOKUP(UPPER(TRIM(B1094)), SETUP!$B$4:$C$11, 2, FALSE), UPPER(TRIM(B1094)))))</f>
        <v/>
      </c>
      <c r="K1094" s="23" t="str">
        <f t="shared" si="2"/>
        <v/>
      </c>
      <c r="L1094" s="17" t="str">
        <f t="shared" si="3"/>
        <v/>
      </c>
      <c r="M1094" s="17" t="str">
        <f t="shared" si="4"/>
        <v/>
      </c>
    </row>
    <row r="1095" ht="15.75" customHeight="1">
      <c r="A1095" s="12"/>
      <c r="B1095" s="11"/>
      <c r="C1095" s="11"/>
      <c r="D1095" s="11"/>
      <c r="E1095" s="11" t="str">
        <f>IF(J1095="","", C1095 * IFERROR(VLOOKUP(J1095, SETUP!$A:$D, 3, FALSE), 0))</f>
        <v/>
      </c>
      <c r="F1095" s="11" t="str">
        <f>IF(J1095="","", C1095 * IFERROR(VLOOKUP(J1095, SETUP!$A:$D, 4, FALSE), 0))</f>
        <v/>
      </c>
      <c r="G1095" s="11" t="str">
        <f t="shared" si="1"/>
        <v/>
      </c>
      <c r="H1095" s="22"/>
      <c r="I1095" s="11"/>
      <c r="J1095" s="17" t="str">
        <f>IF(TRIM(B1095)="","",IF(ISNUMBER(SEARCH(" - ",B1095)),TRIM(RIGHT(B1095,LEN(B1095)-FIND(" - ",B1095)-2)),IFERROR(VLOOKUP(UPPER(TRIM(B1095)), SETUP!$B$4:$C$11, 2, FALSE), UPPER(TRIM(B1095)))))</f>
        <v/>
      </c>
      <c r="K1095" s="23" t="str">
        <f t="shared" si="2"/>
        <v/>
      </c>
      <c r="L1095" s="17" t="str">
        <f t="shared" si="3"/>
        <v/>
      </c>
      <c r="M1095" s="17" t="str">
        <f t="shared" si="4"/>
        <v/>
      </c>
    </row>
    <row r="1096" ht="15.75" customHeight="1">
      <c r="A1096" s="12"/>
      <c r="B1096" s="11"/>
      <c r="C1096" s="11"/>
      <c r="D1096" s="11"/>
      <c r="E1096" s="11" t="str">
        <f>IF(J1096="","", C1096 * IFERROR(VLOOKUP(J1096, SETUP!$A:$D, 3, FALSE), 0))</f>
        <v/>
      </c>
      <c r="F1096" s="11" t="str">
        <f>IF(J1096="","", C1096 * IFERROR(VLOOKUP(J1096, SETUP!$A:$D, 4, FALSE), 0))</f>
        <v/>
      </c>
      <c r="G1096" s="11" t="str">
        <f t="shared" si="1"/>
        <v/>
      </c>
      <c r="H1096" s="22"/>
      <c r="I1096" s="11"/>
      <c r="J1096" s="17" t="str">
        <f>IF(TRIM(B1096)="","",IF(ISNUMBER(SEARCH(" - ",B1096)),TRIM(RIGHT(B1096,LEN(B1096)-FIND(" - ",B1096)-2)),IFERROR(VLOOKUP(UPPER(TRIM(B1096)), SETUP!$B$4:$C$11, 2, FALSE), UPPER(TRIM(B1096)))))</f>
        <v/>
      </c>
      <c r="K1096" s="23" t="str">
        <f t="shared" si="2"/>
        <v/>
      </c>
      <c r="L1096" s="17" t="str">
        <f t="shared" si="3"/>
        <v/>
      </c>
      <c r="M1096" s="17" t="str">
        <f t="shared" si="4"/>
        <v/>
      </c>
    </row>
    <row r="1097" ht="15.75" customHeight="1">
      <c r="A1097" s="12"/>
      <c r="B1097" s="11"/>
      <c r="C1097" s="11"/>
      <c r="D1097" s="11"/>
      <c r="E1097" s="11" t="str">
        <f>IF(J1097="","", C1097 * IFERROR(VLOOKUP(J1097, SETUP!$A:$D, 3, FALSE), 0))</f>
        <v/>
      </c>
      <c r="F1097" s="11" t="str">
        <f>IF(J1097="","", C1097 * IFERROR(VLOOKUP(J1097, SETUP!$A:$D, 4, FALSE), 0))</f>
        <v/>
      </c>
      <c r="G1097" s="11" t="str">
        <f t="shared" si="1"/>
        <v/>
      </c>
      <c r="H1097" s="22"/>
      <c r="I1097" s="11"/>
      <c r="J1097" s="17" t="str">
        <f>IF(TRIM(B1097)="","",IF(ISNUMBER(SEARCH(" - ",B1097)),TRIM(RIGHT(B1097,LEN(B1097)-FIND(" - ",B1097)-2)),IFERROR(VLOOKUP(UPPER(TRIM(B1097)), SETUP!$B$4:$C$11, 2, FALSE), UPPER(TRIM(B1097)))))</f>
        <v/>
      </c>
      <c r="K1097" s="23" t="str">
        <f t="shared" si="2"/>
        <v/>
      </c>
      <c r="L1097" s="17" t="str">
        <f t="shared" si="3"/>
        <v/>
      </c>
      <c r="M1097" s="17" t="str">
        <f t="shared" si="4"/>
        <v/>
      </c>
    </row>
    <row r="1098" ht="15.75" customHeight="1">
      <c r="A1098" s="12"/>
      <c r="B1098" s="11"/>
      <c r="C1098" s="11"/>
      <c r="D1098" s="11"/>
      <c r="E1098" s="11" t="str">
        <f>IF(J1098="","", C1098 * IFERROR(VLOOKUP(J1098, SETUP!$A:$D, 3, FALSE), 0))</f>
        <v/>
      </c>
      <c r="F1098" s="11" t="str">
        <f>IF(J1098="","", C1098 * IFERROR(VLOOKUP(J1098, SETUP!$A:$D, 4, FALSE), 0))</f>
        <v/>
      </c>
      <c r="G1098" s="11" t="str">
        <f t="shared" si="1"/>
        <v/>
      </c>
      <c r="H1098" s="22"/>
      <c r="I1098" s="11"/>
      <c r="J1098" s="17" t="str">
        <f>IF(TRIM(B1098)="","",IF(ISNUMBER(SEARCH(" - ",B1098)),TRIM(RIGHT(B1098,LEN(B1098)-FIND(" - ",B1098)-2)),IFERROR(VLOOKUP(UPPER(TRIM(B1098)), SETUP!$B$4:$C$11, 2, FALSE), UPPER(TRIM(B1098)))))</f>
        <v/>
      </c>
      <c r="K1098" s="23" t="str">
        <f t="shared" si="2"/>
        <v/>
      </c>
      <c r="L1098" s="17" t="str">
        <f t="shared" si="3"/>
        <v/>
      </c>
      <c r="M1098" s="17" t="str">
        <f t="shared" si="4"/>
        <v/>
      </c>
    </row>
    <row r="1099" ht="15.75" customHeight="1">
      <c r="A1099" s="12"/>
      <c r="B1099" s="11"/>
      <c r="C1099" s="11"/>
      <c r="D1099" s="11"/>
      <c r="E1099" s="11" t="str">
        <f>IF(J1099="","", C1099 * IFERROR(VLOOKUP(J1099, SETUP!$A:$D, 3, FALSE), 0))</f>
        <v/>
      </c>
      <c r="F1099" s="11" t="str">
        <f>IF(J1099="","", C1099 * IFERROR(VLOOKUP(J1099, SETUP!$A:$D, 4, FALSE), 0))</f>
        <v/>
      </c>
      <c r="G1099" s="11" t="str">
        <f t="shared" si="1"/>
        <v/>
      </c>
      <c r="H1099" s="22"/>
      <c r="I1099" s="11"/>
      <c r="J1099" s="17" t="str">
        <f>IF(TRIM(B1099)="","",IF(ISNUMBER(SEARCH(" - ",B1099)),TRIM(RIGHT(B1099,LEN(B1099)-FIND(" - ",B1099)-2)),IFERROR(VLOOKUP(UPPER(TRIM(B1099)), SETUP!$B$4:$C$11, 2, FALSE), UPPER(TRIM(B1099)))))</f>
        <v/>
      </c>
      <c r="K1099" s="23" t="str">
        <f t="shared" si="2"/>
        <v/>
      </c>
      <c r="L1099" s="17" t="str">
        <f t="shared" si="3"/>
        <v/>
      </c>
      <c r="M1099" s="17" t="str">
        <f t="shared" si="4"/>
        <v/>
      </c>
    </row>
    <row r="1100" ht="15.75" customHeight="1">
      <c r="A1100" s="12"/>
      <c r="B1100" s="11"/>
      <c r="C1100" s="11"/>
      <c r="D1100" s="11"/>
      <c r="E1100" s="11" t="str">
        <f>IF(J1100="","", C1100 * IFERROR(VLOOKUP(J1100, SETUP!$A:$D, 3, FALSE), 0))</f>
        <v/>
      </c>
      <c r="F1100" s="11" t="str">
        <f>IF(J1100="","", C1100 * IFERROR(VLOOKUP(J1100, SETUP!$A:$D, 4, FALSE), 0))</f>
        <v/>
      </c>
      <c r="G1100" s="11" t="str">
        <f t="shared" si="1"/>
        <v/>
      </c>
      <c r="H1100" s="22"/>
      <c r="I1100" s="11"/>
      <c r="J1100" s="17" t="str">
        <f>IF(TRIM(B1100)="","",IF(ISNUMBER(SEARCH(" - ",B1100)),TRIM(RIGHT(B1100,LEN(B1100)-FIND(" - ",B1100)-2)),IFERROR(VLOOKUP(UPPER(TRIM(B1100)), SETUP!$B$4:$C$11, 2, FALSE), UPPER(TRIM(B1100)))))</f>
        <v/>
      </c>
      <c r="K1100" s="23" t="str">
        <f t="shared" si="2"/>
        <v/>
      </c>
      <c r="L1100" s="17" t="str">
        <f t="shared" si="3"/>
        <v/>
      </c>
      <c r="M1100" s="17" t="str">
        <f t="shared" si="4"/>
        <v/>
      </c>
    </row>
    <row r="1101" ht="15.75" customHeight="1">
      <c r="A1101" s="12"/>
      <c r="B1101" s="11"/>
      <c r="C1101" s="11"/>
      <c r="D1101" s="11"/>
      <c r="E1101" s="11" t="str">
        <f>IF(J1101="","", C1101 * IFERROR(VLOOKUP(J1101, SETUP!$A:$D, 3, FALSE), 0))</f>
        <v/>
      </c>
      <c r="F1101" s="11" t="str">
        <f>IF(J1101="","", C1101 * IFERROR(VLOOKUP(J1101, SETUP!$A:$D, 4, FALSE), 0))</f>
        <v/>
      </c>
      <c r="G1101" s="11" t="str">
        <f t="shared" si="1"/>
        <v/>
      </c>
      <c r="H1101" s="22"/>
      <c r="I1101" s="11"/>
      <c r="J1101" s="17" t="str">
        <f>IF(TRIM(B1101)="","",IF(ISNUMBER(SEARCH(" - ",B1101)),TRIM(RIGHT(B1101,LEN(B1101)-FIND(" - ",B1101)-2)),IFERROR(VLOOKUP(UPPER(TRIM(B1101)), SETUP!$B$4:$C$11, 2, FALSE), UPPER(TRIM(B1101)))))</f>
        <v/>
      </c>
      <c r="K1101" s="23" t="str">
        <f t="shared" si="2"/>
        <v/>
      </c>
      <c r="L1101" s="17" t="str">
        <f t="shared" si="3"/>
        <v/>
      </c>
      <c r="M1101" s="17" t="str">
        <f t="shared" si="4"/>
        <v/>
      </c>
    </row>
    <row r="1102" ht="15.75" customHeight="1">
      <c r="A1102" s="12"/>
      <c r="B1102" s="11"/>
      <c r="C1102" s="11"/>
      <c r="D1102" s="11"/>
      <c r="E1102" s="11" t="str">
        <f>IF(J1102="","", C1102 * IFERROR(VLOOKUP(J1102, SETUP!$A:$D, 3, FALSE), 0))</f>
        <v/>
      </c>
      <c r="F1102" s="11" t="str">
        <f>IF(J1102="","", C1102 * IFERROR(VLOOKUP(J1102, SETUP!$A:$D, 4, FALSE), 0))</f>
        <v/>
      </c>
      <c r="G1102" s="11" t="str">
        <f t="shared" si="1"/>
        <v/>
      </c>
      <c r="H1102" s="22"/>
      <c r="I1102" s="11"/>
      <c r="J1102" s="17" t="str">
        <f>IF(TRIM(B1102)="","",IF(ISNUMBER(SEARCH(" - ",B1102)),TRIM(RIGHT(B1102,LEN(B1102)-FIND(" - ",B1102)-2)),IFERROR(VLOOKUP(UPPER(TRIM(B1102)), SETUP!$B$4:$C$11, 2, FALSE), UPPER(TRIM(B1102)))))</f>
        <v/>
      </c>
      <c r="K1102" s="23" t="str">
        <f t="shared" si="2"/>
        <v/>
      </c>
      <c r="L1102" s="17" t="str">
        <f t="shared" si="3"/>
        <v/>
      </c>
      <c r="M1102" s="17" t="str">
        <f t="shared" si="4"/>
        <v/>
      </c>
    </row>
    <row r="1103" ht="15.75" customHeight="1">
      <c r="A1103" s="12"/>
      <c r="B1103" s="11"/>
      <c r="C1103" s="11"/>
      <c r="D1103" s="11"/>
      <c r="E1103" s="11" t="str">
        <f>IF(J1103="","", C1103 * IFERROR(VLOOKUP(J1103, SETUP!$A:$D, 3, FALSE), 0))</f>
        <v/>
      </c>
      <c r="F1103" s="11" t="str">
        <f>IF(J1103="","", C1103 * IFERROR(VLOOKUP(J1103, SETUP!$A:$D, 4, FALSE), 0))</f>
        <v/>
      </c>
      <c r="G1103" s="11" t="str">
        <f t="shared" si="1"/>
        <v/>
      </c>
      <c r="H1103" s="22"/>
      <c r="I1103" s="11"/>
      <c r="J1103" s="17" t="str">
        <f>IF(TRIM(B1103)="","",IF(ISNUMBER(SEARCH(" - ",B1103)),TRIM(RIGHT(B1103,LEN(B1103)-FIND(" - ",B1103)-2)),IFERROR(VLOOKUP(UPPER(TRIM(B1103)), SETUP!$B$4:$C$11, 2, FALSE), UPPER(TRIM(B1103)))))</f>
        <v/>
      </c>
      <c r="K1103" s="23" t="str">
        <f t="shared" si="2"/>
        <v/>
      </c>
      <c r="L1103" s="17" t="str">
        <f t="shared" si="3"/>
        <v/>
      </c>
      <c r="M1103" s="17" t="str">
        <f t="shared" si="4"/>
        <v/>
      </c>
    </row>
    <row r="1104" ht="15.75" customHeight="1">
      <c r="A1104" s="12"/>
      <c r="B1104" s="11"/>
      <c r="C1104" s="11"/>
      <c r="D1104" s="11"/>
      <c r="E1104" s="11" t="str">
        <f>IF(J1104="","", C1104 * IFERROR(VLOOKUP(J1104, SETUP!$A:$D, 3, FALSE), 0))</f>
        <v/>
      </c>
      <c r="F1104" s="11" t="str">
        <f>IF(J1104="","", C1104 * IFERROR(VLOOKUP(J1104, SETUP!$A:$D, 4, FALSE), 0))</f>
        <v/>
      </c>
      <c r="G1104" s="11" t="str">
        <f t="shared" si="1"/>
        <v/>
      </c>
      <c r="H1104" s="22"/>
      <c r="I1104" s="11"/>
      <c r="J1104" s="17" t="str">
        <f>IF(TRIM(B1104)="","",IF(ISNUMBER(SEARCH(" - ",B1104)),TRIM(RIGHT(B1104,LEN(B1104)-FIND(" - ",B1104)-2)),IFERROR(VLOOKUP(UPPER(TRIM(B1104)), SETUP!$B$4:$C$11, 2, FALSE), UPPER(TRIM(B1104)))))</f>
        <v/>
      </c>
      <c r="K1104" s="23" t="str">
        <f t="shared" si="2"/>
        <v/>
      </c>
      <c r="L1104" s="17" t="str">
        <f t="shared" si="3"/>
        <v/>
      </c>
      <c r="M1104" s="17" t="str">
        <f t="shared" si="4"/>
        <v/>
      </c>
    </row>
    <row r="1105" ht="15.75" customHeight="1">
      <c r="A1105" s="12"/>
      <c r="B1105" s="11"/>
      <c r="C1105" s="11"/>
      <c r="D1105" s="11"/>
      <c r="E1105" s="11" t="str">
        <f>IF(J1105="","", C1105 * IFERROR(VLOOKUP(J1105, SETUP!$A:$D, 3, FALSE), 0))</f>
        <v/>
      </c>
      <c r="F1105" s="11" t="str">
        <f>IF(J1105="","", C1105 * IFERROR(VLOOKUP(J1105, SETUP!$A:$D, 4, FALSE), 0))</f>
        <v/>
      </c>
      <c r="G1105" s="11" t="str">
        <f t="shared" si="1"/>
        <v/>
      </c>
      <c r="H1105" s="22"/>
      <c r="I1105" s="11"/>
      <c r="J1105" s="17" t="str">
        <f>IF(TRIM(B1105)="","",IF(ISNUMBER(SEARCH(" - ",B1105)),TRIM(RIGHT(B1105,LEN(B1105)-FIND(" - ",B1105)-2)),IFERROR(VLOOKUP(UPPER(TRIM(B1105)), SETUP!$B$4:$C$11, 2, FALSE), UPPER(TRIM(B1105)))))</f>
        <v/>
      </c>
      <c r="K1105" s="23" t="str">
        <f t="shared" si="2"/>
        <v/>
      </c>
      <c r="L1105" s="17" t="str">
        <f t="shared" si="3"/>
        <v/>
      </c>
      <c r="M1105" s="17" t="str">
        <f t="shared" si="4"/>
        <v/>
      </c>
    </row>
    <row r="1106" ht="15.75" customHeight="1">
      <c r="A1106" s="12"/>
      <c r="B1106" s="11"/>
      <c r="C1106" s="11"/>
      <c r="D1106" s="11"/>
      <c r="E1106" s="11" t="str">
        <f>IF(J1106="","", C1106 * IFERROR(VLOOKUP(J1106, SETUP!$A:$D, 3, FALSE), 0))</f>
        <v/>
      </c>
      <c r="F1106" s="11" t="str">
        <f>IF(J1106="","", C1106 * IFERROR(VLOOKUP(J1106, SETUP!$A:$D, 4, FALSE), 0))</f>
        <v/>
      </c>
      <c r="G1106" s="11" t="str">
        <f t="shared" si="1"/>
        <v/>
      </c>
      <c r="H1106" s="22"/>
      <c r="I1106" s="11"/>
      <c r="J1106" s="17" t="str">
        <f>IF(TRIM(B1106)="","",IF(ISNUMBER(SEARCH(" - ",B1106)),TRIM(RIGHT(B1106,LEN(B1106)-FIND(" - ",B1106)-2)),IFERROR(VLOOKUP(UPPER(TRIM(B1106)), SETUP!$B$4:$C$11, 2, FALSE), UPPER(TRIM(B1106)))))</f>
        <v/>
      </c>
      <c r="K1106" s="23" t="str">
        <f t="shared" si="2"/>
        <v/>
      </c>
      <c r="L1106" s="17" t="str">
        <f t="shared" si="3"/>
        <v/>
      </c>
      <c r="M1106" s="17" t="str">
        <f t="shared" si="4"/>
        <v/>
      </c>
    </row>
    <row r="1107" ht="15.75" customHeight="1">
      <c r="A1107" s="12"/>
      <c r="B1107" s="11"/>
      <c r="C1107" s="11"/>
      <c r="D1107" s="11"/>
      <c r="E1107" s="11" t="str">
        <f>IF(J1107="","", C1107 * IFERROR(VLOOKUP(J1107, SETUP!$A:$D, 3, FALSE), 0))</f>
        <v/>
      </c>
      <c r="F1107" s="11" t="str">
        <f>IF(J1107="","", C1107 * IFERROR(VLOOKUP(J1107, SETUP!$A:$D, 4, FALSE), 0))</f>
        <v/>
      </c>
      <c r="G1107" s="11" t="str">
        <f t="shared" si="1"/>
        <v/>
      </c>
      <c r="H1107" s="22"/>
      <c r="I1107" s="11"/>
      <c r="J1107" s="17" t="str">
        <f>IF(TRIM(B1107)="","",IF(ISNUMBER(SEARCH(" - ",B1107)),TRIM(RIGHT(B1107,LEN(B1107)-FIND(" - ",B1107)-2)),IFERROR(VLOOKUP(UPPER(TRIM(B1107)), SETUP!$B$4:$C$11, 2, FALSE), UPPER(TRIM(B1107)))))</f>
        <v/>
      </c>
      <c r="K1107" s="23" t="str">
        <f t="shared" si="2"/>
        <v/>
      </c>
      <c r="L1107" s="17" t="str">
        <f t="shared" si="3"/>
        <v/>
      </c>
      <c r="M1107" s="17" t="str">
        <f t="shared" si="4"/>
        <v/>
      </c>
    </row>
    <row r="1108" ht="15.75" customHeight="1">
      <c r="A1108" s="12"/>
      <c r="B1108" s="11"/>
      <c r="C1108" s="11"/>
      <c r="D1108" s="11"/>
      <c r="E1108" s="11" t="str">
        <f>IF(J1108="","", C1108 * IFERROR(VLOOKUP(J1108, SETUP!$A:$D, 3, FALSE), 0))</f>
        <v/>
      </c>
      <c r="F1108" s="11" t="str">
        <f>IF(J1108="","", C1108 * IFERROR(VLOOKUP(J1108, SETUP!$A:$D, 4, FALSE), 0))</f>
        <v/>
      </c>
      <c r="G1108" s="11" t="str">
        <f t="shared" si="1"/>
        <v/>
      </c>
      <c r="H1108" s="22"/>
      <c r="I1108" s="11"/>
      <c r="J1108" s="17" t="str">
        <f>IF(TRIM(B1108)="","",IF(ISNUMBER(SEARCH(" - ",B1108)),TRIM(RIGHT(B1108,LEN(B1108)-FIND(" - ",B1108)-2)),IFERROR(VLOOKUP(UPPER(TRIM(B1108)), SETUP!$B$4:$C$11, 2, FALSE), UPPER(TRIM(B1108)))))</f>
        <v/>
      </c>
      <c r="K1108" s="23" t="str">
        <f t="shared" si="2"/>
        <v/>
      </c>
      <c r="L1108" s="17" t="str">
        <f t="shared" si="3"/>
        <v/>
      </c>
      <c r="M1108" s="17" t="str">
        <f t="shared" si="4"/>
        <v/>
      </c>
    </row>
    <row r="1109" ht="15.75" customHeight="1">
      <c r="A1109" s="12"/>
      <c r="B1109" s="11"/>
      <c r="C1109" s="11"/>
      <c r="D1109" s="11"/>
      <c r="E1109" s="11" t="str">
        <f>IF(J1109="","", C1109 * IFERROR(VLOOKUP(J1109, SETUP!$A:$D, 3, FALSE), 0))</f>
        <v/>
      </c>
      <c r="F1109" s="11" t="str">
        <f>IF(J1109="","", C1109 * IFERROR(VLOOKUP(J1109, SETUP!$A:$D, 4, FALSE), 0))</f>
        <v/>
      </c>
      <c r="G1109" s="11" t="str">
        <f t="shared" si="1"/>
        <v/>
      </c>
      <c r="H1109" s="22"/>
      <c r="I1109" s="11"/>
      <c r="J1109" s="17" t="str">
        <f>IF(TRIM(B1109)="","",IF(ISNUMBER(SEARCH(" - ",B1109)),TRIM(RIGHT(B1109,LEN(B1109)-FIND(" - ",B1109)-2)),IFERROR(VLOOKUP(UPPER(TRIM(B1109)), SETUP!$B$4:$C$11, 2, FALSE), UPPER(TRIM(B1109)))))</f>
        <v/>
      </c>
      <c r="K1109" s="23" t="str">
        <f t="shared" si="2"/>
        <v/>
      </c>
      <c r="L1109" s="17" t="str">
        <f t="shared" si="3"/>
        <v/>
      </c>
      <c r="M1109" s="17" t="str">
        <f t="shared" si="4"/>
        <v/>
      </c>
    </row>
    <row r="1110" ht="15.75" customHeight="1">
      <c r="A1110" s="12"/>
      <c r="B1110" s="11"/>
      <c r="C1110" s="11"/>
      <c r="D1110" s="11"/>
      <c r="E1110" s="11" t="str">
        <f>IF(J1110="","", C1110 * IFERROR(VLOOKUP(J1110, SETUP!$A:$D, 3, FALSE), 0))</f>
        <v/>
      </c>
      <c r="F1110" s="11" t="str">
        <f>IF(J1110="","", C1110 * IFERROR(VLOOKUP(J1110, SETUP!$A:$D, 4, FALSE), 0))</f>
        <v/>
      </c>
      <c r="G1110" s="11" t="str">
        <f t="shared" si="1"/>
        <v/>
      </c>
      <c r="H1110" s="22"/>
      <c r="I1110" s="11"/>
      <c r="J1110" s="17" t="str">
        <f>IF(TRIM(B1110)="","",IF(ISNUMBER(SEARCH(" - ",B1110)),TRIM(RIGHT(B1110,LEN(B1110)-FIND(" - ",B1110)-2)),IFERROR(VLOOKUP(UPPER(TRIM(B1110)), SETUP!$B$4:$C$11, 2, FALSE), UPPER(TRIM(B1110)))))</f>
        <v/>
      </c>
      <c r="K1110" s="23" t="str">
        <f t="shared" si="2"/>
        <v/>
      </c>
      <c r="L1110" s="17" t="str">
        <f t="shared" si="3"/>
        <v/>
      </c>
      <c r="M1110" s="17" t="str">
        <f t="shared" si="4"/>
        <v/>
      </c>
    </row>
    <row r="1111" ht="15.75" customHeight="1">
      <c r="A1111" s="12"/>
      <c r="B1111" s="11"/>
      <c r="C1111" s="11"/>
      <c r="D1111" s="11"/>
      <c r="E1111" s="11" t="str">
        <f>IF(J1111="","", C1111 * IFERROR(VLOOKUP(J1111, SETUP!$A:$D, 3, FALSE), 0))</f>
        <v/>
      </c>
      <c r="F1111" s="11" t="str">
        <f>IF(J1111="","", C1111 * IFERROR(VLOOKUP(J1111, SETUP!$A:$D, 4, FALSE), 0))</f>
        <v/>
      </c>
      <c r="G1111" s="11" t="str">
        <f t="shared" si="1"/>
        <v/>
      </c>
      <c r="H1111" s="22"/>
      <c r="I1111" s="11"/>
      <c r="J1111" s="17" t="str">
        <f>IF(TRIM(B1111)="","",IF(ISNUMBER(SEARCH(" - ",B1111)),TRIM(RIGHT(B1111,LEN(B1111)-FIND(" - ",B1111)-2)),IFERROR(VLOOKUP(UPPER(TRIM(B1111)), SETUP!$B$4:$C$11, 2, FALSE), UPPER(TRIM(B1111)))))</f>
        <v/>
      </c>
      <c r="K1111" s="23" t="str">
        <f t="shared" si="2"/>
        <v/>
      </c>
      <c r="L1111" s="17" t="str">
        <f t="shared" si="3"/>
        <v/>
      </c>
      <c r="M1111" s="17" t="str">
        <f t="shared" si="4"/>
        <v/>
      </c>
    </row>
    <row r="1112" ht="15.75" customHeight="1">
      <c r="A1112" s="12"/>
      <c r="B1112" s="11"/>
      <c r="C1112" s="11"/>
      <c r="D1112" s="11"/>
      <c r="E1112" s="11" t="str">
        <f>IF(J1112="","", C1112 * IFERROR(VLOOKUP(J1112, SETUP!$A:$D, 3, FALSE), 0))</f>
        <v/>
      </c>
      <c r="F1112" s="11" t="str">
        <f>IF(J1112="","", C1112 * IFERROR(VLOOKUP(J1112, SETUP!$A:$D, 4, FALSE), 0))</f>
        <v/>
      </c>
      <c r="G1112" s="11" t="str">
        <f t="shared" si="1"/>
        <v/>
      </c>
      <c r="H1112" s="22"/>
      <c r="I1112" s="11"/>
      <c r="J1112" s="17" t="str">
        <f>IF(TRIM(B1112)="","",IF(ISNUMBER(SEARCH(" - ",B1112)),TRIM(RIGHT(B1112,LEN(B1112)-FIND(" - ",B1112)-2)),IFERROR(VLOOKUP(UPPER(TRIM(B1112)), SETUP!$B$4:$C$11, 2, FALSE), UPPER(TRIM(B1112)))))</f>
        <v/>
      </c>
      <c r="K1112" s="23" t="str">
        <f t="shared" si="2"/>
        <v/>
      </c>
      <c r="L1112" s="17" t="str">
        <f t="shared" si="3"/>
        <v/>
      </c>
      <c r="M1112" s="17" t="str">
        <f t="shared" si="4"/>
        <v/>
      </c>
    </row>
    <row r="1113" ht="15.75" customHeight="1">
      <c r="A1113" s="12"/>
      <c r="B1113" s="11"/>
      <c r="C1113" s="11"/>
      <c r="D1113" s="11"/>
      <c r="E1113" s="11" t="str">
        <f>IF(J1113="","", C1113 * IFERROR(VLOOKUP(J1113, SETUP!$A:$D, 3, FALSE), 0))</f>
        <v/>
      </c>
      <c r="F1113" s="11" t="str">
        <f>IF(J1113="","", C1113 * IFERROR(VLOOKUP(J1113, SETUP!$A:$D, 4, FALSE), 0))</f>
        <v/>
      </c>
      <c r="G1113" s="11" t="str">
        <f t="shared" si="1"/>
        <v/>
      </c>
      <c r="H1113" s="22"/>
      <c r="I1113" s="11"/>
      <c r="J1113" s="17" t="str">
        <f>IF(TRIM(B1113)="","",IF(ISNUMBER(SEARCH(" - ",B1113)),TRIM(RIGHT(B1113,LEN(B1113)-FIND(" - ",B1113)-2)),IFERROR(VLOOKUP(UPPER(TRIM(B1113)), SETUP!$B$4:$C$11, 2, FALSE), UPPER(TRIM(B1113)))))</f>
        <v/>
      </c>
      <c r="K1113" s="23" t="str">
        <f t="shared" si="2"/>
        <v/>
      </c>
      <c r="L1113" s="17" t="str">
        <f t="shared" si="3"/>
        <v/>
      </c>
      <c r="M1113" s="17" t="str">
        <f t="shared" si="4"/>
        <v/>
      </c>
    </row>
    <row r="1114" ht="15.75" customHeight="1">
      <c r="A1114" s="12"/>
      <c r="B1114" s="11"/>
      <c r="C1114" s="11"/>
      <c r="D1114" s="11"/>
      <c r="E1114" s="11" t="str">
        <f>IF(J1114="","", C1114 * IFERROR(VLOOKUP(J1114, SETUP!$A:$D, 3, FALSE), 0))</f>
        <v/>
      </c>
      <c r="F1114" s="11" t="str">
        <f>IF(J1114="","", C1114 * IFERROR(VLOOKUP(J1114, SETUP!$A:$D, 4, FALSE), 0))</f>
        <v/>
      </c>
      <c r="G1114" s="11" t="str">
        <f t="shared" si="1"/>
        <v/>
      </c>
      <c r="H1114" s="22"/>
      <c r="I1114" s="11"/>
      <c r="J1114" s="17" t="str">
        <f>IF(TRIM(B1114)="","",IF(ISNUMBER(SEARCH(" - ",B1114)),TRIM(RIGHT(B1114,LEN(B1114)-FIND(" - ",B1114)-2)),IFERROR(VLOOKUP(UPPER(TRIM(B1114)), SETUP!$B$4:$C$11, 2, FALSE), UPPER(TRIM(B1114)))))</f>
        <v/>
      </c>
      <c r="K1114" s="23" t="str">
        <f t="shared" si="2"/>
        <v/>
      </c>
      <c r="L1114" s="17" t="str">
        <f t="shared" si="3"/>
        <v/>
      </c>
      <c r="M1114" s="17" t="str">
        <f t="shared" si="4"/>
        <v/>
      </c>
    </row>
    <row r="1115" ht="15.75" customHeight="1">
      <c r="A1115" s="12"/>
      <c r="B1115" s="11"/>
      <c r="C1115" s="11"/>
      <c r="D1115" s="11"/>
      <c r="E1115" s="11" t="str">
        <f>IF(J1115="","", C1115 * IFERROR(VLOOKUP(J1115, SETUP!$A:$D, 3, FALSE), 0))</f>
        <v/>
      </c>
      <c r="F1115" s="11" t="str">
        <f>IF(J1115="","", C1115 * IFERROR(VLOOKUP(J1115, SETUP!$A:$D, 4, FALSE), 0))</f>
        <v/>
      </c>
      <c r="G1115" s="11" t="str">
        <f t="shared" si="1"/>
        <v/>
      </c>
      <c r="H1115" s="22"/>
      <c r="I1115" s="11"/>
      <c r="J1115" s="17" t="str">
        <f>IF(TRIM(B1115)="","",IF(ISNUMBER(SEARCH(" - ",B1115)),TRIM(RIGHT(B1115,LEN(B1115)-FIND(" - ",B1115)-2)),IFERROR(VLOOKUP(UPPER(TRIM(B1115)), SETUP!$B$4:$C$11, 2, FALSE), UPPER(TRIM(B1115)))))</f>
        <v/>
      </c>
      <c r="K1115" s="23" t="str">
        <f t="shared" si="2"/>
        <v/>
      </c>
      <c r="L1115" s="17" t="str">
        <f t="shared" si="3"/>
        <v/>
      </c>
      <c r="M1115" s="17" t="str">
        <f t="shared" si="4"/>
        <v/>
      </c>
    </row>
    <row r="1116" ht="15.75" customHeight="1">
      <c r="A1116" s="12"/>
      <c r="B1116" s="11"/>
      <c r="C1116" s="11"/>
      <c r="D1116" s="11"/>
      <c r="E1116" s="11" t="str">
        <f>IF(J1116="","", C1116 * IFERROR(VLOOKUP(J1116, SETUP!$A:$D, 3, FALSE), 0))</f>
        <v/>
      </c>
      <c r="F1116" s="11" t="str">
        <f>IF(J1116="","", C1116 * IFERROR(VLOOKUP(J1116, SETUP!$A:$D, 4, FALSE), 0))</f>
        <v/>
      </c>
      <c r="G1116" s="11" t="str">
        <f t="shared" si="1"/>
        <v/>
      </c>
      <c r="H1116" s="22"/>
      <c r="I1116" s="11"/>
      <c r="J1116" s="17" t="str">
        <f>IF(TRIM(B1116)="","",IF(ISNUMBER(SEARCH(" - ",B1116)),TRIM(RIGHT(B1116,LEN(B1116)-FIND(" - ",B1116)-2)),IFERROR(VLOOKUP(UPPER(TRIM(B1116)), SETUP!$B$4:$C$11, 2, FALSE), UPPER(TRIM(B1116)))))</f>
        <v/>
      </c>
      <c r="K1116" s="23" t="str">
        <f t="shared" si="2"/>
        <v/>
      </c>
      <c r="L1116" s="17" t="str">
        <f t="shared" si="3"/>
        <v/>
      </c>
      <c r="M1116" s="17" t="str">
        <f t="shared" si="4"/>
        <v/>
      </c>
    </row>
    <row r="1117" ht="15.75" customHeight="1">
      <c r="A1117" s="12"/>
      <c r="B1117" s="11"/>
      <c r="C1117" s="11"/>
      <c r="D1117" s="11"/>
      <c r="E1117" s="11" t="str">
        <f>IF(J1117="","", C1117 * IFERROR(VLOOKUP(J1117, SETUP!$A:$D, 3, FALSE), 0))</f>
        <v/>
      </c>
      <c r="F1117" s="11" t="str">
        <f>IF(J1117="","", C1117 * IFERROR(VLOOKUP(J1117, SETUP!$A:$D, 4, FALSE), 0))</f>
        <v/>
      </c>
      <c r="G1117" s="11" t="str">
        <f t="shared" si="1"/>
        <v/>
      </c>
      <c r="H1117" s="22"/>
      <c r="I1117" s="11"/>
      <c r="J1117" s="17" t="str">
        <f>IF(TRIM(B1117)="","",IF(ISNUMBER(SEARCH(" - ",B1117)),TRIM(RIGHT(B1117,LEN(B1117)-FIND(" - ",B1117)-2)),IFERROR(VLOOKUP(UPPER(TRIM(B1117)), SETUP!$B$4:$C$11, 2, FALSE), UPPER(TRIM(B1117)))))</f>
        <v/>
      </c>
      <c r="K1117" s="23" t="str">
        <f t="shared" si="2"/>
        <v/>
      </c>
      <c r="L1117" s="17" t="str">
        <f t="shared" si="3"/>
        <v/>
      </c>
      <c r="M1117" s="17" t="str">
        <f t="shared" si="4"/>
        <v/>
      </c>
    </row>
    <row r="1118" ht="15.75" customHeight="1">
      <c r="A1118" s="12"/>
      <c r="B1118" s="11"/>
      <c r="C1118" s="11"/>
      <c r="D1118" s="11"/>
      <c r="E1118" s="11" t="str">
        <f>IF(J1118="","", C1118 * IFERROR(VLOOKUP(J1118, SETUP!$A:$D, 3, FALSE), 0))</f>
        <v/>
      </c>
      <c r="F1118" s="11" t="str">
        <f>IF(J1118="","", C1118 * IFERROR(VLOOKUP(J1118, SETUP!$A:$D, 4, FALSE), 0))</f>
        <v/>
      </c>
      <c r="G1118" s="11" t="str">
        <f t="shared" si="1"/>
        <v/>
      </c>
      <c r="H1118" s="22"/>
      <c r="I1118" s="11"/>
      <c r="J1118" s="17" t="str">
        <f>IF(TRIM(B1118)="","",IF(ISNUMBER(SEARCH(" - ",B1118)),TRIM(RIGHT(B1118,LEN(B1118)-FIND(" - ",B1118)-2)),IFERROR(VLOOKUP(UPPER(TRIM(B1118)), SETUP!$B$4:$C$11, 2, FALSE), UPPER(TRIM(B1118)))))</f>
        <v/>
      </c>
      <c r="K1118" s="23" t="str">
        <f t="shared" si="2"/>
        <v/>
      </c>
      <c r="L1118" s="17" t="str">
        <f t="shared" si="3"/>
        <v/>
      </c>
      <c r="M1118" s="17" t="str">
        <f t="shared" si="4"/>
        <v/>
      </c>
    </row>
    <row r="1119" ht="15.75" customHeight="1">
      <c r="A1119" s="12"/>
      <c r="B1119" s="11"/>
      <c r="C1119" s="11"/>
      <c r="D1119" s="11"/>
      <c r="E1119" s="11" t="str">
        <f>IF(J1119="","", C1119 * IFERROR(VLOOKUP(J1119, SETUP!$A:$D, 3, FALSE), 0))</f>
        <v/>
      </c>
      <c r="F1119" s="11" t="str">
        <f>IF(J1119="","", C1119 * IFERROR(VLOOKUP(J1119, SETUP!$A:$D, 4, FALSE), 0))</f>
        <v/>
      </c>
      <c r="G1119" s="11" t="str">
        <f t="shared" si="1"/>
        <v/>
      </c>
      <c r="H1119" s="22"/>
      <c r="I1119" s="11"/>
      <c r="J1119" s="17" t="str">
        <f>IF(TRIM(B1119)="","",IF(ISNUMBER(SEARCH(" - ",B1119)),TRIM(RIGHT(B1119,LEN(B1119)-FIND(" - ",B1119)-2)),IFERROR(VLOOKUP(UPPER(TRIM(B1119)), SETUP!$B$4:$C$11, 2, FALSE), UPPER(TRIM(B1119)))))</f>
        <v/>
      </c>
      <c r="K1119" s="23" t="str">
        <f t="shared" si="2"/>
        <v/>
      </c>
      <c r="L1119" s="17" t="str">
        <f t="shared" si="3"/>
        <v/>
      </c>
      <c r="M1119" s="17" t="str">
        <f t="shared" si="4"/>
        <v/>
      </c>
    </row>
    <row r="1120" ht="15.75" customHeight="1">
      <c r="A1120" s="12"/>
      <c r="B1120" s="11"/>
      <c r="C1120" s="11"/>
      <c r="D1120" s="11"/>
      <c r="E1120" s="11" t="str">
        <f>IF(J1120="","", C1120 * IFERROR(VLOOKUP(J1120, SETUP!$A:$D, 3, FALSE), 0))</f>
        <v/>
      </c>
      <c r="F1120" s="11" t="str">
        <f>IF(J1120="","", C1120 * IFERROR(VLOOKUP(J1120, SETUP!$A:$D, 4, FALSE), 0))</f>
        <v/>
      </c>
      <c r="G1120" s="11" t="str">
        <f t="shared" si="1"/>
        <v/>
      </c>
      <c r="H1120" s="22"/>
      <c r="I1120" s="11"/>
      <c r="J1120" s="17" t="str">
        <f>IF(TRIM(B1120)="","",IF(ISNUMBER(SEARCH(" - ",B1120)),TRIM(RIGHT(B1120,LEN(B1120)-FIND(" - ",B1120)-2)),IFERROR(VLOOKUP(UPPER(TRIM(B1120)), SETUP!$B$4:$C$11, 2, FALSE), UPPER(TRIM(B1120)))))</f>
        <v/>
      </c>
      <c r="K1120" s="23" t="str">
        <f t="shared" si="2"/>
        <v/>
      </c>
      <c r="L1120" s="17" t="str">
        <f t="shared" si="3"/>
        <v/>
      </c>
      <c r="M1120" s="17" t="str">
        <f t="shared" si="4"/>
        <v/>
      </c>
    </row>
    <row r="1121" ht="15.75" customHeight="1">
      <c r="A1121" s="12"/>
      <c r="B1121" s="11"/>
      <c r="C1121" s="11"/>
      <c r="D1121" s="11"/>
      <c r="E1121" s="11" t="str">
        <f>IF(J1121="","", C1121 * IFERROR(VLOOKUP(J1121, SETUP!$A:$D, 3, FALSE), 0))</f>
        <v/>
      </c>
      <c r="F1121" s="11" t="str">
        <f>IF(J1121="","", C1121 * IFERROR(VLOOKUP(J1121, SETUP!$A:$D, 4, FALSE), 0))</f>
        <v/>
      </c>
      <c r="G1121" s="11" t="str">
        <f t="shared" si="1"/>
        <v/>
      </c>
      <c r="H1121" s="22"/>
      <c r="I1121" s="11"/>
      <c r="J1121" s="17" t="str">
        <f>IF(TRIM(B1121)="","",IF(ISNUMBER(SEARCH(" - ",B1121)),TRIM(RIGHT(B1121,LEN(B1121)-FIND(" - ",B1121)-2)),IFERROR(VLOOKUP(UPPER(TRIM(B1121)), SETUP!$B$4:$C$11, 2, FALSE), UPPER(TRIM(B1121)))))</f>
        <v/>
      </c>
      <c r="K1121" s="23" t="str">
        <f t="shared" si="2"/>
        <v/>
      </c>
      <c r="L1121" s="17" t="str">
        <f t="shared" si="3"/>
        <v/>
      </c>
      <c r="M1121" s="17" t="str">
        <f t="shared" si="4"/>
        <v/>
      </c>
    </row>
    <row r="1122" ht="15.75" customHeight="1">
      <c r="A1122" s="12"/>
      <c r="B1122" s="11"/>
      <c r="C1122" s="11"/>
      <c r="D1122" s="11"/>
      <c r="E1122" s="11" t="str">
        <f>IF(J1122="","", C1122 * IFERROR(VLOOKUP(J1122, SETUP!$A:$D, 3, FALSE), 0))</f>
        <v/>
      </c>
      <c r="F1122" s="11" t="str">
        <f>IF(J1122="","", C1122 * IFERROR(VLOOKUP(J1122, SETUP!$A:$D, 4, FALSE), 0))</f>
        <v/>
      </c>
      <c r="G1122" s="11" t="str">
        <f t="shared" si="1"/>
        <v/>
      </c>
      <c r="H1122" s="22"/>
      <c r="I1122" s="11"/>
      <c r="J1122" s="17" t="str">
        <f>IF(TRIM(B1122)="","",IF(ISNUMBER(SEARCH(" - ",B1122)),TRIM(RIGHT(B1122,LEN(B1122)-FIND(" - ",B1122)-2)),IFERROR(VLOOKUP(UPPER(TRIM(B1122)), SETUP!$B$4:$C$11, 2, FALSE), UPPER(TRIM(B1122)))))</f>
        <v/>
      </c>
      <c r="K1122" s="23" t="str">
        <f t="shared" si="2"/>
        <v/>
      </c>
      <c r="L1122" s="17" t="str">
        <f t="shared" si="3"/>
        <v/>
      </c>
      <c r="M1122" s="17" t="str">
        <f t="shared" si="4"/>
        <v/>
      </c>
    </row>
    <row r="1123" ht="15.75" customHeight="1">
      <c r="A1123" s="12"/>
      <c r="B1123" s="11"/>
      <c r="C1123" s="11"/>
      <c r="D1123" s="11"/>
      <c r="E1123" s="11" t="str">
        <f>IF(J1123="","", C1123 * IFERROR(VLOOKUP(J1123, SETUP!$A:$D, 3, FALSE), 0))</f>
        <v/>
      </c>
      <c r="F1123" s="11" t="str">
        <f>IF(J1123="","", C1123 * IFERROR(VLOOKUP(J1123, SETUP!$A:$D, 4, FALSE), 0))</f>
        <v/>
      </c>
      <c r="G1123" s="11" t="str">
        <f t="shared" si="1"/>
        <v/>
      </c>
      <c r="H1123" s="22"/>
      <c r="I1123" s="11"/>
      <c r="J1123" s="17" t="str">
        <f>IF(TRIM(B1123)="","",IF(ISNUMBER(SEARCH(" - ",B1123)),TRIM(RIGHT(B1123,LEN(B1123)-FIND(" - ",B1123)-2)),IFERROR(VLOOKUP(UPPER(TRIM(B1123)), SETUP!$B$4:$C$11, 2, FALSE), UPPER(TRIM(B1123)))))</f>
        <v/>
      </c>
      <c r="K1123" s="23" t="str">
        <f t="shared" si="2"/>
        <v/>
      </c>
      <c r="L1123" s="17" t="str">
        <f t="shared" si="3"/>
        <v/>
      </c>
      <c r="M1123" s="17" t="str">
        <f t="shared" si="4"/>
        <v/>
      </c>
    </row>
    <row r="1124" ht="15.75" customHeight="1">
      <c r="A1124" s="12"/>
      <c r="B1124" s="11"/>
      <c r="C1124" s="11"/>
      <c r="D1124" s="11"/>
      <c r="E1124" s="11" t="str">
        <f>IF(J1124="","", C1124 * IFERROR(VLOOKUP(J1124, SETUP!$A:$D, 3, FALSE), 0))</f>
        <v/>
      </c>
      <c r="F1124" s="11" t="str">
        <f>IF(J1124="","", C1124 * IFERROR(VLOOKUP(J1124, SETUP!$A:$D, 4, FALSE), 0))</f>
        <v/>
      </c>
      <c r="G1124" s="11" t="str">
        <f t="shared" si="1"/>
        <v/>
      </c>
      <c r="H1124" s="22"/>
      <c r="I1124" s="11"/>
      <c r="J1124" s="17" t="str">
        <f>IF(TRIM(B1124)="","",IF(ISNUMBER(SEARCH(" - ",B1124)),TRIM(RIGHT(B1124,LEN(B1124)-FIND(" - ",B1124)-2)),IFERROR(VLOOKUP(UPPER(TRIM(B1124)), SETUP!$B$4:$C$11, 2, FALSE), UPPER(TRIM(B1124)))))</f>
        <v/>
      </c>
      <c r="K1124" s="23" t="str">
        <f t="shared" si="2"/>
        <v/>
      </c>
      <c r="L1124" s="17" t="str">
        <f t="shared" si="3"/>
        <v/>
      </c>
      <c r="M1124" s="17" t="str">
        <f t="shared" si="4"/>
        <v/>
      </c>
    </row>
    <row r="1125" ht="15.75" customHeight="1">
      <c r="A1125" s="12"/>
      <c r="B1125" s="11"/>
      <c r="C1125" s="11"/>
      <c r="D1125" s="11"/>
      <c r="E1125" s="11" t="str">
        <f>IF(J1125="","", C1125 * IFERROR(VLOOKUP(J1125, SETUP!$A:$D, 3, FALSE), 0))</f>
        <v/>
      </c>
      <c r="F1125" s="11" t="str">
        <f>IF(J1125="","", C1125 * IFERROR(VLOOKUP(J1125, SETUP!$A:$D, 4, FALSE), 0))</f>
        <v/>
      </c>
      <c r="G1125" s="11" t="str">
        <f t="shared" si="1"/>
        <v/>
      </c>
      <c r="H1125" s="22"/>
      <c r="I1125" s="11"/>
      <c r="J1125" s="17" t="str">
        <f>IF(TRIM(B1125)="","",IF(ISNUMBER(SEARCH(" - ",B1125)),TRIM(RIGHT(B1125,LEN(B1125)-FIND(" - ",B1125)-2)),IFERROR(VLOOKUP(UPPER(TRIM(B1125)), SETUP!$B$4:$C$11, 2, FALSE), UPPER(TRIM(B1125)))))</f>
        <v/>
      </c>
      <c r="K1125" s="23" t="str">
        <f t="shared" si="2"/>
        <v/>
      </c>
      <c r="L1125" s="17" t="str">
        <f t="shared" si="3"/>
        <v/>
      </c>
      <c r="M1125" s="17" t="str">
        <f t="shared" si="4"/>
        <v/>
      </c>
    </row>
    <row r="1126" ht="15.75" customHeight="1">
      <c r="A1126" s="12"/>
      <c r="B1126" s="11"/>
      <c r="C1126" s="11"/>
      <c r="D1126" s="11"/>
      <c r="E1126" s="11" t="str">
        <f>IF(J1126="","", C1126 * IFERROR(VLOOKUP(J1126, SETUP!$A:$D, 3, FALSE), 0))</f>
        <v/>
      </c>
      <c r="F1126" s="11" t="str">
        <f>IF(J1126="","", C1126 * IFERROR(VLOOKUP(J1126, SETUP!$A:$D, 4, FALSE), 0))</f>
        <v/>
      </c>
      <c r="G1126" s="11" t="str">
        <f t="shared" si="1"/>
        <v/>
      </c>
      <c r="H1126" s="22"/>
      <c r="I1126" s="11"/>
      <c r="J1126" s="17" t="str">
        <f>IF(TRIM(B1126)="","",IF(ISNUMBER(SEARCH(" - ",B1126)),TRIM(RIGHT(B1126,LEN(B1126)-FIND(" - ",B1126)-2)),IFERROR(VLOOKUP(UPPER(TRIM(B1126)), SETUP!$B$4:$C$11, 2, FALSE), UPPER(TRIM(B1126)))))</f>
        <v/>
      </c>
      <c r="K1126" s="23" t="str">
        <f t="shared" si="2"/>
        <v/>
      </c>
      <c r="L1126" s="17" t="str">
        <f t="shared" si="3"/>
        <v/>
      </c>
      <c r="M1126" s="17" t="str">
        <f t="shared" si="4"/>
        <v/>
      </c>
    </row>
    <row r="1127" ht="15.75" customHeight="1">
      <c r="A1127" s="12"/>
      <c r="B1127" s="11"/>
      <c r="C1127" s="11"/>
      <c r="D1127" s="11"/>
      <c r="E1127" s="11" t="str">
        <f>IF(J1127="","", C1127 * IFERROR(VLOOKUP(J1127, SETUP!$A:$D, 3, FALSE), 0))</f>
        <v/>
      </c>
      <c r="F1127" s="11" t="str">
        <f>IF(J1127="","", C1127 * IFERROR(VLOOKUP(J1127, SETUP!$A:$D, 4, FALSE), 0))</f>
        <v/>
      </c>
      <c r="G1127" s="11" t="str">
        <f t="shared" si="1"/>
        <v/>
      </c>
      <c r="H1127" s="22"/>
      <c r="I1127" s="11"/>
      <c r="J1127" s="17" t="str">
        <f>IF(TRIM(B1127)="","",IF(ISNUMBER(SEARCH(" - ",B1127)),TRIM(RIGHT(B1127,LEN(B1127)-FIND(" - ",B1127)-2)),IFERROR(VLOOKUP(UPPER(TRIM(B1127)), SETUP!$B$4:$C$11, 2, FALSE), UPPER(TRIM(B1127)))))</f>
        <v/>
      </c>
      <c r="K1127" s="23" t="str">
        <f t="shared" si="2"/>
        <v/>
      </c>
      <c r="L1127" s="17" t="str">
        <f t="shared" si="3"/>
        <v/>
      </c>
      <c r="M1127" s="17" t="str">
        <f t="shared" si="4"/>
        <v/>
      </c>
    </row>
    <row r="1128" ht="15.75" customHeight="1">
      <c r="A1128" s="12"/>
      <c r="B1128" s="11"/>
      <c r="C1128" s="11"/>
      <c r="D1128" s="11"/>
      <c r="E1128" s="11" t="str">
        <f>IF(J1128="","", C1128 * IFERROR(VLOOKUP(J1128, SETUP!$A:$D, 3, FALSE), 0))</f>
        <v/>
      </c>
      <c r="F1128" s="11" t="str">
        <f>IF(J1128="","", C1128 * IFERROR(VLOOKUP(J1128, SETUP!$A:$D, 4, FALSE), 0))</f>
        <v/>
      </c>
      <c r="G1128" s="11" t="str">
        <f t="shared" si="1"/>
        <v/>
      </c>
      <c r="H1128" s="22"/>
      <c r="I1128" s="11"/>
      <c r="J1128" s="17" t="str">
        <f>IF(TRIM(B1128)="","",IF(ISNUMBER(SEARCH(" - ",B1128)),TRIM(RIGHT(B1128,LEN(B1128)-FIND(" - ",B1128)-2)),IFERROR(VLOOKUP(UPPER(TRIM(B1128)), SETUP!$B$4:$C$11, 2, FALSE), UPPER(TRIM(B1128)))))</f>
        <v/>
      </c>
      <c r="K1128" s="23" t="str">
        <f t="shared" si="2"/>
        <v/>
      </c>
      <c r="L1128" s="17" t="str">
        <f t="shared" si="3"/>
        <v/>
      </c>
      <c r="M1128" s="17" t="str">
        <f t="shared" si="4"/>
        <v/>
      </c>
    </row>
    <row r="1129" ht="15.75" customHeight="1">
      <c r="A1129" s="12"/>
      <c r="B1129" s="11"/>
      <c r="C1129" s="11"/>
      <c r="D1129" s="11"/>
      <c r="E1129" s="11" t="str">
        <f>IF(J1129="","", C1129 * IFERROR(VLOOKUP(J1129, SETUP!$A:$D, 3, FALSE), 0))</f>
        <v/>
      </c>
      <c r="F1129" s="11" t="str">
        <f>IF(J1129="","", C1129 * IFERROR(VLOOKUP(J1129, SETUP!$A:$D, 4, FALSE), 0))</f>
        <v/>
      </c>
      <c r="G1129" s="11" t="str">
        <f t="shared" si="1"/>
        <v/>
      </c>
      <c r="H1129" s="22"/>
      <c r="I1129" s="11"/>
      <c r="J1129" s="17" t="str">
        <f>IF(TRIM(B1129)="","",IF(ISNUMBER(SEARCH(" - ",B1129)),TRIM(RIGHT(B1129,LEN(B1129)-FIND(" - ",B1129)-2)),IFERROR(VLOOKUP(UPPER(TRIM(B1129)), SETUP!$B$4:$C$11, 2, FALSE), UPPER(TRIM(B1129)))))</f>
        <v/>
      </c>
      <c r="K1129" s="23" t="str">
        <f t="shared" si="2"/>
        <v/>
      </c>
      <c r="L1129" s="17" t="str">
        <f t="shared" si="3"/>
        <v/>
      </c>
      <c r="M1129" s="17" t="str">
        <f t="shared" si="4"/>
        <v/>
      </c>
    </row>
    <row r="1130" ht="15.75" customHeight="1">
      <c r="A1130" s="12"/>
      <c r="B1130" s="11"/>
      <c r="C1130" s="11"/>
      <c r="D1130" s="11"/>
      <c r="E1130" s="11" t="str">
        <f>IF(J1130="","", C1130 * IFERROR(VLOOKUP(J1130, SETUP!$A:$D, 3, FALSE), 0))</f>
        <v/>
      </c>
      <c r="F1130" s="11" t="str">
        <f>IF(J1130="","", C1130 * IFERROR(VLOOKUP(J1130, SETUP!$A:$D, 4, FALSE), 0))</f>
        <v/>
      </c>
      <c r="G1130" s="11" t="str">
        <f t="shared" si="1"/>
        <v/>
      </c>
      <c r="H1130" s="22"/>
      <c r="I1130" s="11"/>
      <c r="J1130" s="17" t="str">
        <f>IF(TRIM(B1130)="","",IF(ISNUMBER(SEARCH(" - ",B1130)),TRIM(RIGHT(B1130,LEN(B1130)-FIND(" - ",B1130)-2)),IFERROR(VLOOKUP(UPPER(TRIM(B1130)), SETUP!$B$4:$C$11, 2, FALSE), UPPER(TRIM(B1130)))))</f>
        <v/>
      </c>
      <c r="K1130" s="23" t="str">
        <f t="shared" si="2"/>
        <v/>
      </c>
      <c r="L1130" s="17" t="str">
        <f t="shared" si="3"/>
        <v/>
      </c>
      <c r="M1130" s="17" t="str">
        <f t="shared" si="4"/>
        <v/>
      </c>
    </row>
    <row r="1131" ht="15.75" customHeight="1">
      <c r="A1131" s="12"/>
      <c r="B1131" s="11"/>
      <c r="C1131" s="11"/>
      <c r="D1131" s="11"/>
      <c r="E1131" s="11" t="str">
        <f>IF(J1131="","", C1131 * IFERROR(VLOOKUP(J1131, SETUP!$A:$D, 3, FALSE), 0))</f>
        <v/>
      </c>
      <c r="F1131" s="11" t="str">
        <f>IF(J1131="","", C1131 * IFERROR(VLOOKUP(J1131, SETUP!$A:$D, 4, FALSE), 0))</f>
        <v/>
      </c>
      <c r="G1131" s="11" t="str">
        <f t="shared" si="1"/>
        <v/>
      </c>
      <c r="H1131" s="22"/>
      <c r="I1131" s="11"/>
      <c r="J1131" s="17" t="str">
        <f>IF(TRIM(B1131)="","",IF(ISNUMBER(SEARCH(" - ",B1131)),TRIM(RIGHT(B1131,LEN(B1131)-FIND(" - ",B1131)-2)),IFERROR(VLOOKUP(UPPER(TRIM(B1131)), SETUP!$B$4:$C$11, 2, FALSE), UPPER(TRIM(B1131)))))</f>
        <v/>
      </c>
      <c r="K1131" s="23" t="str">
        <f t="shared" si="2"/>
        <v/>
      </c>
      <c r="L1131" s="17" t="str">
        <f t="shared" si="3"/>
        <v/>
      </c>
      <c r="M1131" s="17" t="str">
        <f t="shared" si="4"/>
        <v/>
      </c>
    </row>
    <row r="1132" ht="15.75" customHeight="1">
      <c r="A1132" s="12"/>
      <c r="B1132" s="11"/>
      <c r="C1132" s="11"/>
      <c r="D1132" s="11"/>
      <c r="E1132" s="11" t="str">
        <f>IF(J1132="","", C1132 * IFERROR(VLOOKUP(J1132, SETUP!$A:$D, 3, FALSE), 0))</f>
        <v/>
      </c>
      <c r="F1132" s="11" t="str">
        <f>IF(J1132="","", C1132 * IFERROR(VLOOKUP(J1132, SETUP!$A:$D, 4, FALSE), 0))</f>
        <v/>
      </c>
      <c r="G1132" s="11" t="str">
        <f t="shared" si="1"/>
        <v/>
      </c>
      <c r="H1132" s="22"/>
      <c r="I1132" s="11"/>
      <c r="J1132" s="17" t="str">
        <f>IF(TRIM(B1132)="","",IF(ISNUMBER(SEARCH(" - ",B1132)),TRIM(RIGHT(B1132,LEN(B1132)-FIND(" - ",B1132)-2)),IFERROR(VLOOKUP(UPPER(TRIM(B1132)), SETUP!$B$4:$C$11, 2, FALSE), UPPER(TRIM(B1132)))))</f>
        <v/>
      </c>
      <c r="K1132" s="23" t="str">
        <f t="shared" si="2"/>
        <v/>
      </c>
      <c r="L1132" s="17" t="str">
        <f t="shared" si="3"/>
        <v/>
      </c>
      <c r="M1132" s="17" t="str">
        <f t="shared" si="4"/>
        <v/>
      </c>
    </row>
    <row r="1133" ht="15.75" customHeight="1">
      <c r="A1133" s="12"/>
      <c r="B1133" s="11"/>
      <c r="C1133" s="11"/>
      <c r="D1133" s="11"/>
      <c r="E1133" s="11" t="str">
        <f>IF(J1133="","", C1133 * IFERROR(VLOOKUP(J1133, SETUP!$A:$D, 3, FALSE), 0))</f>
        <v/>
      </c>
      <c r="F1133" s="11" t="str">
        <f>IF(J1133="","", C1133 * IFERROR(VLOOKUP(J1133, SETUP!$A:$D, 4, FALSE), 0))</f>
        <v/>
      </c>
      <c r="G1133" s="11" t="str">
        <f t="shared" si="1"/>
        <v/>
      </c>
      <c r="H1133" s="22"/>
      <c r="I1133" s="11"/>
      <c r="J1133" s="17" t="str">
        <f>IF(TRIM(B1133)="","",IF(ISNUMBER(SEARCH(" - ",B1133)),TRIM(RIGHT(B1133,LEN(B1133)-FIND(" - ",B1133)-2)),IFERROR(VLOOKUP(UPPER(TRIM(B1133)), SETUP!$B$4:$C$11, 2, FALSE), UPPER(TRIM(B1133)))))</f>
        <v/>
      </c>
      <c r="K1133" s="23" t="str">
        <f t="shared" si="2"/>
        <v/>
      </c>
      <c r="L1133" s="17" t="str">
        <f t="shared" si="3"/>
        <v/>
      </c>
      <c r="M1133" s="17" t="str">
        <f t="shared" si="4"/>
        <v/>
      </c>
    </row>
    <row r="1134" ht="15.75" customHeight="1">
      <c r="A1134" s="12"/>
      <c r="B1134" s="11"/>
      <c r="C1134" s="11"/>
      <c r="D1134" s="11"/>
      <c r="E1134" s="11" t="str">
        <f>IF(J1134="","", C1134 * IFERROR(VLOOKUP(J1134, SETUP!$A:$D, 3, FALSE), 0))</f>
        <v/>
      </c>
      <c r="F1134" s="11" t="str">
        <f>IF(J1134="","", C1134 * IFERROR(VLOOKUP(J1134, SETUP!$A:$D, 4, FALSE), 0))</f>
        <v/>
      </c>
      <c r="G1134" s="11" t="str">
        <f t="shared" si="1"/>
        <v/>
      </c>
      <c r="H1134" s="22"/>
      <c r="I1134" s="11"/>
      <c r="J1134" s="17" t="str">
        <f>IF(TRIM(B1134)="","",IF(ISNUMBER(SEARCH(" - ",B1134)),TRIM(RIGHT(B1134,LEN(B1134)-FIND(" - ",B1134)-2)),IFERROR(VLOOKUP(UPPER(TRIM(B1134)), SETUP!$B$4:$C$11, 2, FALSE), UPPER(TRIM(B1134)))))</f>
        <v/>
      </c>
      <c r="K1134" s="23" t="str">
        <f t="shared" si="2"/>
        <v/>
      </c>
      <c r="L1134" s="17" t="str">
        <f t="shared" si="3"/>
        <v/>
      </c>
      <c r="M1134" s="17" t="str">
        <f t="shared" si="4"/>
        <v/>
      </c>
    </row>
    <row r="1135" ht="15.75" customHeight="1">
      <c r="A1135" s="12"/>
      <c r="B1135" s="11"/>
      <c r="C1135" s="11"/>
      <c r="D1135" s="11"/>
      <c r="E1135" s="11" t="str">
        <f>IF(J1135="","", C1135 * IFERROR(VLOOKUP(J1135, SETUP!$A:$D, 3, FALSE), 0))</f>
        <v/>
      </c>
      <c r="F1135" s="11" t="str">
        <f>IF(J1135="","", C1135 * IFERROR(VLOOKUP(J1135, SETUP!$A:$D, 4, FALSE), 0))</f>
        <v/>
      </c>
      <c r="G1135" s="11" t="str">
        <f t="shared" si="1"/>
        <v/>
      </c>
      <c r="H1135" s="22"/>
      <c r="I1135" s="11"/>
      <c r="J1135" s="17" t="str">
        <f>IF(TRIM(B1135)="","",IF(ISNUMBER(SEARCH(" - ",B1135)),TRIM(RIGHT(B1135,LEN(B1135)-FIND(" - ",B1135)-2)),IFERROR(VLOOKUP(UPPER(TRIM(B1135)), SETUP!$B$4:$C$11, 2, FALSE), UPPER(TRIM(B1135)))))</f>
        <v/>
      </c>
      <c r="K1135" s="23" t="str">
        <f t="shared" si="2"/>
        <v/>
      </c>
      <c r="L1135" s="17" t="str">
        <f t="shared" si="3"/>
        <v/>
      </c>
      <c r="M1135" s="17" t="str">
        <f t="shared" si="4"/>
        <v/>
      </c>
    </row>
    <row r="1136" ht="15.75" customHeight="1">
      <c r="A1136" s="12"/>
      <c r="B1136" s="11"/>
      <c r="C1136" s="11"/>
      <c r="D1136" s="11"/>
      <c r="E1136" s="11" t="str">
        <f>IF(J1136="","", C1136 * IFERROR(VLOOKUP(J1136, SETUP!$A:$D, 3, FALSE), 0))</f>
        <v/>
      </c>
      <c r="F1136" s="11" t="str">
        <f>IF(J1136="","", C1136 * IFERROR(VLOOKUP(J1136, SETUP!$A:$D, 4, FALSE), 0))</f>
        <v/>
      </c>
      <c r="G1136" s="11" t="str">
        <f t="shared" si="1"/>
        <v/>
      </c>
      <c r="H1136" s="22"/>
      <c r="I1136" s="11"/>
      <c r="J1136" s="17" t="str">
        <f>IF(TRIM(B1136)="","",IF(ISNUMBER(SEARCH(" - ",B1136)),TRIM(RIGHT(B1136,LEN(B1136)-FIND(" - ",B1136)-2)),IFERROR(VLOOKUP(UPPER(TRIM(B1136)), SETUP!$B$4:$C$11, 2, FALSE), UPPER(TRIM(B1136)))))</f>
        <v/>
      </c>
      <c r="K1136" s="23" t="str">
        <f t="shared" si="2"/>
        <v/>
      </c>
      <c r="L1136" s="17" t="str">
        <f t="shared" si="3"/>
        <v/>
      </c>
      <c r="M1136" s="17" t="str">
        <f t="shared" si="4"/>
        <v/>
      </c>
    </row>
    <row r="1137" ht="15.75" customHeight="1">
      <c r="A1137" s="12"/>
      <c r="B1137" s="11"/>
      <c r="C1137" s="11"/>
      <c r="D1137" s="11"/>
      <c r="E1137" s="11" t="str">
        <f>IF(J1137="","", C1137 * IFERROR(VLOOKUP(J1137, SETUP!$A:$D, 3, FALSE), 0))</f>
        <v/>
      </c>
      <c r="F1137" s="11" t="str">
        <f>IF(J1137="","", C1137 * IFERROR(VLOOKUP(J1137, SETUP!$A:$D, 4, FALSE), 0))</f>
        <v/>
      </c>
      <c r="G1137" s="11" t="str">
        <f t="shared" si="1"/>
        <v/>
      </c>
      <c r="H1137" s="22"/>
      <c r="I1137" s="11"/>
      <c r="J1137" s="17" t="str">
        <f>IF(TRIM(B1137)="","",IF(ISNUMBER(SEARCH(" - ",B1137)),TRIM(RIGHT(B1137,LEN(B1137)-FIND(" - ",B1137)-2)),IFERROR(VLOOKUP(UPPER(TRIM(B1137)), SETUP!$B$4:$C$11, 2, FALSE), UPPER(TRIM(B1137)))))</f>
        <v/>
      </c>
      <c r="K1137" s="23" t="str">
        <f t="shared" si="2"/>
        <v/>
      </c>
      <c r="L1137" s="17" t="str">
        <f t="shared" si="3"/>
        <v/>
      </c>
      <c r="M1137" s="17" t="str">
        <f t="shared" si="4"/>
        <v/>
      </c>
    </row>
    <row r="1138" ht="15.75" customHeight="1">
      <c r="A1138" s="12"/>
      <c r="B1138" s="11"/>
      <c r="C1138" s="11"/>
      <c r="D1138" s="11"/>
      <c r="E1138" s="11" t="str">
        <f>IF(J1138="","", C1138 * IFERROR(VLOOKUP(J1138, SETUP!$A:$D, 3, FALSE), 0))</f>
        <v/>
      </c>
      <c r="F1138" s="11" t="str">
        <f>IF(J1138="","", C1138 * IFERROR(VLOOKUP(J1138, SETUP!$A:$D, 4, FALSE), 0))</f>
        <v/>
      </c>
      <c r="G1138" s="11" t="str">
        <f t="shared" si="1"/>
        <v/>
      </c>
      <c r="H1138" s="22"/>
      <c r="I1138" s="11"/>
      <c r="J1138" s="17" t="str">
        <f>IF(TRIM(B1138)="","",IF(ISNUMBER(SEARCH(" - ",B1138)),TRIM(RIGHT(B1138,LEN(B1138)-FIND(" - ",B1138)-2)),IFERROR(VLOOKUP(UPPER(TRIM(B1138)), SETUP!$B$4:$C$11, 2, FALSE), UPPER(TRIM(B1138)))))</f>
        <v/>
      </c>
      <c r="K1138" s="23" t="str">
        <f t="shared" si="2"/>
        <v/>
      </c>
      <c r="L1138" s="17" t="str">
        <f t="shared" si="3"/>
        <v/>
      </c>
      <c r="M1138" s="17" t="str">
        <f t="shared" si="4"/>
        <v/>
      </c>
    </row>
    <row r="1139" ht="15.75" customHeight="1">
      <c r="A1139" s="12"/>
      <c r="B1139" s="11"/>
      <c r="C1139" s="11"/>
      <c r="D1139" s="11"/>
      <c r="E1139" s="11" t="str">
        <f>IF(J1139="","", C1139 * IFERROR(VLOOKUP(J1139, SETUP!$A:$D, 3, FALSE), 0))</f>
        <v/>
      </c>
      <c r="F1139" s="11" t="str">
        <f>IF(J1139="","", C1139 * IFERROR(VLOOKUP(J1139, SETUP!$A:$D, 4, FALSE), 0))</f>
        <v/>
      </c>
      <c r="G1139" s="11" t="str">
        <f t="shared" si="1"/>
        <v/>
      </c>
      <c r="H1139" s="22"/>
      <c r="I1139" s="11"/>
      <c r="J1139" s="17" t="str">
        <f>IF(TRIM(B1139)="","",IF(ISNUMBER(SEARCH(" - ",B1139)),TRIM(RIGHT(B1139,LEN(B1139)-FIND(" - ",B1139)-2)),IFERROR(VLOOKUP(UPPER(TRIM(B1139)), SETUP!$B$4:$C$11, 2, FALSE), UPPER(TRIM(B1139)))))</f>
        <v/>
      </c>
      <c r="K1139" s="23" t="str">
        <f t="shared" si="2"/>
        <v/>
      </c>
      <c r="L1139" s="17" t="str">
        <f t="shared" si="3"/>
        <v/>
      </c>
      <c r="M1139" s="17" t="str">
        <f t="shared" si="4"/>
        <v/>
      </c>
    </row>
    <row r="1140" ht="15.75" customHeight="1">
      <c r="A1140" s="12"/>
      <c r="B1140" s="11"/>
      <c r="C1140" s="11"/>
      <c r="D1140" s="11"/>
      <c r="E1140" s="11" t="str">
        <f>IF(J1140="","", C1140 * IFERROR(VLOOKUP(J1140, SETUP!$A:$D, 3, FALSE), 0))</f>
        <v/>
      </c>
      <c r="F1140" s="11" t="str">
        <f>IF(J1140="","", C1140 * IFERROR(VLOOKUP(J1140, SETUP!$A:$D, 4, FALSE), 0))</f>
        <v/>
      </c>
      <c r="G1140" s="11" t="str">
        <f t="shared" si="1"/>
        <v/>
      </c>
      <c r="H1140" s="22"/>
      <c r="I1140" s="11"/>
      <c r="J1140" s="17" t="str">
        <f>IF(TRIM(B1140)="","",IF(ISNUMBER(SEARCH(" - ",B1140)),TRIM(RIGHT(B1140,LEN(B1140)-FIND(" - ",B1140)-2)),IFERROR(VLOOKUP(UPPER(TRIM(B1140)), SETUP!$B$4:$C$11, 2, FALSE), UPPER(TRIM(B1140)))))</f>
        <v/>
      </c>
      <c r="K1140" s="23" t="str">
        <f t="shared" si="2"/>
        <v/>
      </c>
      <c r="L1140" s="17" t="str">
        <f t="shared" si="3"/>
        <v/>
      </c>
      <c r="M1140" s="17" t="str">
        <f t="shared" si="4"/>
        <v/>
      </c>
    </row>
    <row r="1141" ht="15.75" customHeight="1">
      <c r="A1141" s="12"/>
      <c r="B1141" s="11"/>
      <c r="C1141" s="11"/>
      <c r="D1141" s="11"/>
      <c r="E1141" s="11" t="str">
        <f>IF(J1141="","", C1141 * IFERROR(VLOOKUP(J1141, SETUP!$A:$D, 3, FALSE), 0))</f>
        <v/>
      </c>
      <c r="F1141" s="11" t="str">
        <f>IF(J1141="","", C1141 * IFERROR(VLOOKUP(J1141, SETUP!$A:$D, 4, FALSE), 0))</f>
        <v/>
      </c>
      <c r="G1141" s="11" t="str">
        <f t="shared" si="1"/>
        <v/>
      </c>
      <c r="H1141" s="22"/>
      <c r="I1141" s="11"/>
      <c r="J1141" s="17" t="str">
        <f>IF(TRIM(B1141)="","",IF(ISNUMBER(SEARCH(" - ",B1141)),TRIM(RIGHT(B1141,LEN(B1141)-FIND(" - ",B1141)-2)),IFERROR(VLOOKUP(UPPER(TRIM(B1141)), SETUP!$B$4:$C$11, 2, FALSE), UPPER(TRIM(B1141)))))</f>
        <v/>
      </c>
      <c r="K1141" s="23" t="str">
        <f t="shared" si="2"/>
        <v/>
      </c>
      <c r="L1141" s="17" t="str">
        <f t="shared" si="3"/>
        <v/>
      </c>
      <c r="M1141" s="17" t="str">
        <f t="shared" si="4"/>
        <v/>
      </c>
    </row>
    <row r="1142" ht="15.75" customHeight="1">
      <c r="A1142" s="12"/>
      <c r="B1142" s="11"/>
      <c r="C1142" s="11"/>
      <c r="D1142" s="11"/>
      <c r="E1142" s="11" t="str">
        <f>IF(J1142="","", C1142 * IFERROR(VLOOKUP(J1142, SETUP!$A:$D, 3, FALSE), 0))</f>
        <v/>
      </c>
      <c r="F1142" s="11" t="str">
        <f>IF(J1142="","", C1142 * IFERROR(VLOOKUP(J1142, SETUP!$A:$D, 4, FALSE), 0))</f>
        <v/>
      </c>
      <c r="G1142" s="11" t="str">
        <f t="shared" si="1"/>
        <v/>
      </c>
      <c r="H1142" s="22"/>
      <c r="I1142" s="11"/>
      <c r="J1142" s="17" t="str">
        <f>IF(TRIM(B1142)="","",IF(ISNUMBER(SEARCH(" - ",B1142)),TRIM(RIGHT(B1142,LEN(B1142)-FIND(" - ",B1142)-2)),IFERROR(VLOOKUP(UPPER(TRIM(B1142)), SETUP!$B$4:$C$11, 2, FALSE), UPPER(TRIM(B1142)))))</f>
        <v/>
      </c>
      <c r="K1142" s="23" t="str">
        <f t="shared" si="2"/>
        <v/>
      </c>
      <c r="L1142" s="17" t="str">
        <f t="shared" si="3"/>
        <v/>
      </c>
      <c r="M1142" s="17" t="str">
        <f t="shared" si="4"/>
        <v/>
      </c>
    </row>
    <row r="1143" ht="15.75" customHeight="1">
      <c r="A1143" s="12"/>
      <c r="B1143" s="11"/>
      <c r="C1143" s="11"/>
      <c r="D1143" s="11"/>
      <c r="E1143" s="11" t="str">
        <f>IF(J1143="","", C1143 * IFERROR(VLOOKUP(J1143, SETUP!$A:$D, 3, FALSE), 0))</f>
        <v/>
      </c>
      <c r="F1143" s="11" t="str">
        <f>IF(J1143="","", C1143 * IFERROR(VLOOKUP(J1143, SETUP!$A:$D, 4, FALSE), 0))</f>
        <v/>
      </c>
      <c r="G1143" s="11" t="str">
        <f t="shared" si="1"/>
        <v/>
      </c>
      <c r="H1143" s="22"/>
      <c r="I1143" s="11"/>
      <c r="J1143" s="17" t="str">
        <f>IF(TRIM(B1143)="","",IF(ISNUMBER(SEARCH(" - ",B1143)),TRIM(RIGHT(B1143,LEN(B1143)-FIND(" - ",B1143)-2)),IFERROR(VLOOKUP(UPPER(TRIM(B1143)), SETUP!$B$4:$C$11, 2, FALSE), UPPER(TRIM(B1143)))))</f>
        <v/>
      </c>
      <c r="K1143" s="23" t="str">
        <f t="shared" si="2"/>
        <v/>
      </c>
      <c r="L1143" s="17" t="str">
        <f t="shared" si="3"/>
        <v/>
      </c>
      <c r="M1143" s="17" t="str">
        <f t="shared" si="4"/>
        <v/>
      </c>
    </row>
    <row r="1144" ht="15.75" customHeight="1">
      <c r="A1144" s="12"/>
      <c r="B1144" s="11"/>
      <c r="C1144" s="11"/>
      <c r="D1144" s="11"/>
      <c r="E1144" s="11" t="str">
        <f>IF(J1144="","", C1144 * IFERROR(VLOOKUP(J1144, SETUP!$A:$D, 3, FALSE), 0))</f>
        <v/>
      </c>
      <c r="F1144" s="11" t="str">
        <f>IF(J1144="","", C1144 * IFERROR(VLOOKUP(J1144, SETUP!$A:$D, 4, FALSE), 0))</f>
        <v/>
      </c>
      <c r="G1144" s="11" t="str">
        <f t="shared" si="1"/>
        <v/>
      </c>
      <c r="H1144" s="22"/>
      <c r="I1144" s="11"/>
      <c r="J1144" s="17" t="str">
        <f>IF(TRIM(B1144)="","",IF(ISNUMBER(SEARCH(" - ",B1144)),TRIM(RIGHT(B1144,LEN(B1144)-FIND(" - ",B1144)-2)),IFERROR(VLOOKUP(UPPER(TRIM(B1144)), SETUP!$B$4:$C$11, 2, FALSE), UPPER(TRIM(B1144)))))</f>
        <v/>
      </c>
      <c r="K1144" s="23" t="str">
        <f t="shared" si="2"/>
        <v/>
      </c>
      <c r="L1144" s="17" t="str">
        <f t="shared" si="3"/>
        <v/>
      </c>
      <c r="M1144" s="17" t="str">
        <f t="shared" si="4"/>
        <v/>
      </c>
    </row>
    <row r="1145" ht="15.75" customHeight="1">
      <c r="A1145" s="12"/>
      <c r="B1145" s="11"/>
      <c r="C1145" s="11"/>
      <c r="D1145" s="11"/>
      <c r="E1145" s="11" t="str">
        <f>IF(J1145="","", C1145 * IFERROR(VLOOKUP(J1145, SETUP!$A:$D, 3, FALSE), 0))</f>
        <v/>
      </c>
      <c r="F1145" s="11" t="str">
        <f>IF(J1145="","", C1145 * IFERROR(VLOOKUP(J1145, SETUP!$A:$D, 4, FALSE), 0))</f>
        <v/>
      </c>
      <c r="G1145" s="11" t="str">
        <f t="shared" si="1"/>
        <v/>
      </c>
      <c r="H1145" s="22"/>
      <c r="I1145" s="11"/>
      <c r="J1145" s="17" t="str">
        <f>IF(TRIM(B1145)="","",IF(ISNUMBER(SEARCH(" - ",B1145)),TRIM(RIGHT(B1145,LEN(B1145)-FIND(" - ",B1145)-2)),IFERROR(VLOOKUP(UPPER(TRIM(B1145)), SETUP!$B$4:$C$11, 2, FALSE), UPPER(TRIM(B1145)))))</f>
        <v/>
      </c>
      <c r="K1145" s="23" t="str">
        <f t="shared" si="2"/>
        <v/>
      </c>
      <c r="L1145" s="17" t="str">
        <f t="shared" si="3"/>
        <v/>
      </c>
      <c r="M1145" s="17" t="str">
        <f t="shared" si="4"/>
        <v/>
      </c>
    </row>
    <row r="1146" ht="15.75" customHeight="1">
      <c r="A1146" s="12"/>
      <c r="B1146" s="11"/>
      <c r="C1146" s="11"/>
      <c r="D1146" s="11"/>
      <c r="E1146" s="11" t="str">
        <f>IF(J1146="","", C1146 * IFERROR(VLOOKUP(J1146, SETUP!$A:$D, 3, FALSE), 0))</f>
        <v/>
      </c>
      <c r="F1146" s="11" t="str">
        <f>IF(J1146="","", C1146 * IFERROR(VLOOKUP(J1146, SETUP!$A:$D, 4, FALSE), 0))</f>
        <v/>
      </c>
      <c r="G1146" s="11" t="str">
        <f t="shared" si="1"/>
        <v/>
      </c>
      <c r="H1146" s="22"/>
      <c r="I1146" s="11"/>
      <c r="J1146" s="17" t="str">
        <f>IF(TRIM(B1146)="","",IF(ISNUMBER(SEARCH(" - ",B1146)),TRIM(RIGHT(B1146,LEN(B1146)-FIND(" - ",B1146)-2)),IFERROR(VLOOKUP(UPPER(TRIM(B1146)), SETUP!$B$4:$C$11, 2, FALSE), UPPER(TRIM(B1146)))))</f>
        <v/>
      </c>
      <c r="K1146" s="23" t="str">
        <f t="shared" si="2"/>
        <v/>
      </c>
      <c r="L1146" s="17" t="str">
        <f t="shared" si="3"/>
        <v/>
      </c>
      <c r="M1146" s="17" t="str">
        <f t="shared" si="4"/>
        <v/>
      </c>
    </row>
    <row r="1147" ht="15.75" customHeight="1">
      <c r="A1147" s="12"/>
      <c r="B1147" s="11"/>
      <c r="C1147" s="11"/>
      <c r="D1147" s="11"/>
      <c r="E1147" s="11" t="str">
        <f>IF(J1147="","", C1147 * IFERROR(VLOOKUP(J1147, SETUP!$A:$D, 3, FALSE), 0))</f>
        <v/>
      </c>
      <c r="F1147" s="11" t="str">
        <f>IF(J1147="","", C1147 * IFERROR(VLOOKUP(J1147, SETUP!$A:$D, 4, FALSE), 0))</f>
        <v/>
      </c>
      <c r="G1147" s="11" t="str">
        <f t="shared" si="1"/>
        <v/>
      </c>
      <c r="H1147" s="22"/>
      <c r="I1147" s="11"/>
      <c r="J1147" s="17" t="str">
        <f>IF(TRIM(B1147)="","",IF(ISNUMBER(SEARCH(" - ",B1147)),TRIM(RIGHT(B1147,LEN(B1147)-FIND(" - ",B1147)-2)),IFERROR(VLOOKUP(UPPER(TRIM(B1147)), SETUP!$B$4:$C$11, 2, FALSE), UPPER(TRIM(B1147)))))</f>
        <v/>
      </c>
      <c r="K1147" s="23" t="str">
        <f t="shared" si="2"/>
        <v/>
      </c>
      <c r="L1147" s="17" t="str">
        <f t="shared" si="3"/>
        <v/>
      </c>
      <c r="M1147" s="17" t="str">
        <f t="shared" si="4"/>
        <v/>
      </c>
    </row>
    <row r="1148" ht="15.75" customHeight="1">
      <c r="A1148" s="12"/>
      <c r="B1148" s="11"/>
      <c r="C1148" s="11"/>
      <c r="D1148" s="11"/>
      <c r="E1148" s="11" t="str">
        <f>IF(J1148="","", C1148 * IFERROR(VLOOKUP(J1148, SETUP!$A:$D, 3, FALSE), 0))</f>
        <v/>
      </c>
      <c r="F1148" s="11" t="str">
        <f>IF(J1148="","", C1148 * IFERROR(VLOOKUP(J1148, SETUP!$A:$D, 4, FALSE), 0))</f>
        <v/>
      </c>
      <c r="G1148" s="11" t="str">
        <f t="shared" si="1"/>
        <v/>
      </c>
      <c r="H1148" s="22"/>
      <c r="I1148" s="11"/>
      <c r="J1148" s="17" t="str">
        <f>IF(TRIM(B1148)="","",IF(ISNUMBER(SEARCH(" - ",B1148)),TRIM(RIGHT(B1148,LEN(B1148)-FIND(" - ",B1148)-2)),IFERROR(VLOOKUP(UPPER(TRIM(B1148)), SETUP!$B$4:$C$11, 2, FALSE), UPPER(TRIM(B1148)))))</f>
        <v/>
      </c>
      <c r="K1148" s="23" t="str">
        <f t="shared" si="2"/>
        <v/>
      </c>
      <c r="L1148" s="17" t="str">
        <f t="shared" si="3"/>
        <v/>
      </c>
      <c r="M1148" s="17" t="str">
        <f t="shared" si="4"/>
        <v/>
      </c>
    </row>
    <row r="1149" ht="15.75" customHeight="1">
      <c r="A1149" s="12"/>
      <c r="B1149" s="11"/>
      <c r="C1149" s="11"/>
      <c r="D1149" s="11"/>
      <c r="E1149" s="11" t="str">
        <f>IF(J1149="","", C1149 * IFERROR(VLOOKUP(J1149, SETUP!$A:$D, 3, FALSE), 0))</f>
        <v/>
      </c>
      <c r="F1149" s="11" t="str">
        <f>IF(J1149="","", C1149 * IFERROR(VLOOKUP(J1149, SETUP!$A:$D, 4, FALSE), 0))</f>
        <v/>
      </c>
      <c r="G1149" s="11" t="str">
        <f t="shared" si="1"/>
        <v/>
      </c>
      <c r="H1149" s="22"/>
      <c r="I1149" s="11"/>
      <c r="J1149" s="17" t="str">
        <f>IF(TRIM(B1149)="","",IF(ISNUMBER(SEARCH(" - ",B1149)),TRIM(RIGHT(B1149,LEN(B1149)-FIND(" - ",B1149)-2)),IFERROR(VLOOKUP(UPPER(TRIM(B1149)), SETUP!$B$4:$C$11, 2, FALSE), UPPER(TRIM(B1149)))))</f>
        <v/>
      </c>
      <c r="K1149" s="23" t="str">
        <f t="shared" si="2"/>
        <v/>
      </c>
      <c r="L1149" s="17" t="str">
        <f t="shared" si="3"/>
        <v/>
      </c>
      <c r="M1149" s="17" t="str">
        <f t="shared" si="4"/>
        <v/>
      </c>
    </row>
    <row r="1150" ht="15.75" customHeight="1">
      <c r="A1150" s="12"/>
      <c r="B1150" s="11"/>
      <c r="C1150" s="11"/>
      <c r="D1150" s="11"/>
      <c r="E1150" s="11" t="str">
        <f>IF(J1150="","", C1150 * IFERROR(VLOOKUP(J1150, SETUP!$A:$D, 3, FALSE), 0))</f>
        <v/>
      </c>
      <c r="F1150" s="11" t="str">
        <f>IF(J1150="","", C1150 * IFERROR(VLOOKUP(J1150, SETUP!$A:$D, 4, FALSE), 0))</f>
        <v/>
      </c>
      <c r="G1150" s="11" t="str">
        <f t="shared" si="1"/>
        <v/>
      </c>
      <c r="H1150" s="22"/>
      <c r="I1150" s="11"/>
      <c r="J1150" s="17" t="str">
        <f>IF(TRIM(B1150)="","",IF(ISNUMBER(SEARCH(" - ",B1150)),TRIM(RIGHT(B1150,LEN(B1150)-FIND(" - ",B1150)-2)),IFERROR(VLOOKUP(UPPER(TRIM(B1150)), SETUP!$B$4:$C$11, 2, FALSE), UPPER(TRIM(B1150)))))</f>
        <v/>
      </c>
      <c r="K1150" s="23" t="str">
        <f t="shared" si="2"/>
        <v/>
      </c>
      <c r="L1150" s="17" t="str">
        <f t="shared" si="3"/>
        <v/>
      </c>
      <c r="M1150" s="17" t="str">
        <f t="shared" si="4"/>
        <v/>
      </c>
    </row>
    <row r="1151" ht="15.75" customHeight="1">
      <c r="A1151" s="12"/>
      <c r="B1151" s="11"/>
      <c r="C1151" s="11"/>
      <c r="D1151" s="11"/>
      <c r="E1151" s="11" t="str">
        <f>IF(J1151="","", C1151 * IFERROR(VLOOKUP(J1151, SETUP!$A:$D, 3, FALSE), 0))</f>
        <v/>
      </c>
      <c r="F1151" s="11" t="str">
        <f>IF(J1151="","", C1151 * IFERROR(VLOOKUP(J1151, SETUP!$A:$D, 4, FALSE), 0))</f>
        <v/>
      </c>
      <c r="G1151" s="11" t="str">
        <f t="shared" si="1"/>
        <v/>
      </c>
      <c r="H1151" s="22"/>
      <c r="I1151" s="11"/>
      <c r="J1151" s="17" t="str">
        <f>IF(TRIM(B1151)="","",IF(ISNUMBER(SEARCH(" - ",B1151)),TRIM(RIGHT(B1151,LEN(B1151)-FIND(" - ",B1151)-2)),IFERROR(VLOOKUP(UPPER(TRIM(B1151)), SETUP!$B$4:$C$11, 2, FALSE), UPPER(TRIM(B1151)))))</f>
        <v/>
      </c>
      <c r="K1151" s="23" t="str">
        <f t="shared" si="2"/>
        <v/>
      </c>
      <c r="L1151" s="17" t="str">
        <f t="shared" si="3"/>
        <v/>
      </c>
      <c r="M1151" s="17" t="str">
        <f t="shared" si="4"/>
        <v/>
      </c>
    </row>
    <row r="1152" ht="15.75" customHeight="1">
      <c r="A1152" s="12"/>
      <c r="B1152" s="11"/>
      <c r="C1152" s="11"/>
      <c r="D1152" s="11"/>
      <c r="E1152" s="11" t="str">
        <f>IF(J1152="","", C1152 * IFERROR(VLOOKUP(J1152, SETUP!$A:$D, 3, FALSE), 0))</f>
        <v/>
      </c>
      <c r="F1152" s="11" t="str">
        <f>IF(J1152="","", C1152 * IFERROR(VLOOKUP(J1152, SETUP!$A:$D, 4, FALSE), 0))</f>
        <v/>
      </c>
      <c r="G1152" s="11" t="str">
        <f t="shared" si="1"/>
        <v/>
      </c>
      <c r="H1152" s="22"/>
      <c r="I1152" s="11"/>
      <c r="J1152" s="17" t="str">
        <f>IF(TRIM(B1152)="","",IF(ISNUMBER(SEARCH(" - ",B1152)),TRIM(RIGHT(B1152,LEN(B1152)-FIND(" - ",B1152)-2)),IFERROR(VLOOKUP(UPPER(TRIM(B1152)), SETUP!$B$4:$C$11, 2, FALSE), UPPER(TRIM(B1152)))))</f>
        <v/>
      </c>
      <c r="K1152" s="23" t="str">
        <f t="shared" si="2"/>
        <v/>
      </c>
      <c r="L1152" s="17" t="str">
        <f t="shared" si="3"/>
        <v/>
      </c>
      <c r="M1152" s="17" t="str">
        <f t="shared" si="4"/>
        <v/>
      </c>
    </row>
    <row r="1153" ht="15.75" customHeight="1">
      <c r="A1153" s="12"/>
      <c r="B1153" s="11"/>
      <c r="C1153" s="11"/>
      <c r="D1153" s="11"/>
      <c r="E1153" s="11" t="str">
        <f>IF(J1153="","", C1153 * IFERROR(VLOOKUP(J1153, SETUP!$A:$D, 3, FALSE), 0))</f>
        <v/>
      </c>
      <c r="F1153" s="11" t="str">
        <f>IF(J1153="","", C1153 * IFERROR(VLOOKUP(J1153, SETUP!$A:$D, 4, FALSE), 0))</f>
        <v/>
      </c>
      <c r="G1153" s="11" t="str">
        <f t="shared" si="1"/>
        <v/>
      </c>
      <c r="H1153" s="22"/>
      <c r="I1153" s="11"/>
      <c r="J1153" s="17" t="str">
        <f>IF(TRIM(B1153)="","",IF(ISNUMBER(SEARCH(" - ",B1153)),TRIM(RIGHT(B1153,LEN(B1153)-FIND(" - ",B1153)-2)),IFERROR(VLOOKUP(UPPER(TRIM(B1153)), SETUP!$B$4:$C$11, 2, FALSE), UPPER(TRIM(B1153)))))</f>
        <v/>
      </c>
      <c r="K1153" s="23" t="str">
        <f t="shared" si="2"/>
        <v/>
      </c>
      <c r="L1153" s="17" t="str">
        <f t="shared" si="3"/>
        <v/>
      </c>
      <c r="M1153" s="17" t="str">
        <f t="shared" si="4"/>
        <v/>
      </c>
    </row>
    <row r="1154" ht="15.75" customHeight="1">
      <c r="A1154" s="12"/>
      <c r="B1154" s="11"/>
      <c r="C1154" s="11"/>
      <c r="D1154" s="11"/>
      <c r="E1154" s="11" t="str">
        <f>IF(J1154="","", C1154 * IFERROR(VLOOKUP(J1154, SETUP!$A:$D, 3, FALSE), 0))</f>
        <v/>
      </c>
      <c r="F1154" s="11" t="str">
        <f>IF(J1154="","", C1154 * IFERROR(VLOOKUP(J1154, SETUP!$A:$D, 4, FALSE), 0))</f>
        <v/>
      </c>
      <c r="G1154" s="11" t="str">
        <f t="shared" si="1"/>
        <v/>
      </c>
      <c r="H1154" s="22"/>
      <c r="I1154" s="11"/>
      <c r="J1154" s="17" t="str">
        <f>IF(TRIM(B1154)="","",IF(ISNUMBER(SEARCH(" - ",B1154)),TRIM(RIGHT(B1154,LEN(B1154)-FIND(" - ",B1154)-2)),IFERROR(VLOOKUP(UPPER(TRIM(B1154)), SETUP!$B$4:$C$11, 2, FALSE), UPPER(TRIM(B1154)))))</f>
        <v/>
      </c>
      <c r="K1154" s="23" t="str">
        <f t="shared" si="2"/>
        <v/>
      </c>
      <c r="L1154" s="17" t="str">
        <f t="shared" si="3"/>
        <v/>
      </c>
      <c r="M1154" s="17" t="str">
        <f t="shared" si="4"/>
        <v/>
      </c>
    </row>
    <row r="1155" ht="15.75" customHeight="1">
      <c r="A1155" s="12"/>
      <c r="B1155" s="11"/>
      <c r="C1155" s="11"/>
      <c r="D1155" s="11"/>
      <c r="E1155" s="11" t="str">
        <f>IF(J1155="","", C1155 * IFERROR(VLOOKUP(J1155, SETUP!$A:$D, 3, FALSE), 0))</f>
        <v/>
      </c>
      <c r="F1155" s="11" t="str">
        <f>IF(J1155="","", C1155 * IFERROR(VLOOKUP(J1155, SETUP!$A:$D, 4, FALSE), 0))</f>
        <v/>
      </c>
      <c r="G1155" s="11" t="str">
        <f t="shared" si="1"/>
        <v/>
      </c>
      <c r="H1155" s="22"/>
      <c r="I1155" s="11"/>
      <c r="J1155" s="17" t="str">
        <f>IF(TRIM(B1155)="","",IF(ISNUMBER(SEARCH(" - ",B1155)),TRIM(RIGHT(B1155,LEN(B1155)-FIND(" - ",B1155)-2)),IFERROR(VLOOKUP(UPPER(TRIM(B1155)), SETUP!$B$4:$C$11, 2, FALSE), UPPER(TRIM(B1155)))))</f>
        <v/>
      </c>
      <c r="K1155" s="23" t="str">
        <f t="shared" si="2"/>
        <v/>
      </c>
      <c r="L1155" s="17" t="str">
        <f t="shared" si="3"/>
        <v/>
      </c>
      <c r="M1155" s="17" t="str">
        <f t="shared" si="4"/>
        <v/>
      </c>
    </row>
    <row r="1156" ht="15.75" customHeight="1">
      <c r="A1156" s="12"/>
      <c r="B1156" s="11"/>
      <c r="C1156" s="11"/>
      <c r="D1156" s="11"/>
      <c r="E1156" s="11" t="str">
        <f>IF(J1156="","", C1156 * IFERROR(VLOOKUP(J1156, SETUP!$A:$D, 3, FALSE), 0))</f>
        <v/>
      </c>
      <c r="F1156" s="11" t="str">
        <f>IF(J1156="","", C1156 * IFERROR(VLOOKUP(J1156, SETUP!$A:$D, 4, FALSE), 0))</f>
        <v/>
      </c>
      <c r="G1156" s="11" t="str">
        <f t="shared" si="1"/>
        <v/>
      </c>
      <c r="H1156" s="22"/>
      <c r="I1156" s="11"/>
      <c r="J1156" s="17" t="str">
        <f>IF(TRIM(B1156)="","",IF(ISNUMBER(SEARCH(" - ",B1156)),TRIM(RIGHT(B1156,LEN(B1156)-FIND(" - ",B1156)-2)),IFERROR(VLOOKUP(UPPER(TRIM(B1156)), SETUP!$B$4:$C$11, 2, FALSE), UPPER(TRIM(B1156)))))</f>
        <v/>
      </c>
      <c r="K1156" s="23" t="str">
        <f t="shared" si="2"/>
        <v/>
      </c>
      <c r="L1156" s="17" t="str">
        <f t="shared" si="3"/>
        <v/>
      </c>
      <c r="M1156" s="17" t="str">
        <f t="shared" si="4"/>
        <v/>
      </c>
    </row>
    <row r="1157" ht="15.75" customHeight="1">
      <c r="A1157" s="12"/>
      <c r="B1157" s="11"/>
      <c r="C1157" s="11"/>
      <c r="D1157" s="11"/>
      <c r="E1157" s="11" t="str">
        <f>IF(J1157="","", C1157 * IFERROR(VLOOKUP(J1157, SETUP!$A:$D, 3, FALSE), 0))</f>
        <v/>
      </c>
      <c r="F1157" s="11" t="str">
        <f>IF(J1157="","", C1157 * IFERROR(VLOOKUP(J1157, SETUP!$A:$D, 4, FALSE), 0))</f>
        <v/>
      </c>
      <c r="G1157" s="11" t="str">
        <f t="shared" si="1"/>
        <v/>
      </c>
      <c r="H1157" s="22"/>
      <c r="I1157" s="11"/>
      <c r="J1157" s="17" t="str">
        <f>IF(TRIM(B1157)="","",IF(ISNUMBER(SEARCH(" - ",B1157)),TRIM(RIGHT(B1157,LEN(B1157)-FIND(" - ",B1157)-2)),IFERROR(VLOOKUP(UPPER(TRIM(B1157)), SETUP!$B$4:$C$11, 2, FALSE), UPPER(TRIM(B1157)))))</f>
        <v/>
      </c>
      <c r="K1157" s="23" t="str">
        <f t="shared" si="2"/>
        <v/>
      </c>
      <c r="L1157" s="17" t="str">
        <f t="shared" si="3"/>
        <v/>
      </c>
      <c r="M1157" s="17" t="str">
        <f t="shared" si="4"/>
        <v/>
      </c>
    </row>
    <row r="1158" ht="15.75" customHeight="1">
      <c r="A1158" s="12"/>
      <c r="B1158" s="11"/>
      <c r="C1158" s="11"/>
      <c r="D1158" s="11"/>
      <c r="E1158" s="11" t="str">
        <f>IF(J1158="","", C1158 * IFERROR(VLOOKUP(J1158, SETUP!$A:$D, 3, FALSE), 0))</f>
        <v/>
      </c>
      <c r="F1158" s="11" t="str">
        <f>IF(J1158="","", C1158 * IFERROR(VLOOKUP(J1158, SETUP!$A:$D, 4, FALSE), 0))</f>
        <v/>
      </c>
      <c r="G1158" s="11" t="str">
        <f t="shared" si="1"/>
        <v/>
      </c>
      <c r="H1158" s="22"/>
      <c r="I1158" s="11"/>
      <c r="J1158" s="17" t="str">
        <f>IF(TRIM(B1158)="","",IF(ISNUMBER(SEARCH(" - ",B1158)),TRIM(RIGHT(B1158,LEN(B1158)-FIND(" - ",B1158)-2)),IFERROR(VLOOKUP(UPPER(TRIM(B1158)), SETUP!$B$4:$C$11, 2, FALSE), UPPER(TRIM(B1158)))))</f>
        <v/>
      </c>
      <c r="K1158" s="23" t="str">
        <f t="shared" si="2"/>
        <v/>
      </c>
      <c r="L1158" s="17" t="str">
        <f t="shared" si="3"/>
        <v/>
      </c>
      <c r="M1158" s="17" t="str">
        <f t="shared" si="4"/>
        <v/>
      </c>
    </row>
    <row r="1159" ht="15.75" customHeight="1">
      <c r="A1159" s="12"/>
      <c r="B1159" s="11"/>
      <c r="C1159" s="11"/>
      <c r="D1159" s="11"/>
      <c r="E1159" s="11" t="str">
        <f>IF(J1159="","", C1159 * IFERROR(VLOOKUP(J1159, SETUP!$A:$D, 3, FALSE), 0))</f>
        <v/>
      </c>
      <c r="F1159" s="11" t="str">
        <f>IF(J1159="","", C1159 * IFERROR(VLOOKUP(J1159, SETUP!$A:$D, 4, FALSE), 0))</f>
        <v/>
      </c>
      <c r="G1159" s="11" t="str">
        <f t="shared" si="1"/>
        <v/>
      </c>
      <c r="H1159" s="22"/>
      <c r="I1159" s="11"/>
      <c r="J1159" s="17" t="str">
        <f>IF(TRIM(B1159)="","",IF(ISNUMBER(SEARCH(" - ",B1159)),TRIM(RIGHT(B1159,LEN(B1159)-FIND(" - ",B1159)-2)),IFERROR(VLOOKUP(UPPER(TRIM(B1159)), SETUP!$B$4:$C$11, 2, FALSE), UPPER(TRIM(B1159)))))</f>
        <v/>
      </c>
      <c r="K1159" s="23" t="str">
        <f t="shared" si="2"/>
        <v/>
      </c>
      <c r="L1159" s="17" t="str">
        <f t="shared" si="3"/>
        <v/>
      </c>
      <c r="M1159" s="17" t="str">
        <f t="shared" si="4"/>
        <v/>
      </c>
    </row>
    <row r="1160" ht="15.75" customHeight="1">
      <c r="A1160" s="12"/>
      <c r="B1160" s="11"/>
      <c r="C1160" s="11"/>
      <c r="D1160" s="11"/>
      <c r="E1160" s="11" t="str">
        <f>IF(J1160="","", C1160 * IFERROR(VLOOKUP(J1160, SETUP!$A:$D, 3, FALSE), 0))</f>
        <v/>
      </c>
      <c r="F1160" s="11" t="str">
        <f>IF(J1160="","", C1160 * IFERROR(VLOOKUP(J1160, SETUP!$A:$D, 4, FALSE), 0))</f>
        <v/>
      </c>
      <c r="G1160" s="11" t="str">
        <f t="shared" si="1"/>
        <v/>
      </c>
      <c r="H1160" s="22"/>
      <c r="I1160" s="11"/>
      <c r="J1160" s="17" t="str">
        <f>IF(TRIM(B1160)="","",IF(ISNUMBER(SEARCH(" - ",B1160)),TRIM(RIGHT(B1160,LEN(B1160)-FIND(" - ",B1160)-2)),IFERROR(VLOOKUP(UPPER(TRIM(B1160)), SETUP!$B$4:$C$11, 2, FALSE), UPPER(TRIM(B1160)))))</f>
        <v/>
      </c>
      <c r="K1160" s="23" t="str">
        <f t="shared" si="2"/>
        <v/>
      </c>
      <c r="L1160" s="17" t="str">
        <f t="shared" si="3"/>
        <v/>
      </c>
      <c r="M1160" s="17" t="str">
        <f t="shared" si="4"/>
        <v/>
      </c>
    </row>
    <row r="1161" ht="15.75" customHeight="1">
      <c r="A1161" s="12"/>
      <c r="B1161" s="11"/>
      <c r="C1161" s="11"/>
      <c r="D1161" s="11"/>
      <c r="E1161" s="11" t="str">
        <f>IF(J1161="","", C1161 * IFERROR(VLOOKUP(J1161, SETUP!$A:$D, 3, FALSE), 0))</f>
        <v/>
      </c>
      <c r="F1161" s="11" t="str">
        <f>IF(J1161="","", C1161 * IFERROR(VLOOKUP(J1161, SETUP!$A:$D, 4, FALSE), 0))</f>
        <v/>
      </c>
      <c r="G1161" s="11" t="str">
        <f t="shared" si="1"/>
        <v/>
      </c>
      <c r="H1161" s="22"/>
      <c r="I1161" s="11"/>
      <c r="J1161" s="17" t="str">
        <f>IF(TRIM(B1161)="","",IF(ISNUMBER(SEARCH(" - ",B1161)),TRIM(RIGHT(B1161,LEN(B1161)-FIND(" - ",B1161)-2)),IFERROR(VLOOKUP(UPPER(TRIM(B1161)), SETUP!$B$4:$C$11, 2, FALSE), UPPER(TRIM(B1161)))))</f>
        <v/>
      </c>
      <c r="K1161" s="23" t="str">
        <f t="shared" si="2"/>
        <v/>
      </c>
      <c r="L1161" s="17" t="str">
        <f t="shared" si="3"/>
        <v/>
      </c>
      <c r="M1161" s="17" t="str">
        <f t="shared" si="4"/>
        <v/>
      </c>
    </row>
    <row r="1162" ht="15.75" customHeight="1">
      <c r="A1162" s="12"/>
      <c r="B1162" s="11"/>
      <c r="C1162" s="11"/>
      <c r="D1162" s="11"/>
      <c r="E1162" s="11" t="str">
        <f>IF(J1162="","", C1162 * IFERROR(VLOOKUP(J1162, SETUP!$A:$D, 3, FALSE), 0))</f>
        <v/>
      </c>
      <c r="F1162" s="11" t="str">
        <f>IF(J1162="","", C1162 * IFERROR(VLOOKUP(J1162, SETUP!$A:$D, 4, FALSE), 0))</f>
        <v/>
      </c>
      <c r="G1162" s="11" t="str">
        <f t="shared" si="1"/>
        <v/>
      </c>
      <c r="H1162" s="22"/>
      <c r="I1162" s="11"/>
      <c r="J1162" s="17" t="str">
        <f>IF(TRIM(B1162)="","",IF(ISNUMBER(SEARCH(" - ",B1162)),TRIM(RIGHT(B1162,LEN(B1162)-FIND(" - ",B1162)-2)),IFERROR(VLOOKUP(UPPER(TRIM(B1162)), SETUP!$B$4:$C$11, 2, FALSE), UPPER(TRIM(B1162)))))</f>
        <v/>
      </c>
      <c r="K1162" s="23" t="str">
        <f t="shared" si="2"/>
        <v/>
      </c>
      <c r="L1162" s="17" t="str">
        <f t="shared" si="3"/>
        <v/>
      </c>
      <c r="M1162" s="17" t="str">
        <f t="shared" si="4"/>
        <v/>
      </c>
    </row>
    <row r="1163" ht="15.75" customHeight="1">
      <c r="A1163" s="12"/>
      <c r="B1163" s="11"/>
      <c r="C1163" s="11"/>
      <c r="D1163" s="11"/>
      <c r="E1163" s="11" t="str">
        <f>IF(J1163="","", C1163 * IFERROR(VLOOKUP(J1163, SETUP!$A:$D, 3, FALSE), 0))</f>
        <v/>
      </c>
      <c r="F1163" s="11" t="str">
        <f>IF(J1163="","", C1163 * IFERROR(VLOOKUP(J1163, SETUP!$A:$D, 4, FALSE), 0))</f>
        <v/>
      </c>
      <c r="G1163" s="11" t="str">
        <f t="shared" si="1"/>
        <v/>
      </c>
      <c r="H1163" s="22"/>
      <c r="I1163" s="11"/>
      <c r="J1163" s="17" t="str">
        <f>IF(TRIM(B1163)="","",IF(ISNUMBER(SEARCH(" - ",B1163)),TRIM(RIGHT(B1163,LEN(B1163)-FIND(" - ",B1163)-2)),IFERROR(VLOOKUP(UPPER(TRIM(B1163)), SETUP!$B$4:$C$11, 2, FALSE), UPPER(TRIM(B1163)))))</f>
        <v/>
      </c>
      <c r="K1163" s="23" t="str">
        <f t="shared" si="2"/>
        <v/>
      </c>
      <c r="L1163" s="17" t="str">
        <f t="shared" si="3"/>
        <v/>
      </c>
      <c r="M1163" s="17" t="str">
        <f t="shared" si="4"/>
        <v/>
      </c>
    </row>
    <row r="1164" ht="15.75" customHeight="1">
      <c r="A1164" s="12"/>
      <c r="B1164" s="11"/>
      <c r="C1164" s="11"/>
      <c r="D1164" s="11"/>
      <c r="E1164" s="11" t="str">
        <f>IF(J1164="","", C1164 * IFERROR(VLOOKUP(J1164, SETUP!$A:$D, 3, FALSE), 0))</f>
        <v/>
      </c>
      <c r="F1164" s="11" t="str">
        <f>IF(J1164="","", C1164 * IFERROR(VLOOKUP(J1164, SETUP!$A:$D, 4, FALSE), 0))</f>
        <v/>
      </c>
      <c r="G1164" s="11" t="str">
        <f t="shared" si="1"/>
        <v/>
      </c>
      <c r="H1164" s="22"/>
      <c r="I1164" s="11"/>
      <c r="J1164" s="17" t="str">
        <f>IF(TRIM(B1164)="","",IF(ISNUMBER(SEARCH(" - ",B1164)),TRIM(RIGHT(B1164,LEN(B1164)-FIND(" - ",B1164)-2)),IFERROR(VLOOKUP(UPPER(TRIM(B1164)), SETUP!$B$4:$C$11, 2, FALSE), UPPER(TRIM(B1164)))))</f>
        <v/>
      </c>
      <c r="K1164" s="23" t="str">
        <f t="shared" si="2"/>
        <v/>
      </c>
      <c r="L1164" s="17" t="str">
        <f t="shared" si="3"/>
        <v/>
      </c>
      <c r="M1164" s="17" t="str">
        <f t="shared" si="4"/>
        <v/>
      </c>
    </row>
    <row r="1165" ht="15.75" customHeight="1">
      <c r="A1165" s="12"/>
      <c r="B1165" s="11"/>
      <c r="C1165" s="11"/>
      <c r="D1165" s="11"/>
      <c r="E1165" s="11" t="str">
        <f>IF(J1165="","", C1165 * IFERROR(VLOOKUP(J1165, SETUP!$A:$D, 3, FALSE), 0))</f>
        <v/>
      </c>
      <c r="F1165" s="11" t="str">
        <f>IF(J1165="","", C1165 * IFERROR(VLOOKUP(J1165, SETUP!$A:$D, 4, FALSE), 0))</f>
        <v/>
      </c>
      <c r="G1165" s="11" t="str">
        <f t="shared" si="1"/>
        <v/>
      </c>
      <c r="H1165" s="22"/>
      <c r="I1165" s="11"/>
      <c r="J1165" s="17" t="str">
        <f>IF(TRIM(B1165)="","",IF(ISNUMBER(SEARCH(" - ",B1165)),TRIM(RIGHT(B1165,LEN(B1165)-FIND(" - ",B1165)-2)),IFERROR(VLOOKUP(UPPER(TRIM(B1165)), SETUP!$B$4:$C$11, 2, FALSE), UPPER(TRIM(B1165)))))</f>
        <v/>
      </c>
      <c r="K1165" s="23" t="str">
        <f t="shared" si="2"/>
        <v/>
      </c>
      <c r="L1165" s="17" t="str">
        <f t="shared" si="3"/>
        <v/>
      </c>
      <c r="M1165" s="17" t="str">
        <f t="shared" si="4"/>
        <v/>
      </c>
    </row>
    <row r="1166" ht="15.75" customHeight="1">
      <c r="A1166" s="12"/>
      <c r="B1166" s="11"/>
      <c r="C1166" s="11"/>
      <c r="D1166" s="11"/>
      <c r="E1166" s="11" t="str">
        <f>IF(J1166="","", C1166 * IFERROR(VLOOKUP(J1166, SETUP!$A:$D, 3, FALSE), 0))</f>
        <v/>
      </c>
      <c r="F1166" s="11" t="str">
        <f>IF(J1166="","", C1166 * IFERROR(VLOOKUP(J1166, SETUP!$A:$D, 4, FALSE), 0))</f>
        <v/>
      </c>
      <c r="G1166" s="11" t="str">
        <f t="shared" si="1"/>
        <v/>
      </c>
      <c r="H1166" s="22"/>
      <c r="I1166" s="11"/>
      <c r="J1166" s="17" t="str">
        <f>IF(TRIM(B1166)="","",IF(ISNUMBER(SEARCH(" - ",B1166)),TRIM(RIGHT(B1166,LEN(B1166)-FIND(" - ",B1166)-2)),IFERROR(VLOOKUP(UPPER(TRIM(B1166)), SETUP!$B$4:$C$11, 2, FALSE), UPPER(TRIM(B1166)))))</f>
        <v/>
      </c>
      <c r="K1166" s="23" t="str">
        <f t="shared" si="2"/>
        <v/>
      </c>
      <c r="L1166" s="17" t="str">
        <f t="shared" si="3"/>
        <v/>
      </c>
      <c r="M1166" s="17" t="str">
        <f t="shared" si="4"/>
        <v/>
      </c>
    </row>
    <row r="1167" ht="15.75" customHeight="1">
      <c r="A1167" s="12"/>
      <c r="B1167" s="11"/>
      <c r="C1167" s="11"/>
      <c r="D1167" s="11"/>
      <c r="E1167" s="11" t="str">
        <f>IF(J1167="","", C1167 * IFERROR(VLOOKUP(J1167, SETUP!$A:$D, 3, FALSE), 0))</f>
        <v/>
      </c>
      <c r="F1167" s="11" t="str">
        <f>IF(J1167="","", C1167 * IFERROR(VLOOKUP(J1167, SETUP!$A:$D, 4, FALSE), 0))</f>
        <v/>
      </c>
      <c r="G1167" s="11" t="str">
        <f t="shared" si="1"/>
        <v/>
      </c>
      <c r="H1167" s="22"/>
      <c r="I1167" s="11"/>
      <c r="J1167" s="17" t="str">
        <f>IF(TRIM(B1167)="","",IF(ISNUMBER(SEARCH(" - ",B1167)),TRIM(RIGHT(B1167,LEN(B1167)-FIND(" - ",B1167)-2)),IFERROR(VLOOKUP(UPPER(TRIM(B1167)), SETUP!$B$4:$C$11, 2, FALSE), UPPER(TRIM(B1167)))))</f>
        <v/>
      </c>
      <c r="K1167" s="23" t="str">
        <f t="shared" si="2"/>
        <v/>
      </c>
      <c r="L1167" s="17" t="str">
        <f t="shared" si="3"/>
        <v/>
      </c>
      <c r="M1167" s="17" t="str">
        <f t="shared" si="4"/>
        <v/>
      </c>
    </row>
    <row r="1168" ht="15.75" customHeight="1">
      <c r="A1168" s="12"/>
      <c r="B1168" s="11"/>
      <c r="C1168" s="11"/>
      <c r="D1168" s="11"/>
      <c r="E1168" s="11" t="str">
        <f>IF(J1168="","", C1168 * IFERROR(VLOOKUP(J1168, SETUP!$A:$D, 3, FALSE), 0))</f>
        <v/>
      </c>
      <c r="F1168" s="11" t="str">
        <f>IF(J1168="","", C1168 * IFERROR(VLOOKUP(J1168, SETUP!$A:$D, 4, FALSE), 0))</f>
        <v/>
      </c>
      <c r="G1168" s="11" t="str">
        <f t="shared" si="1"/>
        <v/>
      </c>
      <c r="H1168" s="22"/>
      <c r="I1168" s="11"/>
      <c r="J1168" s="17" t="str">
        <f>IF(TRIM(B1168)="","",IF(ISNUMBER(SEARCH(" - ",B1168)),TRIM(RIGHT(B1168,LEN(B1168)-FIND(" - ",B1168)-2)),IFERROR(VLOOKUP(UPPER(TRIM(B1168)), SETUP!$B$4:$C$11, 2, FALSE), UPPER(TRIM(B1168)))))</f>
        <v/>
      </c>
      <c r="K1168" s="23" t="str">
        <f t="shared" si="2"/>
        <v/>
      </c>
      <c r="L1168" s="17" t="str">
        <f t="shared" si="3"/>
        <v/>
      </c>
      <c r="M1168" s="17" t="str">
        <f t="shared" si="4"/>
        <v/>
      </c>
    </row>
    <row r="1169" ht="15.75" customHeight="1">
      <c r="A1169" s="12"/>
      <c r="B1169" s="11"/>
      <c r="C1169" s="11"/>
      <c r="D1169" s="11"/>
      <c r="E1169" s="11" t="str">
        <f>IF(J1169="","", C1169 * IFERROR(VLOOKUP(J1169, SETUP!$A:$D, 3, FALSE), 0))</f>
        <v/>
      </c>
      <c r="F1169" s="11" t="str">
        <f>IF(J1169="","", C1169 * IFERROR(VLOOKUP(J1169, SETUP!$A:$D, 4, FALSE), 0))</f>
        <v/>
      </c>
      <c r="G1169" s="11" t="str">
        <f t="shared" si="1"/>
        <v/>
      </c>
      <c r="H1169" s="22"/>
      <c r="I1169" s="11"/>
      <c r="J1169" s="17" t="str">
        <f>IF(TRIM(B1169)="","",IF(ISNUMBER(SEARCH(" - ",B1169)),TRIM(RIGHT(B1169,LEN(B1169)-FIND(" - ",B1169)-2)),IFERROR(VLOOKUP(UPPER(TRIM(B1169)), SETUP!$B$4:$C$11, 2, FALSE), UPPER(TRIM(B1169)))))</f>
        <v/>
      </c>
      <c r="K1169" s="23" t="str">
        <f t="shared" si="2"/>
        <v/>
      </c>
      <c r="L1169" s="17" t="str">
        <f t="shared" si="3"/>
        <v/>
      </c>
      <c r="M1169" s="17" t="str">
        <f t="shared" si="4"/>
        <v/>
      </c>
    </row>
    <row r="1170" ht="15.75" customHeight="1">
      <c r="A1170" s="12"/>
      <c r="B1170" s="11"/>
      <c r="C1170" s="11"/>
      <c r="D1170" s="11"/>
      <c r="E1170" s="11" t="str">
        <f>IF(J1170="","", C1170 * IFERROR(VLOOKUP(J1170, SETUP!$A:$D, 3, FALSE), 0))</f>
        <v/>
      </c>
      <c r="F1170" s="11" t="str">
        <f>IF(J1170="","", C1170 * IFERROR(VLOOKUP(J1170, SETUP!$A:$D, 4, FALSE), 0))</f>
        <v/>
      </c>
      <c r="G1170" s="11" t="str">
        <f t="shared" si="1"/>
        <v/>
      </c>
      <c r="H1170" s="22"/>
      <c r="I1170" s="11"/>
      <c r="J1170" s="17" t="str">
        <f>IF(TRIM(B1170)="","",IF(ISNUMBER(SEARCH(" - ",B1170)),TRIM(RIGHT(B1170,LEN(B1170)-FIND(" - ",B1170)-2)),IFERROR(VLOOKUP(UPPER(TRIM(B1170)), SETUP!$B$4:$C$11, 2, FALSE), UPPER(TRIM(B1170)))))</f>
        <v/>
      </c>
      <c r="K1170" s="23" t="str">
        <f t="shared" si="2"/>
        <v/>
      </c>
      <c r="L1170" s="17" t="str">
        <f t="shared" si="3"/>
        <v/>
      </c>
      <c r="M1170" s="17" t="str">
        <f t="shared" si="4"/>
        <v/>
      </c>
    </row>
    <row r="1171" ht="15.75" customHeight="1">
      <c r="A1171" s="12"/>
      <c r="B1171" s="11"/>
      <c r="C1171" s="11"/>
      <c r="D1171" s="11"/>
      <c r="E1171" s="11" t="str">
        <f>IF(J1171="","", C1171 * IFERROR(VLOOKUP(J1171, SETUP!$A:$D, 3, FALSE), 0))</f>
        <v/>
      </c>
      <c r="F1171" s="11" t="str">
        <f>IF(J1171="","", C1171 * IFERROR(VLOOKUP(J1171, SETUP!$A:$D, 4, FALSE), 0))</f>
        <v/>
      </c>
      <c r="G1171" s="11" t="str">
        <f t="shared" si="1"/>
        <v/>
      </c>
      <c r="H1171" s="22"/>
      <c r="I1171" s="11"/>
      <c r="J1171" s="17" t="str">
        <f>IF(TRIM(B1171)="","",IF(ISNUMBER(SEARCH(" - ",B1171)),TRIM(RIGHT(B1171,LEN(B1171)-FIND(" - ",B1171)-2)),IFERROR(VLOOKUP(UPPER(TRIM(B1171)), SETUP!$B$4:$C$11, 2, FALSE), UPPER(TRIM(B1171)))))</f>
        <v/>
      </c>
      <c r="K1171" s="23" t="str">
        <f t="shared" si="2"/>
        <v/>
      </c>
      <c r="L1171" s="17" t="str">
        <f t="shared" si="3"/>
        <v/>
      </c>
      <c r="M1171" s="17" t="str">
        <f t="shared" si="4"/>
        <v/>
      </c>
    </row>
    <row r="1172" ht="15.75" customHeight="1">
      <c r="A1172" s="12"/>
      <c r="B1172" s="11"/>
      <c r="C1172" s="11"/>
      <c r="D1172" s="11"/>
      <c r="E1172" s="11" t="str">
        <f>IF(J1172="","", C1172 * IFERROR(VLOOKUP(J1172, SETUP!$A:$D, 3, FALSE), 0))</f>
        <v/>
      </c>
      <c r="F1172" s="11" t="str">
        <f>IF(J1172="","", C1172 * IFERROR(VLOOKUP(J1172, SETUP!$A:$D, 4, FALSE), 0))</f>
        <v/>
      </c>
      <c r="G1172" s="11" t="str">
        <f t="shared" si="1"/>
        <v/>
      </c>
      <c r="H1172" s="22"/>
      <c r="I1172" s="11"/>
      <c r="J1172" s="17" t="str">
        <f>IF(TRIM(B1172)="","",IF(ISNUMBER(SEARCH(" - ",B1172)),TRIM(RIGHT(B1172,LEN(B1172)-FIND(" - ",B1172)-2)),IFERROR(VLOOKUP(UPPER(TRIM(B1172)), SETUP!$B$4:$C$11, 2, FALSE), UPPER(TRIM(B1172)))))</f>
        <v/>
      </c>
      <c r="K1172" s="23" t="str">
        <f t="shared" si="2"/>
        <v/>
      </c>
      <c r="L1172" s="17" t="str">
        <f t="shared" si="3"/>
        <v/>
      </c>
      <c r="M1172" s="17" t="str">
        <f t="shared" si="4"/>
        <v/>
      </c>
    </row>
    <row r="1173" ht="15.75" customHeight="1">
      <c r="A1173" s="12"/>
      <c r="B1173" s="11"/>
      <c r="C1173" s="11"/>
      <c r="D1173" s="11"/>
      <c r="E1173" s="11" t="str">
        <f>IF(J1173="","", C1173 * IFERROR(VLOOKUP(J1173, SETUP!$A:$D, 3, FALSE), 0))</f>
        <v/>
      </c>
      <c r="F1173" s="11" t="str">
        <f>IF(J1173="","", C1173 * IFERROR(VLOOKUP(J1173, SETUP!$A:$D, 4, FALSE), 0))</f>
        <v/>
      </c>
      <c r="G1173" s="11" t="str">
        <f t="shared" si="1"/>
        <v/>
      </c>
      <c r="H1173" s="22"/>
      <c r="I1173" s="11"/>
      <c r="J1173" s="17" t="str">
        <f>IF(TRIM(B1173)="","",IF(ISNUMBER(SEARCH(" - ",B1173)),TRIM(RIGHT(B1173,LEN(B1173)-FIND(" - ",B1173)-2)),IFERROR(VLOOKUP(UPPER(TRIM(B1173)), SETUP!$B$4:$C$11, 2, FALSE), UPPER(TRIM(B1173)))))</f>
        <v/>
      </c>
      <c r="K1173" s="23" t="str">
        <f t="shared" si="2"/>
        <v/>
      </c>
      <c r="L1173" s="17" t="str">
        <f t="shared" si="3"/>
        <v/>
      </c>
      <c r="M1173" s="17" t="str">
        <f t="shared" si="4"/>
        <v/>
      </c>
    </row>
    <row r="1174" ht="15.75" customHeight="1">
      <c r="A1174" s="12"/>
      <c r="B1174" s="11"/>
      <c r="C1174" s="11"/>
      <c r="D1174" s="11"/>
      <c r="E1174" s="11" t="str">
        <f>IF(J1174="","", C1174 * IFERROR(VLOOKUP(J1174, SETUP!$A:$D, 3, FALSE), 0))</f>
        <v/>
      </c>
      <c r="F1174" s="11" t="str">
        <f>IF(J1174="","", C1174 * IFERROR(VLOOKUP(J1174, SETUP!$A:$D, 4, FALSE), 0))</f>
        <v/>
      </c>
      <c r="G1174" s="11" t="str">
        <f t="shared" si="1"/>
        <v/>
      </c>
      <c r="H1174" s="22"/>
      <c r="I1174" s="11"/>
      <c r="J1174" s="17" t="str">
        <f>IF(TRIM(B1174)="","",IF(ISNUMBER(SEARCH(" - ",B1174)),TRIM(RIGHT(B1174,LEN(B1174)-FIND(" - ",B1174)-2)),IFERROR(VLOOKUP(UPPER(TRIM(B1174)), SETUP!$B$4:$C$11, 2, FALSE), UPPER(TRIM(B1174)))))</f>
        <v/>
      </c>
      <c r="K1174" s="23" t="str">
        <f t="shared" si="2"/>
        <v/>
      </c>
      <c r="L1174" s="17" t="str">
        <f t="shared" si="3"/>
        <v/>
      </c>
      <c r="M1174" s="17" t="str">
        <f t="shared" si="4"/>
        <v/>
      </c>
    </row>
    <row r="1175" ht="15.75" customHeight="1">
      <c r="A1175" s="12"/>
      <c r="B1175" s="11"/>
      <c r="C1175" s="11"/>
      <c r="D1175" s="11"/>
      <c r="E1175" s="11" t="str">
        <f>IF(J1175="","", C1175 * IFERROR(VLOOKUP(J1175, SETUP!$A:$D, 3, FALSE), 0))</f>
        <v/>
      </c>
      <c r="F1175" s="11" t="str">
        <f>IF(J1175="","", C1175 * IFERROR(VLOOKUP(J1175, SETUP!$A:$D, 4, FALSE), 0))</f>
        <v/>
      </c>
      <c r="G1175" s="11" t="str">
        <f t="shared" si="1"/>
        <v/>
      </c>
      <c r="H1175" s="22"/>
      <c r="I1175" s="11"/>
      <c r="J1175" s="17" t="str">
        <f>IF(TRIM(B1175)="","",IF(ISNUMBER(SEARCH(" - ",B1175)),TRIM(RIGHT(B1175,LEN(B1175)-FIND(" - ",B1175)-2)),IFERROR(VLOOKUP(UPPER(TRIM(B1175)), SETUP!$B$4:$C$11, 2, FALSE), UPPER(TRIM(B1175)))))</f>
        <v/>
      </c>
      <c r="K1175" s="23" t="str">
        <f t="shared" si="2"/>
        <v/>
      </c>
      <c r="L1175" s="17" t="str">
        <f t="shared" si="3"/>
        <v/>
      </c>
      <c r="M1175" s="17" t="str">
        <f t="shared" si="4"/>
        <v/>
      </c>
    </row>
    <row r="1176" ht="15.75" customHeight="1">
      <c r="A1176" s="12"/>
      <c r="B1176" s="11"/>
      <c r="C1176" s="11"/>
      <c r="D1176" s="11"/>
      <c r="E1176" s="11" t="str">
        <f>IF(J1176="","", C1176 * IFERROR(VLOOKUP(J1176, SETUP!$A:$D, 3, FALSE), 0))</f>
        <v/>
      </c>
      <c r="F1176" s="11" t="str">
        <f>IF(J1176="","", C1176 * IFERROR(VLOOKUP(J1176, SETUP!$A:$D, 4, FALSE), 0))</f>
        <v/>
      </c>
      <c r="G1176" s="11" t="str">
        <f t="shared" si="1"/>
        <v/>
      </c>
      <c r="H1176" s="22"/>
      <c r="I1176" s="11"/>
      <c r="J1176" s="17" t="str">
        <f>IF(TRIM(B1176)="","",IF(ISNUMBER(SEARCH(" - ",B1176)),TRIM(RIGHT(B1176,LEN(B1176)-FIND(" - ",B1176)-2)),IFERROR(VLOOKUP(UPPER(TRIM(B1176)), SETUP!$B$4:$C$11, 2, FALSE), UPPER(TRIM(B1176)))))</f>
        <v/>
      </c>
      <c r="K1176" s="23" t="str">
        <f t="shared" si="2"/>
        <v/>
      </c>
      <c r="L1176" s="17" t="str">
        <f t="shared" si="3"/>
        <v/>
      </c>
      <c r="M1176" s="17" t="str">
        <f t="shared" si="4"/>
        <v/>
      </c>
    </row>
    <row r="1177" ht="15.75" customHeight="1">
      <c r="A1177" s="12"/>
      <c r="B1177" s="11"/>
      <c r="C1177" s="11"/>
      <c r="D1177" s="11"/>
      <c r="E1177" s="11" t="str">
        <f>IF(J1177="","", C1177 * IFERROR(VLOOKUP(J1177, SETUP!$A:$D, 3, FALSE), 0))</f>
        <v/>
      </c>
      <c r="F1177" s="11" t="str">
        <f>IF(J1177="","", C1177 * IFERROR(VLOOKUP(J1177, SETUP!$A:$D, 4, FALSE), 0))</f>
        <v/>
      </c>
      <c r="G1177" s="11" t="str">
        <f t="shared" si="1"/>
        <v/>
      </c>
      <c r="H1177" s="22"/>
      <c r="I1177" s="11"/>
      <c r="J1177" s="17" t="str">
        <f>IF(TRIM(B1177)="","",IF(ISNUMBER(SEARCH(" - ",B1177)),TRIM(RIGHT(B1177,LEN(B1177)-FIND(" - ",B1177)-2)),IFERROR(VLOOKUP(UPPER(TRIM(B1177)), SETUP!$B$4:$C$11, 2, FALSE), UPPER(TRIM(B1177)))))</f>
        <v/>
      </c>
      <c r="K1177" s="23" t="str">
        <f t="shared" si="2"/>
        <v/>
      </c>
      <c r="L1177" s="17" t="str">
        <f t="shared" si="3"/>
        <v/>
      </c>
      <c r="M1177" s="17" t="str">
        <f t="shared" si="4"/>
        <v/>
      </c>
    </row>
    <row r="1178" ht="15.75" customHeight="1">
      <c r="A1178" s="12"/>
      <c r="B1178" s="11"/>
      <c r="C1178" s="11"/>
      <c r="D1178" s="11"/>
      <c r="E1178" s="11" t="str">
        <f>IF(J1178="","", C1178 * IFERROR(VLOOKUP(J1178, SETUP!$A:$D, 3, FALSE), 0))</f>
        <v/>
      </c>
      <c r="F1178" s="11" t="str">
        <f>IF(J1178="","", C1178 * IFERROR(VLOOKUP(J1178, SETUP!$A:$D, 4, FALSE), 0))</f>
        <v/>
      </c>
      <c r="G1178" s="11" t="str">
        <f t="shared" si="1"/>
        <v/>
      </c>
      <c r="H1178" s="22"/>
      <c r="I1178" s="11"/>
      <c r="J1178" s="17" t="str">
        <f>IF(TRIM(B1178)="","",IF(ISNUMBER(SEARCH(" - ",B1178)),TRIM(RIGHT(B1178,LEN(B1178)-FIND(" - ",B1178)-2)),IFERROR(VLOOKUP(UPPER(TRIM(B1178)), SETUP!$B$4:$C$11, 2, FALSE), UPPER(TRIM(B1178)))))</f>
        <v/>
      </c>
      <c r="K1178" s="23" t="str">
        <f t="shared" si="2"/>
        <v/>
      </c>
      <c r="L1178" s="17" t="str">
        <f t="shared" si="3"/>
        <v/>
      </c>
      <c r="M1178" s="17" t="str">
        <f t="shared" si="4"/>
        <v/>
      </c>
    </row>
    <row r="1179" ht="15.75" customHeight="1">
      <c r="A1179" s="12"/>
      <c r="B1179" s="11"/>
      <c r="C1179" s="11"/>
      <c r="D1179" s="11"/>
      <c r="E1179" s="11" t="str">
        <f>IF(J1179="","", C1179 * IFERROR(VLOOKUP(J1179, SETUP!$A:$D, 3, FALSE), 0))</f>
        <v/>
      </c>
      <c r="F1179" s="11" t="str">
        <f>IF(J1179="","", C1179 * IFERROR(VLOOKUP(J1179, SETUP!$A:$D, 4, FALSE), 0))</f>
        <v/>
      </c>
      <c r="G1179" s="11" t="str">
        <f t="shared" si="1"/>
        <v/>
      </c>
      <c r="H1179" s="22"/>
      <c r="I1179" s="11"/>
      <c r="J1179" s="17" t="str">
        <f>IF(TRIM(B1179)="","",IF(ISNUMBER(SEARCH(" - ",B1179)),TRIM(RIGHT(B1179,LEN(B1179)-FIND(" - ",B1179)-2)),IFERROR(VLOOKUP(UPPER(TRIM(B1179)), SETUP!$B$4:$C$11, 2, FALSE), UPPER(TRIM(B1179)))))</f>
        <v/>
      </c>
      <c r="K1179" s="23" t="str">
        <f t="shared" si="2"/>
        <v/>
      </c>
      <c r="L1179" s="17" t="str">
        <f t="shared" si="3"/>
        <v/>
      </c>
      <c r="M1179" s="17" t="str">
        <f t="shared" si="4"/>
        <v/>
      </c>
    </row>
    <row r="1180" ht="15.75" customHeight="1">
      <c r="A1180" s="12"/>
      <c r="B1180" s="11"/>
      <c r="C1180" s="11"/>
      <c r="D1180" s="11"/>
      <c r="E1180" s="11" t="str">
        <f>IF(J1180="","", C1180 * IFERROR(VLOOKUP(J1180, SETUP!$A:$D, 3, FALSE), 0))</f>
        <v/>
      </c>
      <c r="F1180" s="11" t="str">
        <f>IF(J1180="","", C1180 * IFERROR(VLOOKUP(J1180, SETUP!$A:$D, 4, FALSE), 0))</f>
        <v/>
      </c>
      <c r="G1180" s="11" t="str">
        <f t="shared" si="1"/>
        <v/>
      </c>
      <c r="H1180" s="22"/>
      <c r="I1180" s="11"/>
      <c r="J1180" s="17" t="str">
        <f>IF(TRIM(B1180)="","",IF(ISNUMBER(SEARCH(" - ",B1180)),TRIM(RIGHT(B1180,LEN(B1180)-FIND(" - ",B1180)-2)),IFERROR(VLOOKUP(UPPER(TRIM(B1180)), SETUP!$B$4:$C$11, 2, FALSE), UPPER(TRIM(B1180)))))</f>
        <v/>
      </c>
      <c r="K1180" s="23" t="str">
        <f t="shared" si="2"/>
        <v/>
      </c>
      <c r="L1180" s="17" t="str">
        <f t="shared" si="3"/>
        <v/>
      </c>
      <c r="M1180" s="17" t="str">
        <f t="shared" si="4"/>
        <v/>
      </c>
    </row>
    <row r="1181" ht="15.75" customHeight="1">
      <c r="A1181" s="12"/>
      <c r="B1181" s="11"/>
      <c r="C1181" s="11"/>
      <c r="D1181" s="11"/>
      <c r="E1181" s="11" t="str">
        <f>IF(J1181="","", C1181 * IFERROR(VLOOKUP(J1181, SETUP!$A:$D, 3, FALSE), 0))</f>
        <v/>
      </c>
      <c r="F1181" s="11" t="str">
        <f>IF(J1181="","", C1181 * IFERROR(VLOOKUP(J1181, SETUP!$A:$D, 4, FALSE), 0))</f>
        <v/>
      </c>
      <c r="G1181" s="11" t="str">
        <f t="shared" si="1"/>
        <v/>
      </c>
      <c r="H1181" s="22"/>
      <c r="I1181" s="11"/>
      <c r="J1181" s="17" t="str">
        <f>IF(TRIM(B1181)="","",IF(ISNUMBER(SEARCH(" - ",B1181)),TRIM(RIGHT(B1181,LEN(B1181)-FIND(" - ",B1181)-2)),IFERROR(VLOOKUP(UPPER(TRIM(B1181)), SETUP!$B$4:$C$11, 2, FALSE), UPPER(TRIM(B1181)))))</f>
        <v/>
      </c>
      <c r="K1181" s="23" t="str">
        <f t="shared" si="2"/>
        <v/>
      </c>
      <c r="L1181" s="17" t="str">
        <f t="shared" si="3"/>
        <v/>
      </c>
      <c r="M1181" s="17" t="str">
        <f t="shared" si="4"/>
        <v/>
      </c>
    </row>
    <row r="1182" ht="15.75" customHeight="1">
      <c r="A1182" s="12"/>
      <c r="B1182" s="11"/>
      <c r="C1182" s="11"/>
      <c r="D1182" s="11"/>
      <c r="E1182" s="11" t="str">
        <f>IF(J1182="","", C1182 * IFERROR(VLOOKUP(J1182, SETUP!$A:$D, 3, FALSE), 0))</f>
        <v/>
      </c>
      <c r="F1182" s="11" t="str">
        <f>IF(J1182="","", C1182 * IFERROR(VLOOKUP(J1182, SETUP!$A:$D, 4, FALSE), 0))</f>
        <v/>
      </c>
      <c r="G1182" s="11" t="str">
        <f t="shared" si="1"/>
        <v/>
      </c>
      <c r="H1182" s="22"/>
      <c r="I1182" s="11"/>
      <c r="J1182" s="17" t="str">
        <f>IF(TRIM(B1182)="","",IF(ISNUMBER(SEARCH(" - ",B1182)),TRIM(RIGHT(B1182,LEN(B1182)-FIND(" - ",B1182)-2)),IFERROR(VLOOKUP(UPPER(TRIM(B1182)), SETUP!$B$4:$C$11, 2, FALSE), UPPER(TRIM(B1182)))))</f>
        <v/>
      </c>
      <c r="K1182" s="23" t="str">
        <f t="shared" si="2"/>
        <v/>
      </c>
      <c r="L1182" s="17" t="str">
        <f t="shared" si="3"/>
        <v/>
      </c>
      <c r="M1182" s="17" t="str">
        <f t="shared" si="4"/>
        <v/>
      </c>
    </row>
    <row r="1183" ht="15.75" customHeight="1">
      <c r="A1183" s="12"/>
      <c r="B1183" s="11"/>
      <c r="C1183" s="11"/>
      <c r="D1183" s="11"/>
      <c r="E1183" s="11" t="str">
        <f>IF(J1183="","", C1183 * IFERROR(VLOOKUP(J1183, SETUP!$A:$D, 3, FALSE), 0))</f>
        <v/>
      </c>
      <c r="F1183" s="11" t="str">
        <f>IF(J1183="","", C1183 * IFERROR(VLOOKUP(J1183, SETUP!$A:$D, 4, FALSE), 0))</f>
        <v/>
      </c>
      <c r="G1183" s="11" t="str">
        <f t="shared" si="1"/>
        <v/>
      </c>
      <c r="H1183" s="22"/>
      <c r="I1183" s="11"/>
      <c r="J1183" s="17" t="str">
        <f>IF(TRIM(B1183)="","",IF(ISNUMBER(SEARCH(" - ",B1183)),TRIM(RIGHT(B1183,LEN(B1183)-FIND(" - ",B1183)-2)),IFERROR(VLOOKUP(UPPER(TRIM(B1183)), SETUP!$B$4:$C$11, 2, FALSE), UPPER(TRIM(B1183)))))</f>
        <v/>
      </c>
      <c r="K1183" s="23" t="str">
        <f t="shared" si="2"/>
        <v/>
      </c>
      <c r="L1183" s="17" t="str">
        <f t="shared" si="3"/>
        <v/>
      </c>
      <c r="M1183" s="17" t="str">
        <f t="shared" si="4"/>
        <v/>
      </c>
    </row>
    <row r="1184" ht="15.75" customHeight="1">
      <c r="A1184" s="12"/>
      <c r="B1184" s="11"/>
      <c r="C1184" s="11"/>
      <c r="D1184" s="11"/>
      <c r="E1184" s="11" t="str">
        <f>IF(J1184="","", C1184 * IFERROR(VLOOKUP(J1184, SETUP!$A:$D, 3, FALSE), 0))</f>
        <v/>
      </c>
      <c r="F1184" s="11" t="str">
        <f>IF(J1184="","", C1184 * IFERROR(VLOOKUP(J1184, SETUP!$A:$D, 4, FALSE), 0))</f>
        <v/>
      </c>
      <c r="G1184" s="11" t="str">
        <f t="shared" si="1"/>
        <v/>
      </c>
      <c r="H1184" s="22"/>
      <c r="I1184" s="11"/>
      <c r="J1184" s="17" t="str">
        <f>IF(TRIM(B1184)="","",IF(ISNUMBER(SEARCH(" - ",B1184)),TRIM(RIGHT(B1184,LEN(B1184)-FIND(" - ",B1184)-2)),IFERROR(VLOOKUP(UPPER(TRIM(B1184)), SETUP!$B$4:$C$11, 2, FALSE), UPPER(TRIM(B1184)))))</f>
        <v/>
      </c>
      <c r="K1184" s="23" t="str">
        <f t="shared" si="2"/>
        <v/>
      </c>
      <c r="L1184" s="17" t="str">
        <f t="shared" si="3"/>
        <v/>
      </c>
      <c r="M1184" s="17" t="str">
        <f t="shared" si="4"/>
        <v/>
      </c>
    </row>
    <row r="1185" ht="15.75" customHeight="1">
      <c r="A1185" s="12"/>
      <c r="B1185" s="11"/>
      <c r="C1185" s="11"/>
      <c r="D1185" s="11"/>
      <c r="E1185" s="11" t="str">
        <f>IF(J1185="","", C1185 * IFERROR(VLOOKUP(J1185, SETUP!$A:$D, 3, FALSE), 0))</f>
        <v/>
      </c>
      <c r="F1185" s="11" t="str">
        <f>IF(J1185="","", C1185 * IFERROR(VLOOKUP(J1185, SETUP!$A:$D, 4, FALSE), 0))</f>
        <v/>
      </c>
      <c r="G1185" s="11" t="str">
        <f t="shared" si="1"/>
        <v/>
      </c>
      <c r="H1185" s="22"/>
      <c r="I1185" s="11"/>
      <c r="J1185" s="17" t="str">
        <f>IF(TRIM(B1185)="","",IF(ISNUMBER(SEARCH(" - ",B1185)),TRIM(RIGHT(B1185,LEN(B1185)-FIND(" - ",B1185)-2)),IFERROR(VLOOKUP(UPPER(TRIM(B1185)), SETUP!$B$4:$C$11, 2, FALSE), UPPER(TRIM(B1185)))))</f>
        <v/>
      </c>
      <c r="K1185" s="23" t="str">
        <f t="shared" si="2"/>
        <v/>
      </c>
      <c r="L1185" s="17" t="str">
        <f t="shared" si="3"/>
        <v/>
      </c>
      <c r="M1185" s="17" t="str">
        <f t="shared" si="4"/>
        <v/>
      </c>
    </row>
    <row r="1186" ht="15.75" customHeight="1">
      <c r="A1186" s="12"/>
      <c r="B1186" s="11"/>
      <c r="C1186" s="11"/>
      <c r="D1186" s="11"/>
      <c r="E1186" s="11" t="str">
        <f>IF(J1186="","", C1186 * IFERROR(VLOOKUP(J1186, SETUP!$A:$D, 3, FALSE), 0))</f>
        <v/>
      </c>
      <c r="F1186" s="11" t="str">
        <f>IF(J1186="","", C1186 * IFERROR(VLOOKUP(J1186, SETUP!$A:$D, 4, FALSE), 0))</f>
        <v/>
      </c>
      <c r="G1186" s="11" t="str">
        <f t="shared" si="1"/>
        <v/>
      </c>
      <c r="H1186" s="22"/>
      <c r="I1186" s="11"/>
      <c r="J1186" s="17" t="str">
        <f>IF(TRIM(B1186)="","",IF(ISNUMBER(SEARCH(" - ",B1186)),TRIM(RIGHT(B1186,LEN(B1186)-FIND(" - ",B1186)-2)),IFERROR(VLOOKUP(UPPER(TRIM(B1186)), SETUP!$B$4:$C$11, 2, FALSE), UPPER(TRIM(B1186)))))</f>
        <v/>
      </c>
      <c r="K1186" s="23" t="str">
        <f t="shared" si="2"/>
        <v/>
      </c>
      <c r="L1186" s="17" t="str">
        <f t="shared" si="3"/>
        <v/>
      </c>
      <c r="M1186" s="17" t="str">
        <f t="shared" si="4"/>
        <v/>
      </c>
    </row>
    <row r="1187" ht="15.75" customHeight="1">
      <c r="A1187" s="12"/>
      <c r="B1187" s="11"/>
      <c r="C1187" s="11"/>
      <c r="D1187" s="11"/>
      <c r="E1187" s="11" t="str">
        <f>IF(J1187="","", C1187 * IFERROR(VLOOKUP(J1187, SETUP!$A:$D, 3, FALSE), 0))</f>
        <v/>
      </c>
      <c r="F1187" s="11" t="str">
        <f>IF(J1187="","", C1187 * IFERROR(VLOOKUP(J1187, SETUP!$A:$D, 4, FALSE), 0))</f>
        <v/>
      </c>
      <c r="G1187" s="11" t="str">
        <f t="shared" si="1"/>
        <v/>
      </c>
      <c r="H1187" s="22"/>
      <c r="I1187" s="11"/>
      <c r="J1187" s="17" t="str">
        <f>IF(TRIM(B1187)="","",IF(ISNUMBER(SEARCH(" - ",B1187)),TRIM(RIGHT(B1187,LEN(B1187)-FIND(" - ",B1187)-2)),IFERROR(VLOOKUP(UPPER(TRIM(B1187)), SETUP!$B$4:$C$11, 2, FALSE), UPPER(TRIM(B1187)))))</f>
        <v/>
      </c>
      <c r="K1187" s="23" t="str">
        <f t="shared" si="2"/>
        <v/>
      </c>
      <c r="L1187" s="17" t="str">
        <f t="shared" si="3"/>
        <v/>
      </c>
      <c r="M1187" s="17" t="str">
        <f t="shared" si="4"/>
        <v/>
      </c>
    </row>
    <row r="1188" ht="15.75" customHeight="1">
      <c r="A1188" s="12"/>
      <c r="B1188" s="11"/>
      <c r="C1188" s="11"/>
      <c r="D1188" s="11"/>
      <c r="E1188" s="11" t="str">
        <f>IF(J1188="","", C1188 * IFERROR(VLOOKUP(J1188, SETUP!$A:$D, 3, FALSE), 0))</f>
        <v/>
      </c>
      <c r="F1188" s="11" t="str">
        <f>IF(J1188="","", C1188 * IFERROR(VLOOKUP(J1188, SETUP!$A:$D, 4, FALSE), 0))</f>
        <v/>
      </c>
      <c r="G1188" s="11" t="str">
        <f t="shared" si="1"/>
        <v/>
      </c>
      <c r="H1188" s="22"/>
      <c r="I1188" s="11"/>
      <c r="J1188" s="17" t="str">
        <f>IF(TRIM(B1188)="","",IF(ISNUMBER(SEARCH(" - ",B1188)),TRIM(RIGHT(B1188,LEN(B1188)-FIND(" - ",B1188)-2)),IFERROR(VLOOKUP(UPPER(TRIM(B1188)), SETUP!$B$4:$C$11, 2, FALSE), UPPER(TRIM(B1188)))))</f>
        <v/>
      </c>
      <c r="K1188" s="23" t="str">
        <f t="shared" si="2"/>
        <v/>
      </c>
      <c r="L1188" s="17" t="str">
        <f t="shared" si="3"/>
        <v/>
      </c>
      <c r="M1188" s="17" t="str">
        <f t="shared" si="4"/>
        <v/>
      </c>
    </row>
    <row r="1189" ht="15.75" customHeight="1">
      <c r="A1189" s="12"/>
      <c r="B1189" s="11"/>
      <c r="C1189" s="11"/>
      <c r="D1189" s="11"/>
      <c r="E1189" s="11" t="str">
        <f>IF(J1189="","", C1189 * IFERROR(VLOOKUP(J1189, SETUP!$A:$D, 3, FALSE), 0))</f>
        <v/>
      </c>
      <c r="F1189" s="11" t="str">
        <f>IF(J1189="","", C1189 * IFERROR(VLOOKUP(J1189, SETUP!$A:$D, 4, FALSE), 0))</f>
        <v/>
      </c>
      <c r="G1189" s="11" t="str">
        <f t="shared" si="1"/>
        <v/>
      </c>
      <c r="H1189" s="22"/>
      <c r="I1189" s="11"/>
      <c r="J1189" s="17" t="str">
        <f>IF(TRIM(B1189)="","",IF(ISNUMBER(SEARCH(" - ",B1189)),TRIM(RIGHT(B1189,LEN(B1189)-FIND(" - ",B1189)-2)),IFERROR(VLOOKUP(UPPER(TRIM(B1189)), SETUP!$B$4:$C$11, 2, FALSE), UPPER(TRIM(B1189)))))</f>
        <v/>
      </c>
      <c r="K1189" s="23" t="str">
        <f t="shared" si="2"/>
        <v/>
      </c>
      <c r="L1189" s="17" t="str">
        <f t="shared" si="3"/>
        <v/>
      </c>
      <c r="M1189" s="17" t="str">
        <f t="shared" si="4"/>
        <v/>
      </c>
    </row>
    <row r="1190" ht="15.75" customHeight="1">
      <c r="A1190" s="12"/>
      <c r="B1190" s="11"/>
      <c r="C1190" s="11"/>
      <c r="D1190" s="11"/>
      <c r="E1190" s="11" t="str">
        <f>IF(J1190="","", C1190 * IFERROR(VLOOKUP(J1190, SETUP!$A:$D, 3, FALSE), 0))</f>
        <v/>
      </c>
      <c r="F1190" s="11" t="str">
        <f>IF(J1190="","", C1190 * IFERROR(VLOOKUP(J1190, SETUP!$A:$D, 4, FALSE), 0))</f>
        <v/>
      </c>
      <c r="G1190" s="11" t="str">
        <f t="shared" si="1"/>
        <v/>
      </c>
      <c r="H1190" s="22"/>
      <c r="I1190" s="11"/>
      <c r="J1190" s="17" t="str">
        <f>IF(TRIM(B1190)="","",IF(ISNUMBER(SEARCH(" - ",B1190)),TRIM(RIGHT(B1190,LEN(B1190)-FIND(" - ",B1190)-2)),IFERROR(VLOOKUP(UPPER(TRIM(B1190)), SETUP!$B$4:$C$11, 2, FALSE), UPPER(TRIM(B1190)))))</f>
        <v/>
      </c>
      <c r="K1190" s="23" t="str">
        <f t="shared" si="2"/>
        <v/>
      </c>
      <c r="L1190" s="17" t="str">
        <f t="shared" si="3"/>
        <v/>
      </c>
      <c r="M1190" s="17" t="str">
        <f t="shared" si="4"/>
        <v/>
      </c>
    </row>
    <row r="1191" ht="15.75" customHeight="1">
      <c r="A1191" s="12"/>
      <c r="B1191" s="11"/>
      <c r="C1191" s="11"/>
      <c r="D1191" s="11"/>
      <c r="E1191" s="11" t="str">
        <f>IF(J1191="","", C1191 * IFERROR(VLOOKUP(J1191, SETUP!$A:$D, 3, FALSE), 0))</f>
        <v/>
      </c>
      <c r="F1191" s="11" t="str">
        <f>IF(J1191="","", C1191 * IFERROR(VLOOKUP(J1191, SETUP!$A:$D, 4, FALSE), 0))</f>
        <v/>
      </c>
      <c r="G1191" s="11" t="str">
        <f t="shared" si="1"/>
        <v/>
      </c>
      <c r="H1191" s="22"/>
      <c r="I1191" s="11"/>
      <c r="J1191" s="17" t="str">
        <f>IF(TRIM(B1191)="","",IF(ISNUMBER(SEARCH(" - ",B1191)),TRIM(RIGHT(B1191,LEN(B1191)-FIND(" - ",B1191)-2)),IFERROR(VLOOKUP(UPPER(TRIM(B1191)), SETUP!$B$4:$C$11, 2, FALSE), UPPER(TRIM(B1191)))))</f>
        <v/>
      </c>
      <c r="K1191" s="23" t="str">
        <f t="shared" si="2"/>
        <v/>
      </c>
      <c r="L1191" s="17" t="str">
        <f t="shared" si="3"/>
        <v/>
      </c>
      <c r="M1191" s="17" t="str">
        <f t="shared" si="4"/>
        <v/>
      </c>
    </row>
    <row r="1192" ht="15.75" customHeight="1">
      <c r="A1192" s="12"/>
      <c r="B1192" s="11"/>
      <c r="C1192" s="11"/>
      <c r="D1192" s="11"/>
      <c r="E1192" s="11" t="str">
        <f>IF(J1192="","", C1192 * IFERROR(VLOOKUP(J1192, SETUP!$A:$D, 3, FALSE), 0))</f>
        <v/>
      </c>
      <c r="F1192" s="11" t="str">
        <f>IF(J1192="","", C1192 * IFERROR(VLOOKUP(J1192, SETUP!$A:$D, 4, FALSE), 0))</f>
        <v/>
      </c>
      <c r="G1192" s="11" t="str">
        <f t="shared" si="1"/>
        <v/>
      </c>
      <c r="H1192" s="22"/>
      <c r="I1192" s="11"/>
      <c r="J1192" s="17" t="str">
        <f>IF(TRIM(B1192)="","",IF(ISNUMBER(SEARCH(" - ",B1192)),TRIM(RIGHT(B1192,LEN(B1192)-FIND(" - ",B1192)-2)),IFERROR(VLOOKUP(UPPER(TRIM(B1192)), SETUP!$B$4:$C$11, 2, FALSE), UPPER(TRIM(B1192)))))</f>
        <v/>
      </c>
      <c r="K1192" s="23" t="str">
        <f t="shared" si="2"/>
        <v/>
      </c>
      <c r="L1192" s="17" t="str">
        <f t="shared" si="3"/>
        <v/>
      </c>
      <c r="M1192" s="17" t="str">
        <f t="shared" si="4"/>
        <v/>
      </c>
    </row>
    <row r="1193" ht="15.75" customHeight="1">
      <c r="A1193" s="12"/>
      <c r="B1193" s="11"/>
      <c r="C1193" s="11"/>
      <c r="D1193" s="11"/>
      <c r="E1193" s="11" t="str">
        <f>IF(J1193="","", C1193 * IFERROR(VLOOKUP(J1193, SETUP!$A:$D, 3, FALSE), 0))</f>
        <v/>
      </c>
      <c r="F1193" s="11" t="str">
        <f>IF(J1193="","", C1193 * IFERROR(VLOOKUP(J1193, SETUP!$A:$D, 4, FALSE), 0))</f>
        <v/>
      </c>
      <c r="G1193" s="11" t="str">
        <f t="shared" si="1"/>
        <v/>
      </c>
      <c r="H1193" s="22"/>
      <c r="I1193" s="11"/>
      <c r="J1193" s="17" t="str">
        <f>IF(TRIM(B1193)="","",IF(ISNUMBER(SEARCH(" - ",B1193)),TRIM(RIGHT(B1193,LEN(B1193)-FIND(" - ",B1193)-2)),IFERROR(VLOOKUP(UPPER(TRIM(B1193)), SETUP!$B$4:$C$11, 2, FALSE), UPPER(TRIM(B1193)))))</f>
        <v/>
      </c>
      <c r="K1193" s="23" t="str">
        <f t="shared" si="2"/>
        <v/>
      </c>
      <c r="L1193" s="17" t="str">
        <f t="shared" si="3"/>
        <v/>
      </c>
      <c r="M1193" s="17" t="str">
        <f t="shared" si="4"/>
        <v/>
      </c>
    </row>
    <row r="1194" ht="15.75" customHeight="1">
      <c r="A1194" s="12"/>
      <c r="B1194" s="11"/>
      <c r="C1194" s="11"/>
      <c r="D1194" s="11"/>
      <c r="E1194" s="11" t="str">
        <f>IF(J1194="","", C1194 * IFERROR(VLOOKUP(J1194, SETUP!$A:$D, 3, FALSE), 0))</f>
        <v/>
      </c>
      <c r="F1194" s="11" t="str">
        <f>IF(J1194="","", C1194 * IFERROR(VLOOKUP(J1194, SETUP!$A:$D, 4, FALSE), 0))</f>
        <v/>
      </c>
      <c r="G1194" s="11" t="str">
        <f t="shared" si="1"/>
        <v/>
      </c>
      <c r="H1194" s="22"/>
      <c r="I1194" s="11"/>
      <c r="J1194" s="17" t="str">
        <f>IF(TRIM(B1194)="","",IF(ISNUMBER(SEARCH(" - ",B1194)),TRIM(RIGHT(B1194,LEN(B1194)-FIND(" - ",B1194)-2)),IFERROR(VLOOKUP(UPPER(TRIM(B1194)), SETUP!$B$4:$C$11, 2, FALSE), UPPER(TRIM(B1194)))))</f>
        <v/>
      </c>
      <c r="K1194" s="23" t="str">
        <f t="shared" si="2"/>
        <v/>
      </c>
      <c r="L1194" s="17" t="str">
        <f t="shared" si="3"/>
        <v/>
      </c>
      <c r="M1194" s="17" t="str">
        <f t="shared" si="4"/>
        <v/>
      </c>
    </row>
    <row r="1195" ht="15.75" customHeight="1">
      <c r="A1195" s="12"/>
      <c r="B1195" s="11"/>
      <c r="C1195" s="11"/>
      <c r="D1195" s="11"/>
      <c r="E1195" s="11" t="str">
        <f>IF(J1195="","", C1195 * IFERROR(VLOOKUP(J1195, SETUP!$A:$D, 3, FALSE), 0))</f>
        <v/>
      </c>
      <c r="F1195" s="11" t="str">
        <f>IF(J1195="","", C1195 * IFERROR(VLOOKUP(J1195, SETUP!$A:$D, 4, FALSE), 0))</f>
        <v/>
      </c>
      <c r="G1195" s="11" t="str">
        <f t="shared" si="1"/>
        <v/>
      </c>
      <c r="H1195" s="22"/>
      <c r="I1195" s="11"/>
      <c r="J1195" s="17" t="str">
        <f>IF(TRIM(B1195)="","",IF(ISNUMBER(SEARCH(" - ",B1195)),TRIM(RIGHT(B1195,LEN(B1195)-FIND(" - ",B1195)-2)),IFERROR(VLOOKUP(UPPER(TRIM(B1195)), SETUP!$B$4:$C$11, 2, FALSE), UPPER(TRIM(B1195)))))</f>
        <v/>
      </c>
      <c r="K1195" s="23" t="str">
        <f t="shared" si="2"/>
        <v/>
      </c>
      <c r="L1195" s="17" t="str">
        <f t="shared" si="3"/>
        <v/>
      </c>
      <c r="M1195" s="17" t="str">
        <f t="shared" si="4"/>
        <v/>
      </c>
    </row>
    <row r="1196" ht="15.75" customHeight="1">
      <c r="A1196" s="12"/>
      <c r="B1196" s="11"/>
      <c r="C1196" s="11"/>
      <c r="D1196" s="11"/>
      <c r="E1196" s="11" t="str">
        <f>IF(J1196="","", C1196 * IFERROR(VLOOKUP(J1196, SETUP!$A:$D, 3, FALSE), 0))</f>
        <v/>
      </c>
      <c r="F1196" s="11" t="str">
        <f>IF(J1196="","", C1196 * IFERROR(VLOOKUP(J1196, SETUP!$A:$D, 4, FALSE), 0))</f>
        <v/>
      </c>
      <c r="G1196" s="11" t="str">
        <f t="shared" si="1"/>
        <v/>
      </c>
      <c r="H1196" s="22"/>
      <c r="I1196" s="11"/>
      <c r="J1196" s="17" t="str">
        <f>IF(TRIM(B1196)="","",IF(ISNUMBER(SEARCH(" - ",B1196)),TRIM(RIGHT(B1196,LEN(B1196)-FIND(" - ",B1196)-2)),IFERROR(VLOOKUP(UPPER(TRIM(B1196)), SETUP!$B$4:$C$11, 2, FALSE), UPPER(TRIM(B1196)))))</f>
        <v/>
      </c>
      <c r="K1196" s="23" t="str">
        <f t="shared" si="2"/>
        <v/>
      </c>
      <c r="L1196" s="17" t="str">
        <f t="shared" si="3"/>
        <v/>
      </c>
      <c r="M1196" s="17" t="str">
        <f t="shared" si="4"/>
        <v/>
      </c>
    </row>
    <row r="1197" ht="15.75" customHeight="1">
      <c r="A1197" s="12"/>
      <c r="B1197" s="11"/>
      <c r="C1197" s="11"/>
      <c r="D1197" s="11"/>
      <c r="E1197" s="11" t="str">
        <f>IF(J1197="","", C1197 * IFERROR(VLOOKUP(J1197, SETUP!$A:$D, 3, FALSE), 0))</f>
        <v/>
      </c>
      <c r="F1197" s="11" t="str">
        <f>IF(J1197="","", C1197 * IFERROR(VLOOKUP(J1197, SETUP!$A:$D, 4, FALSE), 0))</f>
        <v/>
      </c>
      <c r="G1197" s="11" t="str">
        <f t="shared" si="1"/>
        <v/>
      </c>
      <c r="H1197" s="22"/>
      <c r="I1197" s="11"/>
      <c r="J1197" s="17" t="str">
        <f>IF(TRIM(B1197)="","",IF(ISNUMBER(SEARCH(" - ",B1197)),TRIM(RIGHT(B1197,LEN(B1197)-FIND(" - ",B1197)-2)),IFERROR(VLOOKUP(UPPER(TRIM(B1197)), SETUP!$B$4:$C$11, 2, FALSE), UPPER(TRIM(B1197)))))</f>
        <v/>
      </c>
      <c r="K1197" s="23" t="str">
        <f t="shared" si="2"/>
        <v/>
      </c>
      <c r="L1197" s="17" t="str">
        <f t="shared" si="3"/>
        <v/>
      </c>
      <c r="M1197" s="17" t="str">
        <f t="shared" si="4"/>
        <v/>
      </c>
    </row>
    <row r="1198" ht="15.75" customHeight="1">
      <c r="A1198" s="12"/>
      <c r="B1198" s="11"/>
      <c r="C1198" s="11"/>
      <c r="D1198" s="11"/>
      <c r="E1198" s="11" t="str">
        <f>IF(J1198="","", C1198 * IFERROR(VLOOKUP(J1198, SETUP!$A:$D, 3, FALSE), 0))</f>
        <v/>
      </c>
      <c r="F1198" s="11" t="str">
        <f>IF(J1198="","", C1198 * IFERROR(VLOOKUP(J1198, SETUP!$A:$D, 4, FALSE), 0))</f>
        <v/>
      </c>
      <c r="G1198" s="11" t="str">
        <f t="shared" si="1"/>
        <v/>
      </c>
      <c r="H1198" s="22"/>
      <c r="I1198" s="11"/>
      <c r="J1198" s="17" t="str">
        <f>IF(TRIM(B1198)="","",IF(ISNUMBER(SEARCH(" - ",B1198)),TRIM(RIGHT(B1198,LEN(B1198)-FIND(" - ",B1198)-2)),IFERROR(VLOOKUP(UPPER(TRIM(B1198)), SETUP!$B$4:$C$11, 2, FALSE), UPPER(TRIM(B1198)))))</f>
        <v/>
      </c>
      <c r="K1198" s="23" t="str">
        <f t="shared" si="2"/>
        <v/>
      </c>
      <c r="L1198" s="17" t="str">
        <f t="shared" si="3"/>
        <v/>
      </c>
      <c r="M1198" s="17" t="str">
        <f t="shared" si="4"/>
        <v/>
      </c>
    </row>
    <row r="1199" ht="15.75" customHeight="1">
      <c r="A1199" s="12"/>
      <c r="B1199" s="11"/>
      <c r="C1199" s="11"/>
      <c r="D1199" s="11"/>
      <c r="E1199" s="11" t="str">
        <f>IF(J1199="","", C1199 * IFERROR(VLOOKUP(J1199, SETUP!$A:$D, 3, FALSE), 0))</f>
        <v/>
      </c>
      <c r="F1199" s="11" t="str">
        <f>IF(J1199="","", C1199 * IFERROR(VLOOKUP(J1199, SETUP!$A:$D, 4, FALSE), 0))</f>
        <v/>
      </c>
      <c r="G1199" s="11" t="str">
        <f t="shared" si="1"/>
        <v/>
      </c>
      <c r="H1199" s="22"/>
      <c r="I1199" s="11"/>
      <c r="J1199" s="17" t="str">
        <f>IF(TRIM(B1199)="","",IF(ISNUMBER(SEARCH(" - ",B1199)),TRIM(RIGHT(B1199,LEN(B1199)-FIND(" - ",B1199)-2)),IFERROR(VLOOKUP(UPPER(TRIM(B1199)), SETUP!$B$4:$C$11, 2, FALSE), UPPER(TRIM(B1199)))))</f>
        <v/>
      </c>
      <c r="K1199" s="23" t="str">
        <f t="shared" si="2"/>
        <v/>
      </c>
      <c r="L1199" s="17" t="str">
        <f t="shared" si="3"/>
        <v/>
      </c>
      <c r="M1199" s="17" t="str">
        <f t="shared" si="4"/>
        <v/>
      </c>
    </row>
    <row r="1200" ht="15.75" customHeight="1">
      <c r="A1200" s="12"/>
      <c r="B1200" s="11"/>
      <c r="C1200" s="11"/>
      <c r="D1200" s="11"/>
      <c r="E1200" s="11" t="str">
        <f>IF(J1200="","", C1200 * IFERROR(VLOOKUP(J1200, SETUP!$A:$D, 3, FALSE), 0))</f>
        <v/>
      </c>
      <c r="F1200" s="11" t="str">
        <f>IF(J1200="","", C1200 * IFERROR(VLOOKUP(J1200, SETUP!$A:$D, 4, FALSE), 0))</f>
        <v/>
      </c>
      <c r="G1200" s="11" t="str">
        <f t="shared" si="1"/>
        <v/>
      </c>
      <c r="H1200" s="22"/>
      <c r="I1200" s="11"/>
      <c r="J1200" s="17" t="str">
        <f>IF(TRIM(B1200)="","",IF(ISNUMBER(SEARCH(" - ",B1200)),TRIM(RIGHT(B1200,LEN(B1200)-FIND(" - ",B1200)-2)),IFERROR(VLOOKUP(UPPER(TRIM(B1200)), SETUP!$B$4:$C$11, 2, FALSE), UPPER(TRIM(B1200)))))</f>
        <v/>
      </c>
      <c r="K1200" s="23" t="str">
        <f t="shared" si="2"/>
        <v/>
      </c>
      <c r="L1200" s="17" t="str">
        <f t="shared" si="3"/>
        <v/>
      </c>
      <c r="M1200" s="17" t="str">
        <f t="shared" si="4"/>
        <v/>
      </c>
    </row>
    <row r="1201" ht="15.75" customHeight="1">
      <c r="A1201" s="12"/>
      <c r="B1201" s="11"/>
      <c r="C1201" s="11"/>
      <c r="D1201" s="11"/>
      <c r="E1201" s="11" t="str">
        <f>IF(J1201="","", C1201 * IFERROR(VLOOKUP(J1201, SETUP!$A:$D, 3, FALSE), 0))</f>
        <v/>
      </c>
      <c r="F1201" s="11" t="str">
        <f>IF(J1201="","", C1201 * IFERROR(VLOOKUP(J1201, SETUP!$A:$D, 4, FALSE), 0))</f>
        <v/>
      </c>
      <c r="G1201" s="11" t="str">
        <f t="shared" si="1"/>
        <v/>
      </c>
      <c r="H1201" s="22"/>
      <c r="I1201" s="11"/>
      <c r="J1201" s="17" t="str">
        <f>IF(TRIM(B1201)="","",IF(ISNUMBER(SEARCH(" - ",B1201)),TRIM(RIGHT(B1201,LEN(B1201)-FIND(" - ",B1201)-2)),IFERROR(VLOOKUP(UPPER(TRIM(B1201)), SETUP!$B$4:$C$11, 2, FALSE), UPPER(TRIM(B1201)))))</f>
        <v/>
      </c>
      <c r="K1201" s="23" t="str">
        <f t="shared" si="2"/>
        <v/>
      </c>
      <c r="L1201" s="17" t="str">
        <f t="shared" si="3"/>
        <v/>
      </c>
      <c r="M1201" s="17" t="str">
        <f t="shared" si="4"/>
        <v/>
      </c>
    </row>
    <row r="1202" ht="15.75" customHeight="1">
      <c r="A1202" s="12"/>
      <c r="B1202" s="11"/>
      <c r="C1202" s="11"/>
      <c r="D1202" s="11"/>
      <c r="E1202" s="11" t="str">
        <f>IF(J1202="","", C1202 * IFERROR(VLOOKUP(J1202, SETUP!$A:$D, 3, FALSE), 0))</f>
        <v/>
      </c>
      <c r="F1202" s="11" t="str">
        <f>IF(J1202="","", C1202 * IFERROR(VLOOKUP(J1202, SETUP!$A:$D, 4, FALSE), 0))</f>
        <v/>
      </c>
      <c r="G1202" s="11" t="str">
        <f t="shared" si="1"/>
        <v/>
      </c>
      <c r="H1202" s="22"/>
      <c r="I1202" s="11"/>
      <c r="J1202" s="17" t="str">
        <f>IF(TRIM(B1202)="","",IF(ISNUMBER(SEARCH(" - ",B1202)),TRIM(RIGHT(B1202,LEN(B1202)-FIND(" - ",B1202)-2)),IFERROR(VLOOKUP(UPPER(TRIM(B1202)), SETUP!$B$4:$C$11, 2, FALSE), UPPER(TRIM(B1202)))))</f>
        <v/>
      </c>
      <c r="K1202" s="23" t="str">
        <f t="shared" si="2"/>
        <v/>
      </c>
      <c r="L1202" s="17" t="str">
        <f t="shared" si="3"/>
        <v/>
      </c>
      <c r="M1202" s="17" t="str">
        <f t="shared" si="4"/>
        <v/>
      </c>
    </row>
    <row r="1203" ht="15.75" customHeight="1">
      <c r="A1203" s="12"/>
      <c r="B1203" s="11"/>
      <c r="C1203" s="11"/>
      <c r="D1203" s="11"/>
      <c r="E1203" s="11" t="str">
        <f>IF(J1203="","", C1203 * IFERROR(VLOOKUP(J1203, SETUP!$A:$D, 3, FALSE), 0))</f>
        <v/>
      </c>
      <c r="F1203" s="11" t="str">
        <f>IF(J1203="","", C1203 * IFERROR(VLOOKUP(J1203, SETUP!$A:$D, 4, FALSE), 0))</f>
        <v/>
      </c>
      <c r="G1203" s="11" t="str">
        <f t="shared" si="1"/>
        <v/>
      </c>
      <c r="H1203" s="22"/>
      <c r="I1203" s="11"/>
      <c r="J1203" s="17" t="str">
        <f>IF(TRIM(B1203)="","",IF(ISNUMBER(SEARCH(" - ",B1203)),TRIM(RIGHT(B1203,LEN(B1203)-FIND(" - ",B1203)-2)),IFERROR(VLOOKUP(UPPER(TRIM(B1203)), SETUP!$B$4:$C$11, 2, FALSE), UPPER(TRIM(B1203)))))</f>
        <v/>
      </c>
      <c r="K1203" s="23" t="str">
        <f t="shared" si="2"/>
        <v/>
      </c>
      <c r="L1203" s="17" t="str">
        <f t="shared" si="3"/>
        <v/>
      </c>
      <c r="M1203" s="17" t="str">
        <f t="shared" si="4"/>
        <v/>
      </c>
    </row>
    <row r="1204" ht="15.75" customHeight="1">
      <c r="A1204" s="12"/>
      <c r="B1204" s="11"/>
      <c r="C1204" s="11"/>
      <c r="D1204" s="11"/>
      <c r="E1204" s="11" t="str">
        <f>IF(J1204="","", C1204 * IFERROR(VLOOKUP(J1204, SETUP!$A:$D, 3, FALSE), 0))</f>
        <v/>
      </c>
      <c r="F1204" s="11" t="str">
        <f>IF(J1204="","", C1204 * IFERROR(VLOOKUP(J1204, SETUP!$A:$D, 4, FALSE), 0))</f>
        <v/>
      </c>
      <c r="G1204" s="11" t="str">
        <f t="shared" si="1"/>
        <v/>
      </c>
      <c r="H1204" s="22"/>
      <c r="I1204" s="11"/>
      <c r="J1204" s="17" t="str">
        <f>IF(TRIM(B1204)="","",IF(ISNUMBER(SEARCH(" - ",B1204)),TRIM(RIGHT(B1204,LEN(B1204)-FIND(" - ",B1204)-2)),IFERROR(VLOOKUP(UPPER(TRIM(B1204)), SETUP!$B$4:$C$11, 2, FALSE), UPPER(TRIM(B1204)))))</f>
        <v/>
      </c>
      <c r="K1204" s="23" t="str">
        <f t="shared" si="2"/>
        <v/>
      </c>
      <c r="L1204" s="17" t="str">
        <f t="shared" si="3"/>
        <v/>
      </c>
      <c r="M1204" s="17" t="str">
        <f t="shared" si="4"/>
        <v/>
      </c>
    </row>
    <row r="1205" ht="15.75" customHeight="1">
      <c r="A1205" s="12"/>
      <c r="B1205" s="11"/>
      <c r="C1205" s="11"/>
      <c r="D1205" s="11"/>
      <c r="E1205" s="11" t="str">
        <f>IF(J1205="","", C1205 * IFERROR(VLOOKUP(J1205, SETUP!$A:$D, 3, FALSE), 0))</f>
        <v/>
      </c>
      <c r="F1205" s="11" t="str">
        <f>IF(J1205="","", C1205 * IFERROR(VLOOKUP(J1205, SETUP!$A:$D, 4, FALSE), 0))</f>
        <v/>
      </c>
      <c r="G1205" s="11" t="str">
        <f t="shared" si="1"/>
        <v/>
      </c>
      <c r="H1205" s="22"/>
      <c r="I1205" s="11"/>
      <c r="J1205" s="17" t="str">
        <f>IF(TRIM(B1205)="","",IF(ISNUMBER(SEARCH(" - ",B1205)),TRIM(RIGHT(B1205,LEN(B1205)-FIND(" - ",B1205)-2)),IFERROR(VLOOKUP(UPPER(TRIM(B1205)), SETUP!$B$4:$C$11, 2, FALSE), UPPER(TRIM(B1205)))))</f>
        <v/>
      </c>
      <c r="K1205" s="23" t="str">
        <f t="shared" si="2"/>
        <v/>
      </c>
      <c r="L1205" s="17" t="str">
        <f t="shared" si="3"/>
        <v/>
      </c>
      <c r="M1205" s="17" t="str">
        <f t="shared" si="4"/>
        <v/>
      </c>
    </row>
    <row r="1206" ht="15.75" customHeight="1">
      <c r="A1206" s="12"/>
      <c r="B1206" s="11"/>
      <c r="C1206" s="11"/>
      <c r="D1206" s="11"/>
      <c r="E1206" s="11" t="str">
        <f>IF(J1206="","", C1206 * IFERROR(VLOOKUP(J1206, SETUP!$A:$D, 3, FALSE), 0))</f>
        <v/>
      </c>
      <c r="F1206" s="11" t="str">
        <f>IF(J1206="","", C1206 * IFERROR(VLOOKUP(J1206, SETUP!$A:$D, 4, FALSE), 0))</f>
        <v/>
      </c>
      <c r="G1206" s="11" t="str">
        <f t="shared" si="1"/>
        <v/>
      </c>
      <c r="H1206" s="22"/>
      <c r="I1206" s="11"/>
      <c r="J1206" s="17" t="str">
        <f>IF(TRIM(B1206)="","",IF(ISNUMBER(SEARCH(" - ",B1206)),TRIM(RIGHT(B1206,LEN(B1206)-FIND(" - ",B1206)-2)),IFERROR(VLOOKUP(UPPER(TRIM(B1206)), SETUP!$B$4:$C$11, 2, FALSE), UPPER(TRIM(B1206)))))</f>
        <v/>
      </c>
      <c r="K1206" s="23" t="str">
        <f t="shared" si="2"/>
        <v/>
      </c>
      <c r="L1206" s="17" t="str">
        <f t="shared" si="3"/>
        <v/>
      </c>
      <c r="M1206" s="17" t="str">
        <f t="shared" si="4"/>
        <v/>
      </c>
    </row>
    <row r="1207" ht="15.75" customHeight="1">
      <c r="A1207" s="12"/>
      <c r="B1207" s="11"/>
      <c r="C1207" s="11"/>
      <c r="D1207" s="11"/>
      <c r="E1207" s="11" t="str">
        <f>IF(J1207="","", C1207 * IFERROR(VLOOKUP(J1207, SETUP!$A:$D, 3, FALSE), 0))</f>
        <v/>
      </c>
      <c r="F1207" s="11" t="str">
        <f>IF(J1207="","", C1207 * IFERROR(VLOOKUP(J1207, SETUP!$A:$D, 4, FALSE), 0))</f>
        <v/>
      </c>
      <c r="G1207" s="11" t="str">
        <f t="shared" si="1"/>
        <v/>
      </c>
      <c r="H1207" s="22"/>
      <c r="I1207" s="11"/>
      <c r="J1207" s="17" t="str">
        <f>IF(TRIM(B1207)="","",IF(ISNUMBER(SEARCH(" - ",B1207)),TRIM(RIGHT(B1207,LEN(B1207)-FIND(" - ",B1207)-2)),IFERROR(VLOOKUP(UPPER(TRIM(B1207)), SETUP!$B$4:$C$11, 2, FALSE), UPPER(TRIM(B1207)))))</f>
        <v/>
      </c>
      <c r="K1207" s="23" t="str">
        <f t="shared" si="2"/>
        <v/>
      </c>
      <c r="L1207" s="17" t="str">
        <f t="shared" si="3"/>
        <v/>
      </c>
      <c r="M1207" s="17" t="str">
        <f t="shared" si="4"/>
        <v/>
      </c>
    </row>
    <row r="1208" ht="15.75" customHeight="1">
      <c r="A1208" s="12"/>
      <c r="B1208" s="11"/>
      <c r="C1208" s="11"/>
      <c r="D1208" s="11"/>
      <c r="E1208" s="11" t="str">
        <f>IF(J1208="","", C1208 * IFERROR(VLOOKUP(J1208, SETUP!$A:$D, 3, FALSE), 0))</f>
        <v/>
      </c>
      <c r="F1208" s="11" t="str">
        <f>IF(J1208="","", C1208 * IFERROR(VLOOKUP(J1208, SETUP!$A:$D, 4, FALSE), 0))</f>
        <v/>
      </c>
      <c r="G1208" s="11" t="str">
        <f t="shared" si="1"/>
        <v/>
      </c>
      <c r="H1208" s="22"/>
      <c r="I1208" s="11"/>
      <c r="J1208" s="17" t="str">
        <f>IF(TRIM(B1208)="","",IF(ISNUMBER(SEARCH(" - ",B1208)),TRIM(RIGHT(B1208,LEN(B1208)-FIND(" - ",B1208)-2)),IFERROR(VLOOKUP(UPPER(TRIM(B1208)), SETUP!$B$4:$C$11, 2, FALSE), UPPER(TRIM(B1208)))))</f>
        <v/>
      </c>
      <c r="K1208" s="23" t="str">
        <f t="shared" si="2"/>
        <v/>
      </c>
      <c r="L1208" s="17" t="str">
        <f t="shared" si="3"/>
        <v/>
      </c>
      <c r="M1208" s="17" t="str">
        <f t="shared" si="4"/>
        <v/>
      </c>
    </row>
    <row r="1209" ht="15.75" customHeight="1">
      <c r="A1209" s="12"/>
      <c r="B1209" s="11"/>
      <c r="C1209" s="11"/>
      <c r="D1209" s="11"/>
      <c r="E1209" s="11" t="str">
        <f>IF(J1209="","", C1209 * IFERROR(VLOOKUP(J1209, SETUP!$A:$D, 3, FALSE), 0))</f>
        <v/>
      </c>
      <c r="F1209" s="11" t="str">
        <f>IF(J1209="","", C1209 * IFERROR(VLOOKUP(J1209, SETUP!$A:$D, 4, FALSE), 0))</f>
        <v/>
      </c>
      <c r="G1209" s="11" t="str">
        <f t="shared" si="1"/>
        <v/>
      </c>
      <c r="H1209" s="22"/>
      <c r="I1209" s="11"/>
      <c r="J1209" s="17" t="str">
        <f>IF(TRIM(B1209)="","",IF(ISNUMBER(SEARCH(" - ",B1209)),TRIM(RIGHT(B1209,LEN(B1209)-FIND(" - ",B1209)-2)),IFERROR(VLOOKUP(UPPER(TRIM(B1209)), SETUP!$B$4:$C$11, 2, FALSE), UPPER(TRIM(B1209)))))</f>
        <v/>
      </c>
      <c r="K1209" s="23" t="str">
        <f t="shared" si="2"/>
        <v/>
      </c>
      <c r="L1209" s="17" t="str">
        <f t="shared" si="3"/>
        <v/>
      </c>
      <c r="M1209" s="17" t="str">
        <f t="shared" si="4"/>
        <v/>
      </c>
    </row>
    <row r="1210" ht="15.75" customHeight="1">
      <c r="A1210" s="12"/>
      <c r="B1210" s="11"/>
      <c r="C1210" s="11"/>
      <c r="D1210" s="11"/>
      <c r="E1210" s="11" t="str">
        <f>IF(J1210="","", C1210 * IFERROR(VLOOKUP(J1210, SETUP!$A:$D, 3, FALSE), 0))</f>
        <v/>
      </c>
      <c r="F1210" s="11" t="str">
        <f>IF(J1210="","", C1210 * IFERROR(VLOOKUP(J1210, SETUP!$A:$D, 4, FALSE), 0))</f>
        <v/>
      </c>
      <c r="G1210" s="11" t="str">
        <f t="shared" si="1"/>
        <v/>
      </c>
      <c r="H1210" s="22"/>
      <c r="I1210" s="11"/>
      <c r="J1210" s="17" t="str">
        <f>IF(TRIM(B1210)="","",IF(ISNUMBER(SEARCH(" - ",B1210)),TRIM(RIGHT(B1210,LEN(B1210)-FIND(" - ",B1210)-2)),IFERROR(VLOOKUP(UPPER(TRIM(B1210)), SETUP!$B$4:$C$11, 2, FALSE), UPPER(TRIM(B1210)))))</f>
        <v/>
      </c>
      <c r="K1210" s="23" t="str">
        <f t="shared" si="2"/>
        <v/>
      </c>
      <c r="L1210" s="17" t="str">
        <f t="shared" si="3"/>
        <v/>
      </c>
      <c r="M1210" s="17" t="str">
        <f t="shared" si="4"/>
        <v/>
      </c>
    </row>
    <row r="1211" ht="15.75" customHeight="1">
      <c r="A1211" s="12"/>
      <c r="B1211" s="11"/>
      <c r="C1211" s="11"/>
      <c r="D1211" s="11"/>
      <c r="E1211" s="11" t="str">
        <f>IF(J1211="","", C1211 * IFERROR(VLOOKUP(J1211, SETUP!$A:$D, 3, FALSE), 0))</f>
        <v/>
      </c>
      <c r="F1211" s="11" t="str">
        <f>IF(J1211="","", C1211 * IFERROR(VLOOKUP(J1211, SETUP!$A:$D, 4, FALSE), 0))</f>
        <v/>
      </c>
      <c r="G1211" s="11" t="str">
        <f t="shared" si="1"/>
        <v/>
      </c>
      <c r="H1211" s="22"/>
      <c r="I1211" s="11"/>
      <c r="J1211" s="17" t="str">
        <f>IF(TRIM(B1211)="","",IF(ISNUMBER(SEARCH(" - ",B1211)),TRIM(RIGHT(B1211,LEN(B1211)-FIND(" - ",B1211)-2)),IFERROR(VLOOKUP(UPPER(TRIM(B1211)), SETUP!$B$4:$C$11, 2, FALSE), UPPER(TRIM(B1211)))))</f>
        <v/>
      </c>
      <c r="K1211" s="23" t="str">
        <f t="shared" si="2"/>
        <v/>
      </c>
      <c r="L1211" s="17" t="str">
        <f t="shared" si="3"/>
        <v/>
      </c>
      <c r="M1211" s="17" t="str">
        <f t="shared" si="4"/>
        <v/>
      </c>
    </row>
    <row r="1212" ht="15.75" customHeight="1">
      <c r="A1212" s="12"/>
      <c r="B1212" s="11"/>
      <c r="C1212" s="11"/>
      <c r="D1212" s="11"/>
      <c r="E1212" s="11" t="str">
        <f>IF(J1212="","", C1212 * IFERROR(VLOOKUP(J1212, SETUP!$A:$D, 3, FALSE), 0))</f>
        <v/>
      </c>
      <c r="F1212" s="11" t="str">
        <f>IF(J1212="","", C1212 * IFERROR(VLOOKUP(J1212, SETUP!$A:$D, 4, FALSE), 0))</f>
        <v/>
      </c>
      <c r="G1212" s="11" t="str">
        <f t="shared" si="1"/>
        <v/>
      </c>
      <c r="H1212" s="22"/>
      <c r="I1212" s="11"/>
      <c r="J1212" s="17" t="str">
        <f>IF(TRIM(B1212)="","",IF(ISNUMBER(SEARCH(" - ",B1212)),TRIM(RIGHT(B1212,LEN(B1212)-FIND(" - ",B1212)-2)),IFERROR(VLOOKUP(UPPER(TRIM(B1212)), SETUP!$B$4:$C$11, 2, FALSE), UPPER(TRIM(B1212)))))</f>
        <v/>
      </c>
      <c r="K1212" s="23" t="str">
        <f t="shared" si="2"/>
        <v/>
      </c>
      <c r="L1212" s="17" t="str">
        <f t="shared" si="3"/>
        <v/>
      </c>
      <c r="M1212" s="17" t="str">
        <f t="shared" si="4"/>
        <v/>
      </c>
    </row>
    <row r="1213" ht="15.75" customHeight="1">
      <c r="A1213" s="12"/>
      <c r="B1213" s="11"/>
      <c r="C1213" s="11"/>
      <c r="D1213" s="11"/>
      <c r="E1213" s="11" t="str">
        <f>IF(J1213="","", C1213 * IFERROR(VLOOKUP(J1213, SETUP!$A:$D, 3, FALSE), 0))</f>
        <v/>
      </c>
      <c r="F1213" s="11" t="str">
        <f>IF(J1213="","", C1213 * IFERROR(VLOOKUP(J1213, SETUP!$A:$D, 4, FALSE), 0))</f>
        <v/>
      </c>
      <c r="G1213" s="11" t="str">
        <f t="shared" si="1"/>
        <v/>
      </c>
      <c r="H1213" s="22"/>
      <c r="I1213" s="11"/>
      <c r="J1213" s="17" t="str">
        <f>IF(TRIM(B1213)="","",IF(ISNUMBER(SEARCH(" - ",B1213)),TRIM(RIGHT(B1213,LEN(B1213)-FIND(" - ",B1213)-2)),IFERROR(VLOOKUP(UPPER(TRIM(B1213)), SETUP!$B$4:$C$11, 2, FALSE), UPPER(TRIM(B1213)))))</f>
        <v/>
      </c>
      <c r="K1213" s="23" t="str">
        <f t="shared" si="2"/>
        <v/>
      </c>
      <c r="L1213" s="17" t="str">
        <f t="shared" si="3"/>
        <v/>
      </c>
      <c r="M1213" s="17" t="str">
        <f t="shared" si="4"/>
        <v/>
      </c>
    </row>
    <row r="1214" ht="15.75" customHeight="1">
      <c r="A1214" s="12"/>
      <c r="B1214" s="11"/>
      <c r="C1214" s="11"/>
      <c r="D1214" s="11"/>
      <c r="E1214" s="11" t="str">
        <f>IF(J1214="","", C1214 * IFERROR(VLOOKUP(J1214, SETUP!$A:$D, 3, FALSE), 0))</f>
        <v/>
      </c>
      <c r="F1214" s="11" t="str">
        <f>IF(J1214="","", C1214 * IFERROR(VLOOKUP(J1214, SETUP!$A:$D, 4, FALSE), 0))</f>
        <v/>
      </c>
      <c r="G1214" s="11" t="str">
        <f t="shared" si="1"/>
        <v/>
      </c>
      <c r="H1214" s="22"/>
      <c r="I1214" s="11"/>
      <c r="J1214" s="17" t="str">
        <f>IF(TRIM(B1214)="","",IF(ISNUMBER(SEARCH(" - ",B1214)),TRIM(RIGHT(B1214,LEN(B1214)-FIND(" - ",B1214)-2)),IFERROR(VLOOKUP(UPPER(TRIM(B1214)), SETUP!$B$4:$C$11, 2, FALSE), UPPER(TRIM(B1214)))))</f>
        <v/>
      </c>
      <c r="K1214" s="23" t="str">
        <f t="shared" si="2"/>
        <v/>
      </c>
      <c r="L1214" s="17" t="str">
        <f t="shared" si="3"/>
        <v/>
      </c>
      <c r="M1214" s="17" t="str">
        <f t="shared" si="4"/>
        <v/>
      </c>
    </row>
    <row r="1215" ht="15.75" customHeight="1">
      <c r="A1215" s="12"/>
      <c r="B1215" s="11"/>
      <c r="C1215" s="11"/>
      <c r="D1215" s="11"/>
      <c r="E1215" s="11" t="str">
        <f>IF(J1215="","", C1215 * IFERROR(VLOOKUP(J1215, SETUP!$A:$D, 3, FALSE), 0))</f>
        <v/>
      </c>
      <c r="F1215" s="11" t="str">
        <f>IF(J1215="","", C1215 * IFERROR(VLOOKUP(J1215, SETUP!$A:$D, 4, FALSE), 0))</f>
        <v/>
      </c>
      <c r="G1215" s="11" t="str">
        <f t="shared" si="1"/>
        <v/>
      </c>
      <c r="H1215" s="22"/>
      <c r="I1215" s="11"/>
      <c r="J1215" s="17" t="str">
        <f>IF(TRIM(B1215)="","",IF(ISNUMBER(SEARCH(" - ",B1215)),TRIM(RIGHT(B1215,LEN(B1215)-FIND(" - ",B1215)-2)),IFERROR(VLOOKUP(UPPER(TRIM(B1215)), SETUP!$B$4:$C$11, 2, FALSE), UPPER(TRIM(B1215)))))</f>
        <v/>
      </c>
      <c r="K1215" s="23" t="str">
        <f t="shared" si="2"/>
        <v/>
      </c>
      <c r="L1215" s="17" t="str">
        <f t="shared" si="3"/>
        <v/>
      </c>
      <c r="M1215" s="17" t="str">
        <f t="shared" si="4"/>
        <v/>
      </c>
    </row>
    <row r="1216" ht="15.75" customHeight="1">
      <c r="A1216" s="12"/>
      <c r="B1216" s="11"/>
      <c r="C1216" s="11"/>
      <c r="D1216" s="11"/>
      <c r="E1216" s="11" t="str">
        <f>IF(J1216="","", C1216 * IFERROR(VLOOKUP(J1216, SETUP!$A:$D, 3, FALSE), 0))</f>
        <v/>
      </c>
      <c r="F1216" s="11" t="str">
        <f>IF(J1216="","", C1216 * IFERROR(VLOOKUP(J1216, SETUP!$A:$D, 4, FALSE), 0))</f>
        <v/>
      </c>
      <c r="G1216" s="11" t="str">
        <f t="shared" si="1"/>
        <v/>
      </c>
      <c r="H1216" s="22"/>
      <c r="I1216" s="11"/>
      <c r="J1216" s="17" t="str">
        <f>IF(TRIM(B1216)="","",IF(ISNUMBER(SEARCH(" - ",B1216)),TRIM(RIGHT(B1216,LEN(B1216)-FIND(" - ",B1216)-2)),IFERROR(VLOOKUP(UPPER(TRIM(B1216)), SETUP!$B$4:$C$11, 2, FALSE), UPPER(TRIM(B1216)))))</f>
        <v/>
      </c>
      <c r="K1216" s="23" t="str">
        <f t="shared" si="2"/>
        <v/>
      </c>
      <c r="L1216" s="17" t="str">
        <f t="shared" si="3"/>
        <v/>
      </c>
      <c r="M1216" s="17" t="str">
        <f t="shared" si="4"/>
        <v/>
      </c>
    </row>
    <row r="1217" ht="15.75" customHeight="1">
      <c r="A1217" s="12"/>
      <c r="B1217" s="11"/>
      <c r="C1217" s="11"/>
      <c r="D1217" s="11"/>
      <c r="E1217" s="11" t="str">
        <f>IF(J1217="","", C1217 * IFERROR(VLOOKUP(J1217, SETUP!$A:$D, 3, FALSE), 0))</f>
        <v/>
      </c>
      <c r="F1217" s="11" t="str">
        <f>IF(J1217="","", C1217 * IFERROR(VLOOKUP(J1217, SETUP!$A:$D, 4, FALSE), 0))</f>
        <v/>
      </c>
      <c r="G1217" s="11" t="str">
        <f t="shared" si="1"/>
        <v/>
      </c>
      <c r="H1217" s="22"/>
      <c r="I1217" s="11"/>
      <c r="J1217" s="17" t="str">
        <f>IF(TRIM(B1217)="","",IF(ISNUMBER(SEARCH(" - ",B1217)),TRIM(RIGHT(B1217,LEN(B1217)-FIND(" - ",B1217)-2)),IFERROR(VLOOKUP(UPPER(TRIM(B1217)), SETUP!$B$4:$C$11, 2, FALSE), UPPER(TRIM(B1217)))))</f>
        <v/>
      </c>
      <c r="K1217" s="23" t="str">
        <f t="shared" si="2"/>
        <v/>
      </c>
      <c r="L1217" s="17" t="str">
        <f t="shared" si="3"/>
        <v/>
      </c>
      <c r="M1217" s="17" t="str">
        <f t="shared" si="4"/>
        <v/>
      </c>
    </row>
    <row r="1218" ht="15.75" customHeight="1">
      <c r="A1218" s="12"/>
      <c r="B1218" s="11"/>
      <c r="C1218" s="11"/>
      <c r="D1218" s="11"/>
      <c r="E1218" s="11" t="str">
        <f>IF(J1218="","", C1218 * IFERROR(VLOOKUP(J1218, SETUP!$A:$D, 3, FALSE), 0))</f>
        <v/>
      </c>
      <c r="F1218" s="11" t="str">
        <f>IF(J1218="","", C1218 * IFERROR(VLOOKUP(J1218, SETUP!$A:$D, 4, FALSE), 0))</f>
        <v/>
      </c>
      <c r="G1218" s="11" t="str">
        <f t="shared" si="1"/>
        <v/>
      </c>
      <c r="H1218" s="22"/>
      <c r="I1218" s="11"/>
      <c r="J1218" s="17" t="str">
        <f>IF(TRIM(B1218)="","",IF(ISNUMBER(SEARCH(" - ",B1218)),TRIM(RIGHT(B1218,LEN(B1218)-FIND(" - ",B1218)-2)),IFERROR(VLOOKUP(UPPER(TRIM(B1218)), SETUP!$B$4:$C$11, 2, FALSE), UPPER(TRIM(B1218)))))</f>
        <v/>
      </c>
      <c r="K1218" s="23" t="str">
        <f t="shared" si="2"/>
        <v/>
      </c>
      <c r="L1218" s="17" t="str">
        <f t="shared" si="3"/>
        <v/>
      </c>
      <c r="M1218" s="17" t="str">
        <f t="shared" si="4"/>
        <v/>
      </c>
    </row>
    <row r="1219" ht="15.75" customHeight="1">
      <c r="A1219" s="12"/>
      <c r="B1219" s="11"/>
      <c r="C1219" s="11"/>
      <c r="D1219" s="11"/>
      <c r="E1219" s="11" t="str">
        <f>IF(J1219="","", C1219 * IFERROR(VLOOKUP(J1219, SETUP!$A:$D, 3, FALSE), 0))</f>
        <v/>
      </c>
      <c r="F1219" s="11" t="str">
        <f>IF(J1219="","", C1219 * IFERROR(VLOOKUP(J1219, SETUP!$A:$D, 4, FALSE), 0))</f>
        <v/>
      </c>
      <c r="G1219" s="11" t="str">
        <f t="shared" si="1"/>
        <v/>
      </c>
      <c r="H1219" s="22"/>
      <c r="I1219" s="11"/>
      <c r="J1219" s="17" t="str">
        <f>IF(TRIM(B1219)="","",IF(ISNUMBER(SEARCH(" - ",B1219)),TRIM(RIGHT(B1219,LEN(B1219)-FIND(" - ",B1219)-2)),IFERROR(VLOOKUP(UPPER(TRIM(B1219)), SETUP!$B$4:$C$11, 2, FALSE), UPPER(TRIM(B1219)))))</f>
        <v/>
      </c>
      <c r="K1219" s="23" t="str">
        <f t="shared" si="2"/>
        <v/>
      </c>
      <c r="L1219" s="17" t="str">
        <f t="shared" si="3"/>
        <v/>
      </c>
      <c r="M1219" s="17" t="str">
        <f t="shared" si="4"/>
        <v/>
      </c>
    </row>
    <row r="1220" ht="15.75" customHeight="1">
      <c r="A1220" s="12"/>
      <c r="B1220" s="11"/>
      <c r="C1220" s="11"/>
      <c r="D1220" s="11"/>
      <c r="E1220" s="11" t="str">
        <f>IF(J1220="","", C1220 * IFERROR(VLOOKUP(J1220, SETUP!$A:$D, 3, FALSE), 0))</f>
        <v/>
      </c>
      <c r="F1220" s="11" t="str">
        <f>IF(J1220="","", C1220 * IFERROR(VLOOKUP(J1220, SETUP!$A:$D, 4, FALSE), 0))</f>
        <v/>
      </c>
      <c r="G1220" s="11" t="str">
        <f t="shared" si="1"/>
        <v/>
      </c>
      <c r="H1220" s="22"/>
      <c r="I1220" s="11"/>
      <c r="J1220" s="17" t="str">
        <f>IF(TRIM(B1220)="","",IF(ISNUMBER(SEARCH(" - ",B1220)),TRIM(RIGHT(B1220,LEN(B1220)-FIND(" - ",B1220)-2)),IFERROR(VLOOKUP(UPPER(TRIM(B1220)), SETUP!$B$4:$C$11, 2, FALSE), UPPER(TRIM(B1220)))))</f>
        <v/>
      </c>
      <c r="K1220" s="23" t="str">
        <f t="shared" si="2"/>
        <v/>
      </c>
      <c r="L1220" s="17" t="str">
        <f t="shared" si="3"/>
        <v/>
      </c>
      <c r="M1220" s="17" t="str">
        <f t="shared" si="4"/>
        <v/>
      </c>
    </row>
    <row r="1221" ht="15.75" customHeight="1">
      <c r="A1221" s="12"/>
      <c r="B1221" s="11"/>
      <c r="C1221" s="11"/>
      <c r="D1221" s="11"/>
      <c r="E1221" s="11" t="str">
        <f>IF(J1221="","", C1221 * IFERROR(VLOOKUP(J1221, SETUP!$A:$D, 3, FALSE), 0))</f>
        <v/>
      </c>
      <c r="F1221" s="11" t="str">
        <f>IF(J1221="","", C1221 * IFERROR(VLOOKUP(J1221, SETUP!$A:$D, 4, FALSE), 0))</f>
        <v/>
      </c>
      <c r="G1221" s="11" t="str">
        <f t="shared" si="1"/>
        <v/>
      </c>
      <c r="H1221" s="22"/>
      <c r="I1221" s="11"/>
      <c r="J1221" s="17" t="str">
        <f>IF(TRIM(B1221)="","",IF(ISNUMBER(SEARCH(" - ",B1221)),TRIM(RIGHT(B1221,LEN(B1221)-FIND(" - ",B1221)-2)),IFERROR(VLOOKUP(UPPER(TRIM(B1221)), SETUP!$B$4:$C$11, 2, FALSE), UPPER(TRIM(B1221)))))</f>
        <v/>
      </c>
      <c r="K1221" s="23" t="str">
        <f t="shared" si="2"/>
        <v/>
      </c>
      <c r="L1221" s="17" t="str">
        <f t="shared" si="3"/>
        <v/>
      </c>
      <c r="M1221" s="17" t="str">
        <f t="shared" si="4"/>
        <v/>
      </c>
    </row>
    <row r="1222" ht="15.75" customHeight="1">
      <c r="A1222" s="12"/>
      <c r="B1222" s="11"/>
      <c r="C1222" s="11"/>
      <c r="D1222" s="11"/>
      <c r="E1222" s="11" t="str">
        <f>IF(J1222="","", C1222 * IFERROR(VLOOKUP(J1222, SETUP!$A:$D, 3, FALSE), 0))</f>
        <v/>
      </c>
      <c r="F1222" s="11" t="str">
        <f>IF(J1222="","", C1222 * IFERROR(VLOOKUP(J1222, SETUP!$A:$D, 4, FALSE), 0))</f>
        <v/>
      </c>
      <c r="G1222" s="11" t="str">
        <f t="shared" si="1"/>
        <v/>
      </c>
      <c r="H1222" s="22"/>
      <c r="I1222" s="11"/>
      <c r="J1222" s="17" t="str">
        <f>IF(TRIM(B1222)="","",IF(ISNUMBER(SEARCH(" - ",B1222)),TRIM(RIGHT(B1222,LEN(B1222)-FIND(" - ",B1222)-2)),IFERROR(VLOOKUP(UPPER(TRIM(B1222)), SETUP!$B$4:$C$11, 2, FALSE), UPPER(TRIM(B1222)))))</f>
        <v/>
      </c>
      <c r="K1222" s="23" t="str">
        <f t="shared" si="2"/>
        <v/>
      </c>
      <c r="L1222" s="17" t="str">
        <f t="shared" si="3"/>
        <v/>
      </c>
      <c r="M1222" s="17" t="str">
        <f t="shared" si="4"/>
        <v/>
      </c>
    </row>
    <row r="1223" ht="15.75" customHeight="1">
      <c r="A1223" s="12"/>
      <c r="B1223" s="11"/>
      <c r="C1223" s="11"/>
      <c r="D1223" s="11"/>
      <c r="E1223" s="11" t="str">
        <f>IF(J1223="","", C1223 * IFERROR(VLOOKUP(J1223, SETUP!$A:$D, 3, FALSE), 0))</f>
        <v/>
      </c>
      <c r="F1223" s="11" t="str">
        <f>IF(J1223="","", C1223 * IFERROR(VLOOKUP(J1223, SETUP!$A:$D, 4, FALSE), 0))</f>
        <v/>
      </c>
      <c r="G1223" s="11" t="str">
        <f t="shared" si="1"/>
        <v/>
      </c>
      <c r="H1223" s="22"/>
      <c r="I1223" s="11"/>
      <c r="J1223" s="17" t="str">
        <f>IF(TRIM(B1223)="","",IF(ISNUMBER(SEARCH(" - ",B1223)),TRIM(RIGHT(B1223,LEN(B1223)-FIND(" - ",B1223)-2)),IFERROR(VLOOKUP(UPPER(TRIM(B1223)), SETUP!$B$4:$C$11, 2, FALSE), UPPER(TRIM(B1223)))))</f>
        <v/>
      </c>
      <c r="K1223" s="23" t="str">
        <f t="shared" si="2"/>
        <v/>
      </c>
      <c r="L1223" s="17" t="str">
        <f t="shared" si="3"/>
        <v/>
      </c>
      <c r="M1223" s="17" t="str">
        <f t="shared" si="4"/>
        <v/>
      </c>
    </row>
    <row r="1224" ht="15.75" customHeight="1">
      <c r="A1224" s="12"/>
      <c r="B1224" s="11"/>
      <c r="C1224" s="11"/>
      <c r="D1224" s="11"/>
      <c r="E1224" s="11" t="str">
        <f>IF(J1224="","", C1224 * IFERROR(VLOOKUP(J1224, SETUP!$A:$D, 3, FALSE), 0))</f>
        <v/>
      </c>
      <c r="F1224" s="11" t="str">
        <f>IF(J1224="","", C1224 * IFERROR(VLOOKUP(J1224, SETUP!$A:$D, 4, FALSE), 0))</f>
        <v/>
      </c>
      <c r="G1224" s="11" t="str">
        <f t="shared" si="1"/>
        <v/>
      </c>
      <c r="H1224" s="22"/>
      <c r="I1224" s="11"/>
      <c r="J1224" s="17" t="str">
        <f>IF(TRIM(B1224)="","",IF(ISNUMBER(SEARCH(" - ",B1224)),TRIM(RIGHT(B1224,LEN(B1224)-FIND(" - ",B1224)-2)),IFERROR(VLOOKUP(UPPER(TRIM(B1224)), SETUP!$B$4:$C$11, 2, FALSE), UPPER(TRIM(B1224)))))</f>
        <v/>
      </c>
      <c r="K1224" s="23" t="str">
        <f t="shared" si="2"/>
        <v/>
      </c>
      <c r="L1224" s="17" t="str">
        <f t="shared" si="3"/>
        <v/>
      </c>
      <c r="M1224" s="17" t="str">
        <f t="shared" si="4"/>
        <v/>
      </c>
    </row>
    <row r="1225" ht="15.75" customHeight="1">
      <c r="A1225" s="12"/>
      <c r="B1225" s="11"/>
      <c r="C1225" s="11"/>
      <c r="D1225" s="11"/>
      <c r="E1225" s="11" t="str">
        <f>IF(J1225="","", C1225 * IFERROR(VLOOKUP(J1225, SETUP!$A:$D, 3, FALSE), 0))</f>
        <v/>
      </c>
      <c r="F1225" s="11" t="str">
        <f>IF(J1225="","", C1225 * IFERROR(VLOOKUP(J1225, SETUP!$A:$D, 4, FALSE), 0))</f>
        <v/>
      </c>
      <c r="G1225" s="11" t="str">
        <f t="shared" si="1"/>
        <v/>
      </c>
      <c r="H1225" s="22"/>
      <c r="I1225" s="11"/>
      <c r="J1225" s="17" t="str">
        <f>IF(TRIM(B1225)="","",IF(ISNUMBER(SEARCH(" - ",B1225)),TRIM(RIGHT(B1225,LEN(B1225)-FIND(" - ",B1225)-2)),IFERROR(VLOOKUP(UPPER(TRIM(B1225)), SETUP!$B$4:$C$11, 2, FALSE), UPPER(TRIM(B1225)))))</f>
        <v/>
      </c>
      <c r="K1225" s="23" t="str">
        <f t="shared" si="2"/>
        <v/>
      </c>
      <c r="L1225" s="17" t="str">
        <f t="shared" si="3"/>
        <v/>
      </c>
      <c r="M1225" s="17" t="str">
        <f t="shared" si="4"/>
        <v/>
      </c>
    </row>
    <row r="1226" ht="15.75" customHeight="1">
      <c r="A1226" s="12"/>
      <c r="B1226" s="11"/>
      <c r="C1226" s="11"/>
      <c r="D1226" s="11"/>
      <c r="E1226" s="11" t="str">
        <f>IF(J1226="","", C1226 * IFERROR(VLOOKUP(J1226, SETUP!$A:$D, 3, FALSE), 0))</f>
        <v/>
      </c>
      <c r="F1226" s="11" t="str">
        <f>IF(J1226="","", C1226 * IFERROR(VLOOKUP(J1226, SETUP!$A:$D, 4, FALSE), 0))</f>
        <v/>
      </c>
      <c r="G1226" s="11" t="str">
        <f t="shared" si="1"/>
        <v/>
      </c>
      <c r="H1226" s="22"/>
      <c r="I1226" s="11"/>
      <c r="J1226" s="17" t="str">
        <f>IF(TRIM(B1226)="","",IF(ISNUMBER(SEARCH(" - ",B1226)),TRIM(RIGHT(B1226,LEN(B1226)-FIND(" - ",B1226)-2)),IFERROR(VLOOKUP(UPPER(TRIM(B1226)), SETUP!$B$4:$C$11, 2, FALSE), UPPER(TRIM(B1226)))))</f>
        <v/>
      </c>
      <c r="K1226" s="23" t="str">
        <f t="shared" si="2"/>
        <v/>
      </c>
      <c r="L1226" s="17" t="str">
        <f t="shared" si="3"/>
        <v/>
      </c>
      <c r="M1226" s="17" t="str">
        <f t="shared" si="4"/>
        <v/>
      </c>
    </row>
    <row r="1227" ht="15.75" customHeight="1">
      <c r="A1227" s="12"/>
      <c r="B1227" s="11"/>
      <c r="C1227" s="11"/>
      <c r="D1227" s="11"/>
      <c r="E1227" s="11" t="str">
        <f>IF(J1227="","", C1227 * IFERROR(VLOOKUP(J1227, SETUP!$A:$D, 3, FALSE), 0))</f>
        <v/>
      </c>
      <c r="F1227" s="11" t="str">
        <f>IF(J1227="","", C1227 * IFERROR(VLOOKUP(J1227, SETUP!$A:$D, 4, FALSE), 0))</f>
        <v/>
      </c>
      <c r="G1227" s="11" t="str">
        <f t="shared" si="1"/>
        <v/>
      </c>
      <c r="H1227" s="22"/>
      <c r="I1227" s="11"/>
      <c r="J1227" s="17" t="str">
        <f>IF(TRIM(B1227)="","",IF(ISNUMBER(SEARCH(" - ",B1227)),TRIM(RIGHT(B1227,LEN(B1227)-FIND(" - ",B1227)-2)),IFERROR(VLOOKUP(UPPER(TRIM(B1227)), SETUP!$B$4:$C$11, 2, FALSE), UPPER(TRIM(B1227)))))</f>
        <v/>
      </c>
      <c r="K1227" s="23" t="str">
        <f t="shared" si="2"/>
        <v/>
      </c>
      <c r="L1227" s="17" t="str">
        <f t="shared" si="3"/>
        <v/>
      </c>
      <c r="M1227" s="17" t="str">
        <f t="shared" si="4"/>
        <v/>
      </c>
    </row>
    <row r="1228" ht="15.75" customHeight="1">
      <c r="A1228" s="12"/>
      <c r="B1228" s="11"/>
      <c r="C1228" s="11"/>
      <c r="D1228" s="11"/>
      <c r="E1228" s="11" t="str">
        <f>IF(J1228="","", C1228 * IFERROR(VLOOKUP(J1228, SETUP!$A:$D, 3, FALSE), 0))</f>
        <v/>
      </c>
      <c r="F1228" s="11" t="str">
        <f>IF(J1228="","", C1228 * IFERROR(VLOOKUP(J1228, SETUP!$A:$D, 4, FALSE), 0))</f>
        <v/>
      </c>
      <c r="G1228" s="11" t="str">
        <f t="shared" si="1"/>
        <v/>
      </c>
      <c r="H1228" s="22"/>
      <c r="I1228" s="11"/>
      <c r="J1228" s="17" t="str">
        <f>IF(TRIM(B1228)="","",IF(ISNUMBER(SEARCH(" - ",B1228)),TRIM(RIGHT(B1228,LEN(B1228)-FIND(" - ",B1228)-2)),IFERROR(VLOOKUP(UPPER(TRIM(B1228)), SETUP!$B$4:$C$11, 2, FALSE), UPPER(TRIM(B1228)))))</f>
        <v/>
      </c>
      <c r="K1228" s="23" t="str">
        <f t="shared" si="2"/>
        <v/>
      </c>
      <c r="L1228" s="17" t="str">
        <f t="shared" si="3"/>
        <v/>
      </c>
      <c r="M1228" s="17" t="str">
        <f t="shared" si="4"/>
        <v/>
      </c>
    </row>
    <row r="1229" ht="15.75" customHeight="1">
      <c r="A1229" s="12"/>
      <c r="B1229" s="11"/>
      <c r="C1229" s="11"/>
      <c r="D1229" s="11"/>
      <c r="E1229" s="11" t="str">
        <f>IF(J1229="","", C1229 * IFERROR(VLOOKUP(J1229, SETUP!$A:$D, 3, FALSE), 0))</f>
        <v/>
      </c>
      <c r="F1229" s="11" t="str">
        <f>IF(J1229="","", C1229 * IFERROR(VLOOKUP(J1229, SETUP!$A:$D, 4, FALSE), 0))</f>
        <v/>
      </c>
      <c r="G1229" s="11" t="str">
        <f t="shared" si="1"/>
        <v/>
      </c>
      <c r="H1229" s="22"/>
      <c r="I1229" s="11"/>
      <c r="J1229" s="17" t="str">
        <f>IF(TRIM(B1229)="","",IF(ISNUMBER(SEARCH(" - ",B1229)),TRIM(RIGHT(B1229,LEN(B1229)-FIND(" - ",B1229)-2)),IFERROR(VLOOKUP(UPPER(TRIM(B1229)), SETUP!$B$4:$C$11, 2, FALSE), UPPER(TRIM(B1229)))))</f>
        <v/>
      </c>
      <c r="K1229" s="23" t="str">
        <f t="shared" si="2"/>
        <v/>
      </c>
      <c r="L1229" s="17" t="str">
        <f t="shared" si="3"/>
        <v/>
      </c>
      <c r="M1229" s="17" t="str">
        <f t="shared" si="4"/>
        <v/>
      </c>
    </row>
    <row r="1230" ht="15.75" customHeight="1">
      <c r="A1230" s="12"/>
      <c r="B1230" s="11"/>
      <c r="C1230" s="11"/>
      <c r="D1230" s="11"/>
      <c r="E1230" s="11" t="str">
        <f>IF(J1230="","", C1230 * IFERROR(VLOOKUP(J1230, SETUP!$A:$D, 3, FALSE), 0))</f>
        <v/>
      </c>
      <c r="F1230" s="11" t="str">
        <f>IF(J1230="","", C1230 * IFERROR(VLOOKUP(J1230, SETUP!$A:$D, 4, FALSE), 0))</f>
        <v/>
      </c>
      <c r="G1230" s="11" t="str">
        <f t="shared" si="1"/>
        <v/>
      </c>
      <c r="H1230" s="22"/>
      <c r="I1230" s="11"/>
      <c r="J1230" s="17" t="str">
        <f>IF(TRIM(B1230)="","",IF(ISNUMBER(SEARCH(" - ",B1230)),TRIM(RIGHT(B1230,LEN(B1230)-FIND(" - ",B1230)-2)),IFERROR(VLOOKUP(UPPER(TRIM(B1230)), SETUP!$B$4:$C$11, 2, FALSE), UPPER(TRIM(B1230)))))</f>
        <v/>
      </c>
      <c r="K1230" s="23" t="str">
        <f t="shared" si="2"/>
        <v/>
      </c>
      <c r="L1230" s="17" t="str">
        <f t="shared" si="3"/>
        <v/>
      </c>
      <c r="M1230" s="17" t="str">
        <f t="shared" si="4"/>
        <v/>
      </c>
    </row>
    <row r="1231" ht="15.75" customHeight="1">
      <c r="A1231" s="12"/>
      <c r="B1231" s="11"/>
      <c r="C1231" s="11"/>
      <c r="D1231" s="11"/>
      <c r="E1231" s="11" t="str">
        <f>IF(J1231="","", C1231 * IFERROR(VLOOKUP(J1231, SETUP!$A:$D, 3, FALSE), 0))</f>
        <v/>
      </c>
      <c r="F1231" s="11" t="str">
        <f>IF(J1231="","", C1231 * IFERROR(VLOOKUP(J1231, SETUP!$A:$D, 4, FALSE), 0))</f>
        <v/>
      </c>
      <c r="G1231" s="11" t="str">
        <f t="shared" si="1"/>
        <v/>
      </c>
      <c r="H1231" s="22"/>
      <c r="I1231" s="11"/>
      <c r="J1231" s="17" t="str">
        <f>IF(TRIM(B1231)="","",IF(ISNUMBER(SEARCH(" - ",B1231)),TRIM(RIGHT(B1231,LEN(B1231)-FIND(" - ",B1231)-2)),IFERROR(VLOOKUP(UPPER(TRIM(B1231)), SETUP!$B$4:$C$11, 2, FALSE), UPPER(TRIM(B1231)))))</f>
        <v/>
      </c>
      <c r="K1231" s="23" t="str">
        <f t="shared" si="2"/>
        <v/>
      </c>
      <c r="L1231" s="17" t="str">
        <f t="shared" si="3"/>
        <v/>
      </c>
      <c r="M1231" s="17" t="str">
        <f t="shared" si="4"/>
        <v/>
      </c>
    </row>
    <row r="1232" ht="15.75" customHeight="1">
      <c r="A1232" s="12"/>
      <c r="B1232" s="11"/>
      <c r="C1232" s="11"/>
      <c r="D1232" s="11"/>
      <c r="E1232" s="11" t="str">
        <f>IF(J1232="","", C1232 * IFERROR(VLOOKUP(J1232, SETUP!$A:$D, 3, FALSE), 0))</f>
        <v/>
      </c>
      <c r="F1232" s="11" t="str">
        <f>IF(J1232="","", C1232 * IFERROR(VLOOKUP(J1232, SETUP!$A:$D, 4, FALSE), 0))</f>
        <v/>
      </c>
      <c r="G1232" s="11" t="str">
        <f t="shared" si="1"/>
        <v/>
      </c>
      <c r="H1232" s="22"/>
      <c r="I1232" s="11"/>
      <c r="J1232" s="17" t="str">
        <f>IF(TRIM(B1232)="","",IF(ISNUMBER(SEARCH(" - ",B1232)),TRIM(RIGHT(B1232,LEN(B1232)-FIND(" - ",B1232)-2)),IFERROR(VLOOKUP(UPPER(TRIM(B1232)), SETUP!$B$4:$C$11, 2, FALSE), UPPER(TRIM(B1232)))))</f>
        <v/>
      </c>
      <c r="K1232" s="23" t="str">
        <f t="shared" si="2"/>
        <v/>
      </c>
      <c r="L1232" s="17" t="str">
        <f t="shared" si="3"/>
        <v/>
      </c>
      <c r="M1232" s="17" t="str">
        <f t="shared" si="4"/>
        <v/>
      </c>
    </row>
    <row r="1233" ht="15.75" customHeight="1">
      <c r="A1233" s="12"/>
      <c r="B1233" s="11"/>
      <c r="C1233" s="11"/>
      <c r="D1233" s="11"/>
      <c r="E1233" s="11" t="str">
        <f>IF(J1233="","", C1233 * IFERROR(VLOOKUP(J1233, SETUP!$A:$D, 3, FALSE), 0))</f>
        <v/>
      </c>
      <c r="F1233" s="11" t="str">
        <f>IF(J1233="","", C1233 * IFERROR(VLOOKUP(J1233, SETUP!$A:$D, 4, FALSE), 0))</f>
        <v/>
      </c>
      <c r="G1233" s="11" t="str">
        <f t="shared" si="1"/>
        <v/>
      </c>
      <c r="H1233" s="22"/>
      <c r="I1233" s="11"/>
      <c r="J1233" s="17" t="str">
        <f>IF(TRIM(B1233)="","",IF(ISNUMBER(SEARCH(" - ",B1233)),TRIM(RIGHT(B1233,LEN(B1233)-FIND(" - ",B1233)-2)),IFERROR(VLOOKUP(UPPER(TRIM(B1233)), SETUP!$B$4:$C$11, 2, FALSE), UPPER(TRIM(B1233)))))</f>
        <v/>
      </c>
      <c r="K1233" s="23" t="str">
        <f t="shared" si="2"/>
        <v/>
      </c>
      <c r="L1233" s="17" t="str">
        <f t="shared" si="3"/>
        <v/>
      </c>
      <c r="M1233" s="17" t="str">
        <f t="shared" si="4"/>
        <v/>
      </c>
    </row>
    <row r="1234" ht="15.75" customHeight="1">
      <c r="A1234" s="12"/>
      <c r="B1234" s="11"/>
      <c r="C1234" s="11"/>
      <c r="D1234" s="11"/>
      <c r="E1234" s="11" t="str">
        <f>IF(J1234="","", C1234 * IFERROR(VLOOKUP(J1234, SETUP!$A:$D, 3, FALSE), 0))</f>
        <v/>
      </c>
      <c r="F1234" s="11" t="str">
        <f>IF(J1234="","", C1234 * IFERROR(VLOOKUP(J1234, SETUP!$A:$D, 4, FALSE), 0))</f>
        <v/>
      </c>
      <c r="G1234" s="11" t="str">
        <f t="shared" si="1"/>
        <v/>
      </c>
      <c r="H1234" s="22"/>
      <c r="I1234" s="11"/>
      <c r="J1234" s="17" t="str">
        <f>IF(TRIM(B1234)="","",IF(ISNUMBER(SEARCH(" - ",B1234)),TRIM(RIGHT(B1234,LEN(B1234)-FIND(" - ",B1234)-2)),IFERROR(VLOOKUP(UPPER(TRIM(B1234)), SETUP!$B$4:$C$11, 2, FALSE), UPPER(TRIM(B1234)))))</f>
        <v/>
      </c>
      <c r="K1234" s="23" t="str">
        <f t="shared" si="2"/>
        <v/>
      </c>
      <c r="L1234" s="17" t="str">
        <f t="shared" si="3"/>
        <v/>
      </c>
      <c r="M1234" s="17" t="str">
        <f t="shared" si="4"/>
        <v/>
      </c>
    </row>
    <row r="1235" ht="15.75" customHeight="1">
      <c r="A1235" s="12"/>
      <c r="B1235" s="11"/>
      <c r="C1235" s="11"/>
      <c r="D1235" s="11"/>
      <c r="E1235" s="11" t="str">
        <f>IF(J1235="","", C1235 * IFERROR(VLOOKUP(J1235, SETUP!$A:$D, 3, FALSE), 0))</f>
        <v/>
      </c>
      <c r="F1235" s="11" t="str">
        <f>IF(J1235="","", C1235 * IFERROR(VLOOKUP(J1235, SETUP!$A:$D, 4, FALSE), 0))</f>
        <v/>
      </c>
      <c r="G1235" s="11" t="str">
        <f t="shared" si="1"/>
        <v/>
      </c>
      <c r="H1235" s="22"/>
      <c r="I1235" s="11"/>
      <c r="J1235" s="17" t="str">
        <f>IF(TRIM(B1235)="","",IF(ISNUMBER(SEARCH(" - ",B1235)),TRIM(RIGHT(B1235,LEN(B1235)-FIND(" - ",B1235)-2)),IFERROR(VLOOKUP(UPPER(TRIM(B1235)), SETUP!$B$4:$C$11, 2, FALSE), UPPER(TRIM(B1235)))))</f>
        <v/>
      </c>
      <c r="K1235" s="23" t="str">
        <f t="shared" si="2"/>
        <v/>
      </c>
      <c r="L1235" s="17" t="str">
        <f t="shared" si="3"/>
        <v/>
      </c>
      <c r="M1235" s="17" t="str">
        <f t="shared" si="4"/>
        <v/>
      </c>
    </row>
    <row r="1236" ht="15.75" customHeight="1">
      <c r="A1236" s="12"/>
      <c r="B1236" s="11"/>
      <c r="C1236" s="11"/>
      <c r="D1236" s="11"/>
      <c r="E1236" s="11" t="str">
        <f>IF(J1236="","", C1236 * IFERROR(VLOOKUP(J1236, SETUP!$A:$D, 3, FALSE), 0))</f>
        <v/>
      </c>
      <c r="F1236" s="11" t="str">
        <f>IF(J1236="","", C1236 * IFERROR(VLOOKUP(J1236, SETUP!$A:$D, 4, FALSE), 0))</f>
        <v/>
      </c>
      <c r="G1236" s="11" t="str">
        <f t="shared" si="1"/>
        <v/>
      </c>
      <c r="H1236" s="22"/>
      <c r="I1236" s="11"/>
      <c r="J1236" s="17" t="str">
        <f>IF(TRIM(B1236)="","",IF(ISNUMBER(SEARCH(" - ",B1236)),TRIM(RIGHT(B1236,LEN(B1236)-FIND(" - ",B1236)-2)),IFERROR(VLOOKUP(UPPER(TRIM(B1236)), SETUP!$B$4:$C$11, 2, FALSE), UPPER(TRIM(B1236)))))</f>
        <v/>
      </c>
      <c r="K1236" s="23" t="str">
        <f t="shared" si="2"/>
        <v/>
      </c>
      <c r="L1236" s="17" t="str">
        <f t="shared" si="3"/>
        <v/>
      </c>
      <c r="M1236" s="17" t="str">
        <f t="shared" si="4"/>
        <v/>
      </c>
    </row>
    <row r="1237" ht="15.75" customHeight="1">
      <c r="A1237" s="12"/>
      <c r="B1237" s="11"/>
      <c r="C1237" s="11"/>
      <c r="D1237" s="11"/>
      <c r="E1237" s="11" t="str">
        <f>IF(J1237="","", C1237 * IFERROR(VLOOKUP(J1237, SETUP!$A:$D, 3, FALSE), 0))</f>
        <v/>
      </c>
      <c r="F1237" s="11" t="str">
        <f>IF(J1237="","", C1237 * IFERROR(VLOOKUP(J1237, SETUP!$A:$D, 4, FALSE), 0))</f>
        <v/>
      </c>
      <c r="G1237" s="11" t="str">
        <f t="shared" si="1"/>
        <v/>
      </c>
      <c r="H1237" s="22"/>
      <c r="I1237" s="11"/>
      <c r="J1237" s="17" t="str">
        <f>IF(TRIM(B1237)="","",IF(ISNUMBER(SEARCH(" - ",B1237)),TRIM(RIGHT(B1237,LEN(B1237)-FIND(" - ",B1237)-2)),IFERROR(VLOOKUP(UPPER(TRIM(B1237)), SETUP!$B$4:$C$11, 2, FALSE), UPPER(TRIM(B1237)))))</f>
        <v/>
      </c>
      <c r="K1237" s="23" t="str">
        <f t="shared" si="2"/>
        <v/>
      </c>
      <c r="L1237" s="17" t="str">
        <f t="shared" si="3"/>
        <v/>
      </c>
      <c r="M1237" s="17" t="str">
        <f t="shared" si="4"/>
        <v/>
      </c>
    </row>
    <row r="1238" ht="15.75" customHeight="1">
      <c r="A1238" s="12"/>
      <c r="B1238" s="11"/>
      <c r="C1238" s="11"/>
      <c r="D1238" s="11"/>
      <c r="E1238" s="11" t="str">
        <f>IF(J1238="","", C1238 * IFERROR(VLOOKUP(J1238, SETUP!$A:$D, 3, FALSE), 0))</f>
        <v/>
      </c>
      <c r="F1238" s="11" t="str">
        <f>IF(J1238="","", C1238 * IFERROR(VLOOKUP(J1238, SETUP!$A:$D, 4, FALSE), 0))</f>
        <v/>
      </c>
      <c r="G1238" s="11" t="str">
        <f t="shared" si="1"/>
        <v/>
      </c>
      <c r="H1238" s="22"/>
      <c r="I1238" s="11"/>
      <c r="J1238" s="17" t="str">
        <f>IF(TRIM(B1238)="","",IF(ISNUMBER(SEARCH(" - ",B1238)),TRIM(RIGHT(B1238,LEN(B1238)-FIND(" - ",B1238)-2)),IFERROR(VLOOKUP(UPPER(TRIM(B1238)), SETUP!$B$4:$C$11, 2, FALSE), UPPER(TRIM(B1238)))))</f>
        <v/>
      </c>
      <c r="K1238" s="23" t="str">
        <f t="shared" si="2"/>
        <v/>
      </c>
      <c r="L1238" s="17" t="str">
        <f t="shared" si="3"/>
        <v/>
      </c>
      <c r="M1238" s="17" t="str">
        <f t="shared" si="4"/>
        <v/>
      </c>
    </row>
    <row r="1239" ht="15.75" customHeight="1">
      <c r="A1239" s="12"/>
      <c r="B1239" s="11"/>
      <c r="C1239" s="11"/>
      <c r="D1239" s="11"/>
      <c r="E1239" s="11" t="str">
        <f>IF(J1239="","", C1239 * IFERROR(VLOOKUP(J1239, SETUP!$A:$D, 3, FALSE), 0))</f>
        <v/>
      </c>
      <c r="F1239" s="11" t="str">
        <f>IF(J1239="","", C1239 * IFERROR(VLOOKUP(J1239, SETUP!$A:$D, 4, FALSE), 0))</f>
        <v/>
      </c>
      <c r="G1239" s="11" t="str">
        <f t="shared" si="1"/>
        <v/>
      </c>
      <c r="H1239" s="22"/>
      <c r="I1239" s="11"/>
      <c r="J1239" s="17" t="str">
        <f>IF(TRIM(B1239)="","",IF(ISNUMBER(SEARCH(" - ",B1239)),TRIM(RIGHT(B1239,LEN(B1239)-FIND(" - ",B1239)-2)),IFERROR(VLOOKUP(UPPER(TRIM(B1239)), SETUP!$B$4:$C$11, 2, FALSE), UPPER(TRIM(B1239)))))</f>
        <v/>
      </c>
      <c r="K1239" s="23" t="str">
        <f t="shared" si="2"/>
        <v/>
      </c>
      <c r="L1239" s="17" t="str">
        <f t="shared" si="3"/>
        <v/>
      </c>
      <c r="M1239" s="17" t="str">
        <f t="shared" si="4"/>
        <v/>
      </c>
    </row>
    <row r="1240" ht="15.75" customHeight="1">
      <c r="A1240" s="12"/>
      <c r="B1240" s="11"/>
      <c r="C1240" s="11"/>
      <c r="D1240" s="11"/>
      <c r="E1240" s="11" t="str">
        <f>IF(J1240="","", C1240 * IFERROR(VLOOKUP(J1240, SETUP!$A:$D, 3, FALSE), 0))</f>
        <v/>
      </c>
      <c r="F1240" s="11" t="str">
        <f>IF(J1240="","", C1240 * IFERROR(VLOOKUP(J1240, SETUP!$A:$D, 4, FALSE), 0))</f>
        <v/>
      </c>
      <c r="G1240" s="11" t="str">
        <f t="shared" si="1"/>
        <v/>
      </c>
      <c r="H1240" s="22"/>
      <c r="I1240" s="11"/>
      <c r="J1240" s="17" t="str">
        <f>IF(TRIM(B1240)="","",IF(ISNUMBER(SEARCH(" - ",B1240)),TRIM(RIGHT(B1240,LEN(B1240)-FIND(" - ",B1240)-2)),IFERROR(VLOOKUP(UPPER(TRIM(B1240)), SETUP!$B$4:$C$11, 2, FALSE), UPPER(TRIM(B1240)))))</f>
        <v/>
      </c>
      <c r="K1240" s="23" t="str">
        <f t="shared" si="2"/>
        <v/>
      </c>
      <c r="L1240" s="17" t="str">
        <f t="shared" si="3"/>
        <v/>
      </c>
      <c r="M1240" s="17" t="str">
        <f t="shared" si="4"/>
        <v/>
      </c>
    </row>
    <row r="1241" ht="15.75" customHeight="1">
      <c r="A1241" s="12"/>
      <c r="B1241" s="11"/>
      <c r="C1241" s="11"/>
      <c r="D1241" s="11"/>
      <c r="E1241" s="11" t="str">
        <f>IF(J1241="","", C1241 * IFERROR(VLOOKUP(J1241, SETUP!$A:$D, 3, FALSE), 0))</f>
        <v/>
      </c>
      <c r="F1241" s="11" t="str">
        <f>IF(J1241="","", C1241 * IFERROR(VLOOKUP(J1241, SETUP!$A:$D, 4, FALSE), 0))</f>
        <v/>
      </c>
      <c r="G1241" s="11" t="str">
        <f t="shared" si="1"/>
        <v/>
      </c>
      <c r="H1241" s="22"/>
      <c r="I1241" s="11"/>
      <c r="J1241" s="17" t="str">
        <f>IF(TRIM(B1241)="","",IF(ISNUMBER(SEARCH(" - ",B1241)),TRIM(RIGHT(B1241,LEN(B1241)-FIND(" - ",B1241)-2)),IFERROR(VLOOKUP(UPPER(TRIM(B1241)), SETUP!$B$4:$C$11, 2, FALSE), UPPER(TRIM(B1241)))))</f>
        <v/>
      </c>
      <c r="K1241" s="23" t="str">
        <f t="shared" si="2"/>
        <v/>
      </c>
      <c r="L1241" s="17" t="str">
        <f t="shared" si="3"/>
        <v/>
      </c>
      <c r="M1241" s="17" t="str">
        <f t="shared" si="4"/>
        <v/>
      </c>
    </row>
    <row r="1242" ht="15.75" customHeight="1">
      <c r="A1242" s="12"/>
      <c r="B1242" s="11"/>
      <c r="C1242" s="11"/>
      <c r="D1242" s="11"/>
      <c r="E1242" s="11" t="str">
        <f>IF(J1242="","", C1242 * IFERROR(VLOOKUP(J1242, SETUP!$A:$D, 3, FALSE), 0))</f>
        <v/>
      </c>
      <c r="F1242" s="11" t="str">
        <f>IF(J1242="","", C1242 * IFERROR(VLOOKUP(J1242, SETUP!$A:$D, 4, FALSE), 0))</f>
        <v/>
      </c>
      <c r="G1242" s="11" t="str">
        <f t="shared" si="1"/>
        <v/>
      </c>
      <c r="H1242" s="22"/>
      <c r="I1242" s="11"/>
      <c r="J1242" s="17" t="str">
        <f>IF(TRIM(B1242)="","",IF(ISNUMBER(SEARCH(" - ",B1242)),TRIM(RIGHT(B1242,LEN(B1242)-FIND(" - ",B1242)-2)),IFERROR(VLOOKUP(UPPER(TRIM(B1242)), SETUP!$B$4:$C$11, 2, FALSE), UPPER(TRIM(B1242)))))</f>
        <v/>
      </c>
      <c r="K1242" s="23" t="str">
        <f t="shared" si="2"/>
        <v/>
      </c>
      <c r="L1242" s="17" t="str">
        <f t="shared" si="3"/>
        <v/>
      </c>
      <c r="M1242" s="17" t="str">
        <f t="shared" si="4"/>
        <v/>
      </c>
    </row>
    <row r="1243" ht="15.75" customHeight="1">
      <c r="A1243" s="12"/>
      <c r="B1243" s="11"/>
      <c r="C1243" s="11"/>
      <c r="D1243" s="11"/>
      <c r="E1243" s="11" t="str">
        <f>IF(J1243="","", C1243 * IFERROR(VLOOKUP(J1243, SETUP!$A:$D, 3, FALSE), 0))</f>
        <v/>
      </c>
      <c r="F1243" s="11" t="str">
        <f>IF(J1243="","", C1243 * IFERROR(VLOOKUP(J1243, SETUP!$A:$D, 4, FALSE), 0))</f>
        <v/>
      </c>
      <c r="G1243" s="11" t="str">
        <f t="shared" si="1"/>
        <v/>
      </c>
      <c r="H1243" s="22"/>
      <c r="I1243" s="11"/>
      <c r="J1243" s="17" t="str">
        <f>IF(TRIM(B1243)="","",IF(ISNUMBER(SEARCH(" - ",B1243)),TRIM(RIGHT(B1243,LEN(B1243)-FIND(" - ",B1243)-2)),IFERROR(VLOOKUP(UPPER(TRIM(B1243)), SETUP!$B$4:$C$11, 2, FALSE), UPPER(TRIM(B1243)))))</f>
        <v/>
      </c>
      <c r="K1243" s="23" t="str">
        <f t="shared" si="2"/>
        <v/>
      </c>
      <c r="L1243" s="17" t="str">
        <f t="shared" si="3"/>
        <v/>
      </c>
      <c r="M1243" s="17" t="str">
        <f t="shared" si="4"/>
        <v/>
      </c>
    </row>
    <row r="1244" ht="15.75" customHeight="1">
      <c r="A1244" s="12"/>
      <c r="B1244" s="11"/>
      <c r="C1244" s="11"/>
      <c r="D1244" s="11"/>
      <c r="E1244" s="11" t="str">
        <f>IF(J1244="","", C1244 * IFERROR(VLOOKUP(J1244, SETUP!$A:$D, 3, FALSE), 0))</f>
        <v/>
      </c>
      <c r="F1244" s="11" t="str">
        <f>IF(J1244="","", C1244 * IFERROR(VLOOKUP(J1244, SETUP!$A:$D, 4, FALSE), 0))</f>
        <v/>
      </c>
      <c r="G1244" s="11" t="str">
        <f t="shared" si="1"/>
        <v/>
      </c>
      <c r="H1244" s="22"/>
      <c r="I1244" s="11"/>
      <c r="J1244" s="17" t="str">
        <f>IF(TRIM(B1244)="","",IF(ISNUMBER(SEARCH(" - ",B1244)),TRIM(RIGHT(B1244,LEN(B1244)-FIND(" - ",B1244)-2)),IFERROR(VLOOKUP(UPPER(TRIM(B1244)), SETUP!$B$4:$C$11, 2, FALSE), UPPER(TRIM(B1244)))))</f>
        <v/>
      </c>
      <c r="K1244" s="23" t="str">
        <f t="shared" si="2"/>
        <v/>
      </c>
      <c r="L1244" s="17" t="str">
        <f t="shared" si="3"/>
        <v/>
      </c>
      <c r="M1244" s="17" t="str">
        <f t="shared" si="4"/>
        <v/>
      </c>
    </row>
    <row r="1245" ht="15.75" customHeight="1">
      <c r="A1245" s="12"/>
      <c r="B1245" s="11"/>
      <c r="C1245" s="11"/>
      <c r="D1245" s="11"/>
      <c r="E1245" s="11" t="str">
        <f>IF(J1245="","", C1245 * IFERROR(VLOOKUP(J1245, SETUP!$A:$D, 3, FALSE), 0))</f>
        <v/>
      </c>
      <c r="F1245" s="11" t="str">
        <f>IF(J1245="","", C1245 * IFERROR(VLOOKUP(J1245, SETUP!$A:$D, 4, FALSE), 0))</f>
        <v/>
      </c>
      <c r="G1245" s="11" t="str">
        <f t="shared" si="1"/>
        <v/>
      </c>
      <c r="H1245" s="22"/>
      <c r="I1245" s="11"/>
      <c r="J1245" s="17" t="str">
        <f>IF(TRIM(B1245)="","",IF(ISNUMBER(SEARCH(" - ",B1245)),TRIM(RIGHT(B1245,LEN(B1245)-FIND(" - ",B1245)-2)),IFERROR(VLOOKUP(UPPER(TRIM(B1245)), SETUP!$B$4:$C$11, 2, FALSE), UPPER(TRIM(B1245)))))</f>
        <v/>
      </c>
      <c r="K1245" s="23" t="str">
        <f t="shared" si="2"/>
        <v/>
      </c>
      <c r="L1245" s="17" t="str">
        <f t="shared" si="3"/>
        <v/>
      </c>
      <c r="M1245" s="17" t="str">
        <f t="shared" si="4"/>
        <v/>
      </c>
    </row>
    <row r="1246" ht="15.75" customHeight="1">
      <c r="A1246" s="12"/>
      <c r="B1246" s="11"/>
      <c r="C1246" s="11"/>
      <c r="D1246" s="11"/>
      <c r="E1246" s="11" t="str">
        <f>IF(J1246="","", C1246 * IFERROR(VLOOKUP(J1246, SETUP!$A:$D, 3, FALSE), 0))</f>
        <v/>
      </c>
      <c r="F1246" s="11" t="str">
        <f>IF(J1246="","", C1246 * IFERROR(VLOOKUP(J1246, SETUP!$A:$D, 4, FALSE), 0))</f>
        <v/>
      </c>
      <c r="G1246" s="11" t="str">
        <f t="shared" si="1"/>
        <v/>
      </c>
      <c r="H1246" s="22"/>
      <c r="I1246" s="11"/>
      <c r="J1246" s="17" t="str">
        <f>IF(TRIM(B1246)="","",IF(ISNUMBER(SEARCH(" - ",B1246)),TRIM(RIGHT(B1246,LEN(B1246)-FIND(" - ",B1246)-2)),IFERROR(VLOOKUP(UPPER(TRIM(B1246)), SETUP!$B$4:$C$11, 2, FALSE), UPPER(TRIM(B1246)))))</f>
        <v/>
      </c>
      <c r="K1246" s="23" t="str">
        <f t="shared" si="2"/>
        <v/>
      </c>
      <c r="L1246" s="17" t="str">
        <f t="shared" si="3"/>
        <v/>
      </c>
      <c r="M1246" s="17" t="str">
        <f t="shared" si="4"/>
        <v/>
      </c>
    </row>
    <row r="1247" ht="15.75" customHeight="1">
      <c r="A1247" s="12"/>
      <c r="B1247" s="11"/>
      <c r="C1247" s="11"/>
      <c r="D1247" s="11"/>
      <c r="E1247" s="11" t="str">
        <f>IF(J1247="","", C1247 * IFERROR(VLOOKUP(J1247, SETUP!$A:$D, 3, FALSE), 0))</f>
        <v/>
      </c>
      <c r="F1247" s="11" t="str">
        <f>IF(J1247="","", C1247 * IFERROR(VLOOKUP(J1247, SETUP!$A:$D, 4, FALSE), 0))</f>
        <v/>
      </c>
      <c r="G1247" s="11" t="str">
        <f t="shared" si="1"/>
        <v/>
      </c>
      <c r="H1247" s="22"/>
      <c r="I1247" s="11"/>
      <c r="J1247" s="17" t="str">
        <f>IF(TRIM(B1247)="","",IF(ISNUMBER(SEARCH(" - ",B1247)),TRIM(RIGHT(B1247,LEN(B1247)-FIND(" - ",B1247)-2)),IFERROR(VLOOKUP(UPPER(TRIM(B1247)), SETUP!$B$4:$C$11, 2, FALSE), UPPER(TRIM(B1247)))))</f>
        <v/>
      </c>
      <c r="K1247" s="23" t="str">
        <f t="shared" si="2"/>
        <v/>
      </c>
      <c r="L1247" s="17" t="str">
        <f t="shared" si="3"/>
        <v/>
      </c>
      <c r="M1247" s="17" t="str">
        <f t="shared" si="4"/>
        <v/>
      </c>
    </row>
    <row r="1248" ht="15.75" customHeight="1">
      <c r="A1248" s="12"/>
      <c r="B1248" s="11"/>
      <c r="C1248" s="11"/>
      <c r="D1248" s="11"/>
      <c r="E1248" s="11" t="str">
        <f>IF(J1248="","", C1248 * IFERROR(VLOOKUP(J1248, SETUP!$A:$D, 3, FALSE), 0))</f>
        <v/>
      </c>
      <c r="F1248" s="11" t="str">
        <f>IF(J1248="","", C1248 * IFERROR(VLOOKUP(J1248, SETUP!$A:$D, 4, FALSE), 0))</f>
        <v/>
      </c>
      <c r="G1248" s="11" t="str">
        <f t="shared" si="1"/>
        <v/>
      </c>
      <c r="H1248" s="22"/>
      <c r="I1248" s="11"/>
      <c r="J1248" s="17" t="str">
        <f>IF(TRIM(B1248)="","",IF(ISNUMBER(SEARCH(" - ",B1248)),TRIM(RIGHT(B1248,LEN(B1248)-FIND(" - ",B1248)-2)),IFERROR(VLOOKUP(UPPER(TRIM(B1248)), SETUP!$B$4:$C$11, 2, FALSE), UPPER(TRIM(B1248)))))</f>
        <v/>
      </c>
      <c r="K1248" s="23" t="str">
        <f t="shared" si="2"/>
        <v/>
      </c>
      <c r="L1248" s="17" t="str">
        <f t="shared" si="3"/>
        <v/>
      </c>
      <c r="M1248" s="17" t="str">
        <f t="shared" si="4"/>
        <v/>
      </c>
    </row>
    <row r="1249" ht="15.75" customHeight="1">
      <c r="A1249" s="12"/>
      <c r="B1249" s="11"/>
      <c r="C1249" s="11"/>
      <c r="D1249" s="11"/>
      <c r="E1249" s="11" t="str">
        <f>IF(J1249="","", C1249 * IFERROR(VLOOKUP(J1249, SETUP!$A:$D, 3, FALSE), 0))</f>
        <v/>
      </c>
      <c r="F1249" s="11" t="str">
        <f>IF(J1249="","", C1249 * IFERROR(VLOOKUP(J1249, SETUP!$A:$D, 4, FALSE), 0))</f>
        <v/>
      </c>
      <c r="G1249" s="11" t="str">
        <f t="shared" si="1"/>
        <v/>
      </c>
      <c r="H1249" s="22"/>
      <c r="I1249" s="11"/>
      <c r="J1249" s="17" t="str">
        <f>IF(TRIM(B1249)="","",IF(ISNUMBER(SEARCH(" - ",B1249)),TRIM(RIGHT(B1249,LEN(B1249)-FIND(" - ",B1249)-2)),IFERROR(VLOOKUP(UPPER(TRIM(B1249)), SETUP!$B$4:$C$11, 2, FALSE), UPPER(TRIM(B1249)))))</f>
        <v/>
      </c>
      <c r="K1249" s="23" t="str">
        <f t="shared" si="2"/>
        <v/>
      </c>
      <c r="L1249" s="17" t="str">
        <f t="shared" si="3"/>
        <v/>
      </c>
      <c r="M1249" s="17" t="str">
        <f t="shared" si="4"/>
        <v/>
      </c>
    </row>
    <row r="1250" ht="15.75" customHeight="1">
      <c r="A1250" s="12"/>
      <c r="B1250" s="11"/>
      <c r="C1250" s="11"/>
      <c r="D1250" s="11"/>
      <c r="E1250" s="11" t="str">
        <f>IF(J1250="","", C1250 * IFERROR(VLOOKUP(J1250, SETUP!$A:$D, 3, FALSE), 0))</f>
        <v/>
      </c>
      <c r="F1250" s="11" t="str">
        <f>IF(J1250="","", C1250 * IFERROR(VLOOKUP(J1250, SETUP!$A:$D, 4, FALSE), 0))</f>
        <v/>
      </c>
      <c r="G1250" s="11" t="str">
        <f t="shared" si="1"/>
        <v/>
      </c>
      <c r="H1250" s="22"/>
      <c r="I1250" s="11"/>
      <c r="J1250" s="17" t="str">
        <f>IF(TRIM(B1250)="","",IF(ISNUMBER(SEARCH(" - ",B1250)),TRIM(RIGHT(B1250,LEN(B1250)-FIND(" - ",B1250)-2)),IFERROR(VLOOKUP(UPPER(TRIM(B1250)), SETUP!$B$4:$C$11, 2, FALSE), UPPER(TRIM(B1250)))))</f>
        <v/>
      </c>
      <c r="K1250" s="23" t="str">
        <f t="shared" si="2"/>
        <v/>
      </c>
      <c r="L1250" s="17" t="str">
        <f t="shared" si="3"/>
        <v/>
      </c>
      <c r="M1250" s="17" t="str">
        <f t="shared" si="4"/>
        <v/>
      </c>
    </row>
    <row r="1251" ht="15.75" customHeight="1">
      <c r="A1251" s="12"/>
      <c r="B1251" s="11"/>
      <c r="C1251" s="11"/>
      <c r="D1251" s="11"/>
      <c r="E1251" s="11" t="str">
        <f>IF(J1251="","", C1251 * IFERROR(VLOOKUP(J1251, SETUP!$A:$D, 3, FALSE), 0))</f>
        <v/>
      </c>
      <c r="F1251" s="11" t="str">
        <f>IF(J1251="","", C1251 * IFERROR(VLOOKUP(J1251, SETUP!$A:$D, 4, FALSE), 0))</f>
        <v/>
      </c>
      <c r="G1251" s="11" t="str">
        <f t="shared" si="1"/>
        <v/>
      </c>
      <c r="H1251" s="22"/>
      <c r="I1251" s="11"/>
      <c r="J1251" s="17" t="str">
        <f>IF(TRIM(B1251)="","",IF(ISNUMBER(SEARCH(" - ",B1251)),TRIM(RIGHT(B1251,LEN(B1251)-FIND(" - ",B1251)-2)),IFERROR(VLOOKUP(UPPER(TRIM(B1251)), SETUP!$B$4:$C$11, 2, FALSE), UPPER(TRIM(B1251)))))</f>
        <v/>
      </c>
      <c r="K1251" s="23" t="str">
        <f t="shared" si="2"/>
        <v/>
      </c>
      <c r="L1251" s="17" t="str">
        <f t="shared" si="3"/>
        <v/>
      </c>
      <c r="M1251" s="17" t="str">
        <f t="shared" si="4"/>
        <v/>
      </c>
    </row>
    <row r="1252" ht="15.75" customHeight="1">
      <c r="A1252" s="12"/>
      <c r="B1252" s="11"/>
      <c r="C1252" s="11"/>
      <c r="D1252" s="11"/>
      <c r="E1252" s="11" t="str">
        <f>IF(J1252="","", C1252 * IFERROR(VLOOKUP(J1252, SETUP!$A:$D, 3, FALSE), 0))</f>
        <v/>
      </c>
      <c r="F1252" s="11" t="str">
        <f>IF(J1252="","", C1252 * IFERROR(VLOOKUP(J1252, SETUP!$A:$D, 4, FALSE), 0))</f>
        <v/>
      </c>
      <c r="G1252" s="11" t="str">
        <f t="shared" si="1"/>
        <v/>
      </c>
      <c r="H1252" s="22"/>
      <c r="I1252" s="11"/>
      <c r="J1252" s="17" t="str">
        <f>IF(TRIM(B1252)="","",IF(ISNUMBER(SEARCH(" - ",B1252)),TRIM(RIGHT(B1252,LEN(B1252)-FIND(" - ",B1252)-2)),IFERROR(VLOOKUP(UPPER(TRIM(B1252)), SETUP!$B$4:$C$11, 2, FALSE), UPPER(TRIM(B1252)))))</f>
        <v/>
      </c>
      <c r="K1252" s="23" t="str">
        <f t="shared" si="2"/>
        <v/>
      </c>
      <c r="L1252" s="17" t="str">
        <f t="shared" si="3"/>
        <v/>
      </c>
      <c r="M1252" s="17" t="str">
        <f t="shared" si="4"/>
        <v/>
      </c>
    </row>
    <row r="1253" ht="15.75" customHeight="1">
      <c r="A1253" s="12"/>
      <c r="B1253" s="11"/>
      <c r="C1253" s="11"/>
      <c r="D1253" s="11"/>
      <c r="E1253" s="11" t="str">
        <f>IF(J1253="","", C1253 * IFERROR(VLOOKUP(J1253, SETUP!$A:$D, 3, FALSE), 0))</f>
        <v/>
      </c>
      <c r="F1253" s="11" t="str">
        <f>IF(J1253="","", C1253 * IFERROR(VLOOKUP(J1253, SETUP!$A:$D, 4, FALSE), 0))</f>
        <v/>
      </c>
      <c r="G1253" s="11" t="str">
        <f t="shared" si="1"/>
        <v/>
      </c>
      <c r="H1253" s="22"/>
      <c r="I1253" s="11"/>
      <c r="J1253" s="17" t="str">
        <f>IF(TRIM(B1253)="","",IF(ISNUMBER(SEARCH(" - ",B1253)),TRIM(RIGHT(B1253,LEN(B1253)-FIND(" - ",B1253)-2)),IFERROR(VLOOKUP(UPPER(TRIM(B1253)), SETUP!$B$4:$C$11, 2, FALSE), UPPER(TRIM(B1253)))))</f>
        <v/>
      </c>
      <c r="K1253" s="23" t="str">
        <f t="shared" si="2"/>
        <v/>
      </c>
      <c r="L1253" s="17" t="str">
        <f t="shared" si="3"/>
        <v/>
      </c>
      <c r="M1253" s="17" t="str">
        <f t="shared" si="4"/>
        <v/>
      </c>
    </row>
    <row r="1254" ht="15.75" customHeight="1">
      <c r="A1254" s="12"/>
      <c r="B1254" s="11"/>
      <c r="C1254" s="11"/>
      <c r="D1254" s="11"/>
      <c r="E1254" s="11" t="str">
        <f>IF(J1254="","", C1254 * IFERROR(VLOOKUP(J1254, SETUP!$A:$D, 3, FALSE), 0))</f>
        <v/>
      </c>
      <c r="F1254" s="11" t="str">
        <f>IF(J1254="","", C1254 * IFERROR(VLOOKUP(J1254, SETUP!$A:$D, 4, FALSE), 0))</f>
        <v/>
      </c>
      <c r="G1254" s="11" t="str">
        <f t="shared" si="1"/>
        <v/>
      </c>
      <c r="H1254" s="22"/>
      <c r="I1254" s="11"/>
      <c r="J1254" s="17" t="str">
        <f>IF(TRIM(B1254)="","",IF(ISNUMBER(SEARCH(" - ",B1254)),TRIM(RIGHT(B1254,LEN(B1254)-FIND(" - ",B1254)-2)),IFERROR(VLOOKUP(UPPER(TRIM(B1254)), SETUP!$B$4:$C$11, 2, FALSE), UPPER(TRIM(B1254)))))</f>
        <v/>
      </c>
      <c r="K1254" s="23" t="str">
        <f t="shared" si="2"/>
        <v/>
      </c>
      <c r="L1254" s="17" t="str">
        <f t="shared" si="3"/>
        <v/>
      </c>
      <c r="M1254" s="17" t="str">
        <f t="shared" si="4"/>
        <v/>
      </c>
    </row>
    <row r="1255" ht="15.75" customHeight="1">
      <c r="A1255" s="12"/>
      <c r="B1255" s="11"/>
      <c r="C1255" s="11"/>
      <c r="D1255" s="11"/>
      <c r="E1255" s="11" t="str">
        <f>IF(J1255="","", C1255 * IFERROR(VLOOKUP(J1255, SETUP!$A:$D, 3, FALSE), 0))</f>
        <v/>
      </c>
      <c r="F1255" s="11" t="str">
        <f>IF(J1255="","", C1255 * IFERROR(VLOOKUP(J1255, SETUP!$A:$D, 4, FALSE), 0))</f>
        <v/>
      </c>
      <c r="G1255" s="11" t="str">
        <f t="shared" si="1"/>
        <v/>
      </c>
      <c r="H1255" s="22"/>
      <c r="I1255" s="11"/>
      <c r="J1255" s="17" t="str">
        <f>IF(TRIM(B1255)="","",IF(ISNUMBER(SEARCH(" - ",B1255)),TRIM(RIGHT(B1255,LEN(B1255)-FIND(" - ",B1255)-2)),IFERROR(VLOOKUP(UPPER(TRIM(B1255)), SETUP!$B$4:$C$11, 2, FALSE), UPPER(TRIM(B1255)))))</f>
        <v/>
      </c>
      <c r="K1255" s="23" t="str">
        <f t="shared" si="2"/>
        <v/>
      </c>
      <c r="L1255" s="17" t="str">
        <f t="shared" si="3"/>
        <v/>
      </c>
      <c r="M1255" s="17" t="str">
        <f t="shared" si="4"/>
        <v/>
      </c>
    </row>
    <row r="1256" ht="15.75" customHeight="1">
      <c r="A1256" s="12"/>
      <c r="B1256" s="11"/>
      <c r="C1256" s="11"/>
      <c r="D1256" s="11"/>
      <c r="E1256" s="11" t="str">
        <f>IF(J1256="","", C1256 * IFERROR(VLOOKUP(J1256, SETUP!$A:$D, 3, FALSE), 0))</f>
        <v/>
      </c>
      <c r="F1256" s="11" t="str">
        <f>IF(J1256="","", C1256 * IFERROR(VLOOKUP(J1256, SETUP!$A:$D, 4, FALSE), 0))</f>
        <v/>
      </c>
      <c r="G1256" s="11" t="str">
        <f t="shared" si="1"/>
        <v/>
      </c>
      <c r="H1256" s="22"/>
      <c r="I1256" s="11"/>
      <c r="J1256" s="17" t="str">
        <f>IF(TRIM(B1256)="","",IF(ISNUMBER(SEARCH(" - ",B1256)),TRIM(RIGHT(B1256,LEN(B1256)-FIND(" - ",B1256)-2)),IFERROR(VLOOKUP(UPPER(TRIM(B1256)), SETUP!$B$4:$C$11, 2, FALSE), UPPER(TRIM(B1256)))))</f>
        <v/>
      </c>
      <c r="K1256" s="23" t="str">
        <f t="shared" si="2"/>
        <v/>
      </c>
      <c r="L1256" s="17" t="str">
        <f t="shared" si="3"/>
        <v/>
      </c>
      <c r="M1256" s="17" t="str">
        <f t="shared" si="4"/>
        <v/>
      </c>
    </row>
    <row r="1257" ht="15.75" customHeight="1">
      <c r="A1257" s="12"/>
      <c r="B1257" s="11"/>
      <c r="C1257" s="11"/>
      <c r="D1257" s="11"/>
      <c r="E1257" s="11" t="str">
        <f>IF(J1257="","", C1257 * IFERROR(VLOOKUP(J1257, SETUP!$A:$D, 3, FALSE), 0))</f>
        <v/>
      </c>
      <c r="F1257" s="11" t="str">
        <f>IF(J1257="","", C1257 * IFERROR(VLOOKUP(J1257, SETUP!$A:$D, 4, FALSE), 0))</f>
        <v/>
      </c>
      <c r="G1257" s="11" t="str">
        <f t="shared" si="1"/>
        <v/>
      </c>
      <c r="H1257" s="22"/>
      <c r="I1257" s="11"/>
      <c r="J1257" s="17" t="str">
        <f>IF(TRIM(B1257)="","",IF(ISNUMBER(SEARCH(" - ",B1257)),TRIM(RIGHT(B1257,LEN(B1257)-FIND(" - ",B1257)-2)),IFERROR(VLOOKUP(UPPER(TRIM(B1257)), SETUP!$B$4:$C$11, 2, FALSE), UPPER(TRIM(B1257)))))</f>
        <v/>
      </c>
      <c r="K1257" s="23" t="str">
        <f t="shared" si="2"/>
        <v/>
      </c>
      <c r="L1257" s="17" t="str">
        <f t="shared" si="3"/>
        <v/>
      </c>
      <c r="M1257" s="17" t="str">
        <f t="shared" si="4"/>
        <v/>
      </c>
    </row>
    <row r="1258" ht="15.75" customHeight="1">
      <c r="A1258" s="12"/>
      <c r="B1258" s="11"/>
      <c r="C1258" s="11"/>
      <c r="D1258" s="11"/>
      <c r="E1258" s="11" t="str">
        <f>IF(J1258="","", C1258 * IFERROR(VLOOKUP(J1258, SETUP!$A:$D, 3, FALSE), 0))</f>
        <v/>
      </c>
      <c r="F1258" s="11" t="str">
        <f>IF(J1258="","", C1258 * IFERROR(VLOOKUP(J1258, SETUP!$A:$D, 4, FALSE), 0))</f>
        <v/>
      </c>
      <c r="G1258" s="11" t="str">
        <f t="shared" si="1"/>
        <v/>
      </c>
      <c r="H1258" s="22"/>
      <c r="I1258" s="11"/>
      <c r="J1258" s="17" t="str">
        <f>IF(TRIM(B1258)="","",IF(ISNUMBER(SEARCH(" - ",B1258)),TRIM(RIGHT(B1258,LEN(B1258)-FIND(" - ",B1258)-2)),IFERROR(VLOOKUP(UPPER(TRIM(B1258)), SETUP!$B$4:$C$11, 2, FALSE), UPPER(TRIM(B1258)))))</f>
        <v/>
      </c>
      <c r="K1258" s="23" t="str">
        <f t="shared" si="2"/>
        <v/>
      </c>
      <c r="L1258" s="17" t="str">
        <f t="shared" si="3"/>
        <v/>
      </c>
      <c r="M1258" s="17" t="str">
        <f t="shared" si="4"/>
        <v/>
      </c>
    </row>
    <row r="1259" ht="15.75" customHeight="1">
      <c r="A1259" s="12"/>
      <c r="B1259" s="11"/>
      <c r="C1259" s="11"/>
      <c r="D1259" s="11"/>
      <c r="E1259" s="11" t="str">
        <f>IF(J1259="","", C1259 * IFERROR(VLOOKUP(J1259, SETUP!$A:$D, 3, FALSE), 0))</f>
        <v/>
      </c>
      <c r="F1259" s="11" t="str">
        <f>IF(J1259="","", C1259 * IFERROR(VLOOKUP(J1259, SETUP!$A:$D, 4, FALSE), 0))</f>
        <v/>
      </c>
      <c r="G1259" s="11" t="str">
        <f t="shared" si="1"/>
        <v/>
      </c>
      <c r="H1259" s="22"/>
      <c r="I1259" s="11"/>
      <c r="J1259" s="17" t="str">
        <f>IF(TRIM(B1259)="","",IF(ISNUMBER(SEARCH(" - ",B1259)),TRIM(RIGHT(B1259,LEN(B1259)-FIND(" - ",B1259)-2)),IFERROR(VLOOKUP(UPPER(TRIM(B1259)), SETUP!$B$4:$C$11, 2, FALSE), UPPER(TRIM(B1259)))))</f>
        <v/>
      </c>
      <c r="K1259" s="23" t="str">
        <f t="shared" si="2"/>
        <v/>
      </c>
      <c r="L1259" s="17" t="str">
        <f t="shared" si="3"/>
        <v/>
      </c>
      <c r="M1259" s="17" t="str">
        <f t="shared" si="4"/>
        <v/>
      </c>
    </row>
    <row r="1260" ht="15.75" customHeight="1">
      <c r="A1260" s="12"/>
      <c r="B1260" s="11"/>
      <c r="C1260" s="11"/>
      <c r="D1260" s="11"/>
      <c r="E1260" s="11" t="str">
        <f>IF(J1260="","", C1260 * IFERROR(VLOOKUP(J1260, SETUP!$A:$D, 3, FALSE), 0))</f>
        <v/>
      </c>
      <c r="F1260" s="11" t="str">
        <f>IF(J1260="","", C1260 * IFERROR(VLOOKUP(J1260, SETUP!$A:$D, 4, FALSE), 0))</f>
        <v/>
      </c>
      <c r="G1260" s="11" t="str">
        <f t="shared" si="1"/>
        <v/>
      </c>
      <c r="H1260" s="22"/>
      <c r="I1260" s="11"/>
      <c r="J1260" s="17" t="str">
        <f>IF(TRIM(B1260)="","",IF(ISNUMBER(SEARCH(" - ",B1260)),TRIM(RIGHT(B1260,LEN(B1260)-FIND(" - ",B1260)-2)),IFERROR(VLOOKUP(UPPER(TRIM(B1260)), SETUP!$B$4:$C$11, 2, FALSE), UPPER(TRIM(B1260)))))</f>
        <v/>
      </c>
      <c r="K1260" s="23" t="str">
        <f t="shared" si="2"/>
        <v/>
      </c>
      <c r="L1260" s="17" t="str">
        <f t="shared" si="3"/>
        <v/>
      </c>
      <c r="M1260" s="17" t="str">
        <f t="shared" si="4"/>
        <v/>
      </c>
    </row>
    <row r="1261" ht="15.75" customHeight="1">
      <c r="A1261" s="12"/>
      <c r="B1261" s="11"/>
      <c r="C1261" s="11"/>
      <c r="D1261" s="11"/>
      <c r="E1261" s="11" t="str">
        <f>IF(J1261="","", C1261 * IFERROR(VLOOKUP(J1261, SETUP!$A:$D, 3, FALSE), 0))</f>
        <v/>
      </c>
      <c r="F1261" s="11" t="str">
        <f>IF(J1261="","", C1261 * IFERROR(VLOOKUP(J1261, SETUP!$A:$D, 4, FALSE), 0))</f>
        <v/>
      </c>
      <c r="G1261" s="11" t="str">
        <f t="shared" si="1"/>
        <v/>
      </c>
      <c r="H1261" s="22"/>
      <c r="I1261" s="11"/>
      <c r="J1261" s="17" t="str">
        <f>IF(TRIM(B1261)="","",IF(ISNUMBER(SEARCH(" - ",B1261)),TRIM(RIGHT(B1261,LEN(B1261)-FIND(" - ",B1261)-2)),IFERROR(VLOOKUP(UPPER(TRIM(B1261)), SETUP!$B$4:$C$11, 2, FALSE), UPPER(TRIM(B1261)))))</f>
        <v/>
      </c>
      <c r="K1261" s="23" t="str">
        <f t="shared" si="2"/>
        <v/>
      </c>
      <c r="L1261" s="17" t="str">
        <f t="shared" si="3"/>
        <v/>
      </c>
      <c r="M1261" s="17" t="str">
        <f t="shared" si="4"/>
        <v/>
      </c>
    </row>
    <row r="1262" ht="15.75" customHeight="1">
      <c r="A1262" s="12"/>
      <c r="B1262" s="11"/>
      <c r="C1262" s="11"/>
      <c r="D1262" s="11"/>
      <c r="E1262" s="11" t="str">
        <f>IF(J1262="","", C1262 * IFERROR(VLOOKUP(J1262, SETUP!$A:$D, 3, FALSE), 0))</f>
        <v/>
      </c>
      <c r="F1262" s="11" t="str">
        <f>IF(J1262="","", C1262 * IFERROR(VLOOKUP(J1262, SETUP!$A:$D, 4, FALSE), 0))</f>
        <v/>
      </c>
      <c r="G1262" s="11" t="str">
        <f t="shared" si="1"/>
        <v/>
      </c>
      <c r="H1262" s="22"/>
      <c r="I1262" s="11"/>
      <c r="J1262" s="17" t="str">
        <f>IF(TRIM(B1262)="","",IF(ISNUMBER(SEARCH(" - ",B1262)),TRIM(RIGHT(B1262,LEN(B1262)-FIND(" - ",B1262)-2)),IFERROR(VLOOKUP(UPPER(TRIM(B1262)), SETUP!$B$4:$C$11, 2, FALSE), UPPER(TRIM(B1262)))))</f>
        <v/>
      </c>
      <c r="K1262" s="23" t="str">
        <f t="shared" si="2"/>
        <v/>
      </c>
      <c r="L1262" s="17" t="str">
        <f t="shared" si="3"/>
        <v/>
      </c>
      <c r="M1262" s="17" t="str">
        <f t="shared" si="4"/>
        <v/>
      </c>
    </row>
    <row r="1263" ht="15.75" customHeight="1">
      <c r="A1263" s="12"/>
      <c r="B1263" s="11"/>
      <c r="C1263" s="11"/>
      <c r="D1263" s="11"/>
      <c r="E1263" s="11" t="str">
        <f>IF(J1263="","", C1263 * IFERROR(VLOOKUP(J1263, SETUP!$A:$D, 3, FALSE), 0))</f>
        <v/>
      </c>
      <c r="F1263" s="11" t="str">
        <f>IF(J1263="","", C1263 * IFERROR(VLOOKUP(J1263, SETUP!$A:$D, 4, FALSE), 0))</f>
        <v/>
      </c>
      <c r="G1263" s="11" t="str">
        <f t="shared" si="1"/>
        <v/>
      </c>
      <c r="H1263" s="22"/>
      <c r="I1263" s="11"/>
      <c r="J1263" s="17" t="str">
        <f>IF(TRIM(B1263)="","",IF(ISNUMBER(SEARCH(" - ",B1263)),TRIM(RIGHT(B1263,LEN(B1263)-FIND(" - ",B1263)-2)),IFERROR(VLOOKUP(UPPER(TRIM(B1263)), SETUP!$B$4:$C$11, 2, FALSE), UPPER(TRIM(B1263)))))</f>
        <v/>
      </c>
      <c r="K1263" s="23" t="str">
        <f t="shared" si="2"/>
        <v/>
      </c>
      <c r="L1263" s="17" t="str">
        <f t="shared" si="3"/>
        <v/>
      </c>
      <c r="M1263" s="17" t="str">
        <f t="shared" si="4"/>
        <v/>
      </c>
    </row>
    <row r="1264" ht="15.75" customHeight="1">
      <c r="A1264" s="12"/>
      <c r="B1264" s="11"/>
      <c r="C1264" s="11"/>
      <c r="D1264" s="11"/>
      <c r="E1264" s="11" t="str">
        <f>IF(J1264="","", C1264 * IFERROR(VLOOKUP(J1264, SETUP!$A:$D, 3, FALSE), 0))</f>
        <v/>
      </c>
      <c r="F1264" s="11" t="str">
        <f>IF(J1264="","", C1264 * IFERROR(VLOOKUP(J1264, SETUP!$A:$D, 4, FALSE), 0))</f>
        <v/>
      </c>
      <c r="G1264" s="11" t="str">
        <f t="shared" si="1"/>
        <v/>
      </c>
      <c r="H1264" s="22"/>
      <c r="I1264" s="11"/>
      <c r="J1264" s="17" t="str">
        <f>IF(TRIM(B1264)="","",IF(ISNUMBER(SEARCH(" - ",B1264)),TRIM(RIGHT(B1264,LEN(B1264)-FIND(" - ",B1264)-2)),IFERROR(VLOOKUP(UPPER(TRIM(B1264)), SETUP!$B$4:$C$11, 2, FALSE), UPPER(TRIM(B1264)))))</f>
        <v/>
      </c>
      <c r="K1264" s="23" t="str">
        <f t="shared" si="2"/>
        <v/>
      </c>
      <c r="L1264" s="17" t="str">
        <f t="shared" si="3"/>
        <v/>
      </c>
      <c r="M1264" s="17" t="str">
        <f t="shared" si="4"/>
        <v/>
      </c>
    </row>
    <row r="1265" ht="15.75" customHeight="1">
      <c r="A1265" s="12"/>
      <c r="B1265" s="11"/>
      <c r="C1265" s="11"/>
      <c r="D1265" s="11"/>
      <c r="E1265" s="11" t="str">
        <f>IF(J1265="","", C1265 * IFERROR(VLOOKUP(J1265, SETUP!$A:$D, 3, FALSE), 0))</f>
        <v/>
      </c>
      <c r="F1265" s="11" t="str">
        <f>IF(J1265="","", C1265 * IFERROR(VLOOKUP(J1265, SETUP!$A:$D, 4, FALSE), 0))</f>
        <v/>
      </c>
      <c r="G1265" s="11" t="str">
        <f t="shared" si="1"/>
        <v/>
      </c>
      <c r="H1265" s="22"/>
      <c r="I1265" s="11"/>
      <c r="J1265" s="17" t="str">
        <f>IF(TRIM(B1265)="","",IF(ISNUMBER(SEARCH(" - ",B1265)),TRIM(RIGHT(B1265,LEN(B1265)-FIND(" - ",B1265)-2)),IFERROR(VLOOKUP(UPPER(TRIM(B1265)), SETUP!$B$4:$C$11, 2, FALSE), UPPER(TRIM(B1265)))))</f>
        <v/>
      </c>
      <c r="K1265" s="23" t="str">
        <f t="shared" si="2"/>
        <v/>
      </c>
      <c r="L1265" s="17" t="str">
        <f t="shared" si="3"/>
        <v/>
      </c>
      <c r="M1265" s="17" t="str">
        <f t="shared" si="4"/>
        <v/>
      </c>
    </row>
    <row r="1266" ht="15.75" customHeight="1">
      <c r="A1266" s="12"/>
      <c r="B1266" s="11"/>
      <c r="C1266" s="11"/>
      <c r="D1266" s="11"/>
      <c r="E1266" s="11" t="str">
        <f>IF(J1266="","", C1266 * IFERROR(VLOOKUP(J1266, SETUP!$A:$D, 3, FALSE), 0))</f>
        <v/>
      </c>
      <c r="F1266" s="11" t="str">
        <f>IF(J1266="","", C1266 * IFERROR(VLOOKUP(J1266, SETUP!$A:$D, 4, FALSE), 0))</f>
        <v/>
      </c>
      <c r="G1266" s="11" t="str">
        <f t="shared" si="1"/>
        <v/>
      </c>
      <c r="H1266" s="22"/>
      <c r="I1266" s="11"/>
      <c r="J1266" s="17" t="str">
        <f>IF(TRIM(B1266)="","",IF(ISNUMBER(SEARCH(" - ",B1266)),TRIM(RIGHT(B1266,LEN(B1266)-FIND(" - ",B1266)-2)),IFERROR(VLOOKUP(UPPER(TRIM(B1266)), SETUP!$B$4:$C$11, 2, FALSE), UPPER(TRIM(B1266)))))</f>
        <v/>
      </c>
      <c r="K1266" s="23" t="str">
        <f t="shared" si="2"/>
        <v/>
      </c>
      <c r="L1266" s="17" t="str">
        <f t="shared" si="3"/>
        <v/>
      </c>
      <c r="M1266" s="17" t="str">
        <f t="shared" si="4"/>
        <v/>
      </c>
    </row>
    <row r="1267" ht="15.75" customHeight="1">
      <c r="A1267" s="12"/>
      <c r="B1267" s="11"/>
      <c r="C1267" s="11"/>
      <c r="D1267" s="11"/>
      <c r="E1267" s="11" t="str">
        <f>IF(J1267="","", C1267 * IFERROR(VLOOKUP(J1267, SETUP!$A:$D, 3, FALSE), 0))</f>
        <v/>
      </c>
      <c r="F1267" s="11" t="str">
        <f>IF(J1267="","", C1267 * IFERROR(VLOOKUP(J1267, SETUP!$A:$D, 4, FALSE), 0))</f>
        <v/>
      </c>
      <c r="G1267" s="11" t="str">
        <f t="shared" si="1"/>
        <v/>
      </c>
      <c r="H1267" s="22"/>
      <c r="I1267" s="11"/>
      <c r="J1267" s="17" t="str">
        <f>IF(TRIM(B1267)="","",IF(ISNUMBER(SEARCH(" - ",B1267)),TRIM(RIGHT(B1267,LEN(B1267)-FIND(" - ",B1267)-2)),IFERROR(VLOOKUP(UPPER(TRIM(B1267)), SETUP!$B$4:$C$11, 2, FALSE), UPPER(TRIM(B1267)))))</f>
        <v/>
      </c>
      <c r="K1267" s="23" t="str">
        <f t="shared" si="2"/>
        <v/>
      </c>
      <c r="L1267" s="17" t="str">
        <f t="shared" si="3"/>
        <v/>
      </c>
      <c r="M1267" s="17" t="str">
        <f t="shared" si="4"/>
        <v/>
      </c>
    </row>
    <row r="1268" ht="15.75" customHeight="1">
      <c r="A1268" s="12"/>
      <c r="B1268" s="11"/>
      <c r="C1268" s="11"/>
      <c r="D1268" s="11"/>
      <c r="E1268" s="11" t="str">
        <f>IF(J1268="","", C1268 * IFERROR(VLOOKUP(J1268, SETUP!$A:$D, 3, FALSE), 0))</f>
        <v/>
      </c>
      <c r="F1268" s="11" t="str">
        <f>IF(J1268="","", C1268 * IFERROR(VLOOKUP(J1268, SETUP!$A:$D, 4, FALSE), 0))</f>
        <v/>
      </c>
      <c r="G1268" s="11" t="str">
        <f t="shared" si="1"/>
        <v/>
      </c>
      <c r="H1268" s="22"/>
      <c r="I1268" s="11"/>
      <c r="J1268" s="17" t="str">
        <f>IF(TRIM(B1268)="","",IF(ISNUMBER(SEARCH(" - ",B1268)),TRIM(RIGHT(B1268,LEN(B1268)-FIND(" - ",B1268)-2)),IFERROR(VLOOKUP(UPPER(TRIM(B1268)), SETUP!$B$4:$C$11, 2, FALSE), UPPER(TRIM(B1268)))))</f>
        <v/>
      </c>
      <c r="K1268" s="23" t="str">
        <f t="shared" si="2"/>
        <v/>
      </c>
      <c r="L1268" s="17" t="str">
        <f t="shared" si="3"/>
        <v/>
      </c>
      <c r="M1268" s="17" t="str">
        <f t="shared" si="4"/>
        <v/>
      </c>
    </row>
    <row r="1269" ht="15.75" customHeight="1">
      <c r="A1269" s="12"/>
      <c r="B1269" s="11"/>
      <c r="C1269" s="11"/>
      <c r="D1269" s="11"/>
      <c r="E1269" s="11" t="str">
        <f>IF(J1269="","", C1269 * IFERROR(VLOOKUP(J1269, SETUP!$A:$D, 3, FALSE), 0))</f>
        <v/>
      </c>
      <c r="F1269" s="11" t="str">
        <f>IF(J1269="","", C1269 * IFERROR(VLOOKUP(J1269, SETUP!$A:$D, 4, FALSE), 0))</f>
        <v/>
      </c>
      <c r="G1269" s="11" t="str">
        <f t="shared" si="1"/>
        <v/>
      </c>
      <c r="H1269" s="22"/>
      <c r="I1269" s="11"/>
      <c r="J1269" s="17" t="str">
        <f>IF(TRIM(B1269)="","",IF(ISNUMBER(SEARCH(" - ",B1269)),TRIM(RIGHT(B1269,LEN(B1269)-FIND(" - ",B1269)-2)),IFERROR(VLOOKUP(UPPER(TRIM(B1269)), SETUP!$B$4:$C$11, 2, FALSE), UPPER(TRIM(B1269)))))</f>
        <v/>
      </c>
      <c r="K1269" s="23" t="str">
        <f t="shared" si="2"/>
        <v/>
      </c>
      <c r="L1269" s="17" t="str">
        <f t="shared" si="3"/>
        <v/>
      </c>
      <c r="M1269" s="17" t="str">
        <f t="shared" si="4"/>
        <v/>
      </c>
    </row>
    <row r="1270" ht="15.75" customHeight="1">
      <c r="A1270" s="12"/>
      <c r="B1270" s="11"/>
      <c r="C1270" s="11"/>
      <c r="D1270" s="11"/>
      <c r="E1270" s="11" t="str">
        <f>IF(J1270="","", C1270 * IFERROR(VLOOKUP(J1270, SETUP!$A:$D, 3, FALSE), 0))</f>
        <v/>
      </c>
      <c r="F1270" s="11" t="str">
        <f>IF(J1270="","", C1270 * IFERROR(VLOOKUP(J1270, SETUP!$A:$D, 4, FALSE), 0))</f>
        <v/>
      </c>
      <c r="G1270" s="11" t="str">
        <f t="shared" si="1"/>
        <v/>
      </c>
      <c r="H1270" s="22"/>
      <c r="I1270" s="11"/>
      <c r="J1270" s="17" t="str">
        <f>IF(TRIM(B1270)="","",IF(ISNUMBER(SEARCH(" - ",B1270)),TRIM(RIGHT(B1270,LEN(B1270)-FIND(" - ",B1270)-2)),IFERROR(VLOOKUP(UPPER(TRIM(B1270)), SETUP!$B$4:$C$11, 2, FALSE), UPPER(TRIM(B1270)))))</f>
        <v/>
      </c>
      <c r="K1270" s="23" t="str">
        <f t="shared" si="2"/>
        <v/>
      </c>
      <c r="L1270" s="17" t="str">
        <f t="shared" si="3"/>
        <v/>
      </c>
      <c r="M1270" s="17" t="str">
        <f t="shared" si="4"/>
        <v/>
      </c>
    </row>
    <row r="1271" ht="15.75" customHeight="1">
      <c r="A1271" s="12"/>
      <c r="B1271" s="11"/>
      <c r="C1271" s="11"/>
      <c r="D1271" s="11"/>
      <c r="E1271" s="11" t="str">
        <f>IF(J1271="","", C1271 * IFERROR(VLOOKUP(J1271, SETUP!$A:$D, 3, FALSE), 0))</f>
        <v/>
      </c>
      <c r="F1271" s="11" t="str">
        <f>IF(J1271="","", C1271 * IFERROR(VLOOKUP(J1271, SETUP!$A:$D, 4, FALSE), 0))</f>
        <v/>
      </c>
      <c r="G1271" s="11" t="str">
        <f t="shared" si="1"/>
        <v/>
      </c>
      <c r="H1271" s="22"/>
      <c r="I1271" s="11"/>
      <c r="J1271" s="17" t="str">
        <f>IF(TRIM(B1271)="","",IF(ISNUMBER(SEARCH(" - ",B1271)),TRIM(RIGHT(B1271,LEN(B1271)-FIND(" - ",B1271)-2)),IFERROR(VLOOKUP(UPPER(TRIM(B1271)), SETUP!$B$4:$C$11, 2, FALSE), UPPER(TRIM(B1271)))))</f>
        <v/>
      </c>
      <c r="K1271" s="23" t="str">
        <f t="shared" si="2"/>
        <v/>
      </c>
      <c r="L1271" s="17" t="str">
        <f t="shared" si="3"/>
        <v/>
      </c>
      <c r="M1271" s="17" t="str">
        <f t="shared" si="4"/>
        <v/>
      </c>
    </row>
    <row r="1272" ht="15.75" customHeight="1">
      <c r="A1272" s="12"/>
      <c r="B1272" s="11"/>
      <c r="C1272" s="11"/>
      <c r="D1272" s="11"/>
      <c r="E1272" s="11" t="str">
        <f>IF(J1272="","", C1272 * IFERROR(VLOOKUP(J1272, SETUP!$A:$D, 3, FALSE), 0))</f>
        <v/>
      </c>
      <c r="F1272" s="11" t="str">
        <f>IF(J1272="","", C1272 * IFERROR(VLOOKUP(J1272, SETUP!$A:$D, 4, FALSE), 0))</f>
        <v/>
      </c>
      <c r="G1272" s="11" t="str">
        <f t="shared" si="1"/>
        <v/>
      </c>
      <c r="H1272" s="22"/>
      <c r="I1272" s="11"/>
      <c r="J1272" s="17" t="str">
        <f>IF(TRIM(B1272)="","",IF(ISNUMBER(SEARCH(" - ",B1272)),TRIM(RIGHT(B1272,LEN(B1272)-FIND(" - ",B1272)-2)),IFERROR(VLOOKUP(UPPER(TRIM(B1272)), SETUP!$B$4:$C$11, 2, FALSE), UPPER(TRIM(B1272)))))</f>
        <v/>
      </c>
      <c r="K1272" s="23" t="str">
        <f t="shared" si="2"/>
        <v/>
      </c>
      <c r="L1272" s="17" t="str">
        <f t="shared" si="3"/>
        <v/>
      </c>
      <c r="M1272" s="17" t="str">
        <f t="shared" si="4"/>
        <v/>
      </c>
    </row>
    <row r="1273" ht="15.75" customHeight="1">
      <c r="A1273" s="12"/>
      <c r="B1273" s="11"/>
      <c r="C1273" s="11"/>
      <c r="D1273" s="11"/>
      <c r="E1273" s="11" t="str">
        <f>IF(J1273="","", C1273 * IFERROR(VLOOKUP(J1273, SETUP!$A:$D, 3, FALSE), 0))</f>
        <v/>
      </c>
      <c r="F1273" s="11" t="str">
        <f>IF(J1273="","", C1273 * IFERROR(VLOOKUP(J1273, SETUP!$A:$D, 4, FALSE), 0))</f>
        <v/>
      </c>
      <c r="G1273" s="11" t="str">
        <f t="shared" si="1"/>
        <v/>
      </c>
      <c r="H1273" s="22"/>
      <c r="I1273" s="11"/>
      <c r="J1273" s="17" t="str">
        <f>IF(TRIM(B1273)="","",IF(ISNUMBER(SEARCH(" - ",B1273)),TRIM(RIGHT(B1273,LEN(B1273)-FIND(" - ",B1273)-2)),IFERROR(VLOOKUP(UPPER(TRIM(B1273)), SETUP!$B$4:$C$11, 2, FALSE), UPPER(TRIM(B1273)))))</f>
        <v/>
      </c>
      <c r="K1273" s="23" t="str">
        <f t="shared" si="2"/>
        <v/>
      </c>
      <c r="L1273" s="17" t="str">
        <f t="shared" si="3"/>
        <v/>
      </c>
      <c r="M1273" s="17" t="str">
        <f t="shared" si="4"/>
        <v/>
      </c>
    </row>
    <row r="1274" ht="15.75" customHeight="1">
      <c r="A1274" s="12"/>
      <c r="B1274" s="11"/>
      <c r="C1274" s="11"/>
      <c r="D1274" s="11"/>
      <c r="E1274" s="11" t="str">
        <f>IF(J1274="","", C1274 * IFERROR(VLOOKUP(J1274, SETUP!$A:$D, 3, FALSE), 0))</f>
        <v/>
      </c>
      <c r="F1274" s="11" t="str">
        <f>IF(J1274="","", C1274 * IFERROR(VLOOKUP(J1274, SETUP!$A:$D, 4, FALSE), 0))</f>
        <v/>
      </c>
      <c r="G1274" s="11" t="str">
        <f t="shared" si="1"/>
        <v/>
      </c>
      <c r="H1274" s="22"/>
      <c r="I1274" s="11"/>
      <c r="J1274" s="17" t="str">
        <f>IF(TRIM(B1274)="","",IF(ISNUMBER(SEARCH(" - ",B1274)),TRIM(RIGHT(B1274,LEN(B1274)-FIND(" - ",B1274)-2)),IFERROR(VLOOKUP(UPPER(TRIM(B1274)), SETUP!$B$4:$C$11, 2, FALSE), UPPER(TRIM(B1274)))))</f>
        <v/>
      </c>
      <c r="K1274" s="23" t="str">
        <f t="shared" si="2"/>
        <v/>
      </c>
      <c r="L1274" s="17" t="str">
        <f t="shared" si="3"/>
        <v/>
      </c>
      <c r="M1274" s="17" t="str">
        <f t="shared" si="4"/>
        <v/>
      </c>
    </row>
    <row r="1275" ht="15.75" customHeight="1">
      <c r="A1275" s="12"/>
      <c r="B1275" s="11"/>
      <c r="C1275" s="11"/>
      <c r="D1275" s="11"/>
      <c r="E1275" s="11" t="str">
        <f>IF(J1275="","", C1275 * IFERROR(VLOOKUP(J1275, SETUP!$A:$D, 3, FALSE), 0))</f>
        <v/>
      </c>
      <c r="F1275" s="11" t="str">
        <f>IF(J1275="","", C1275 * IFERROR(VLOOKUP(J1275, SETUP!$A:$D, 4, FALSE), 0))</f>
        <v/>
      </c>
      <c r="G1275" s="11" t="str">
        <f t="shared" si="1"/>
        <v/>
      </c>
      <c r="H1275" s="22"/>
      <c r="I1275" s="11"/>
      <c r="J1275" s="17" t="str">
        <f>IF(TRIM(B1275)="","",IF(ISNUMBER(SEARCH(" - ",B1275)),TRIM(RIGHT(B1275,LEN(B1275)-FIND(" - ",B1275)-2)),IFERROR(VLOOKUP(UPPER(TRIM(B1275)), SETUP!$B$4:$C$11, 2, FALSE), UPPER(TRIM(B1275)))))</f>
        <v/>
      </c>
      <c r="K1275" s="23" t="str">
        <f t="shared" si="2"/>
        <v/>
      </c>
      <c r="L1275" s="17" t="str">
        <f t="shared" si="3"/>
        <v/>
      </c>
      <c r="M1275" s="17" t="str">
        <f t="shared" si="4"/>
        <v/>
      </c>
    </row>
    <row r="1276" ht="15.75" customHeight="1">
      <c r="A1276" s="12"/>
      <c r="B1276" s="11"/>
      <c r="C1276" s="11"/>
      <c r="D1276" s="11"/>
      <c r="E1276" s="11" t="str">
        <f>IF(J1276="","", C1276 * IFERROR(VLOOKUP(J1276, SETUP!$A:$D, 3, FALSE), 0))</f>
        <v/>
      </c>
      <c r="F1276" s="11" t="str">
        <f>IF(J1276="","", C1276 * IFERROR(VLOOKUP(J1276, SETUP!$A:$D, 4, FALSE), 0))</f>
        <v/>
      </c>
      <c r="G1276" s="11" t="str">
        <f t="shared" si="1"/>
        <v/>
      </c>
      <c r="H1276" s="22"/>
      <c r="I1276" s="11"/>
      <c r="J1276" s="17" t="str">
        <f>IF(TRIM(B1276)="","",IF(ISNUMBER(SEARCH(" - ",B1276)),TRIM(RIGHT(B1276,LEN(B1276)-FIND(" - ",B1276)-2)),IFERROR(VLOOKUP(UPPER(TRIM(B1276)), SETUP!$B$4:$C$11, 2, FALSE), UPPER(TRIM(B1276)))))</f>
        <v/>
      </c>
      <c r="K1276" s="23" t="str">
        <f t="shared" si="2"/>
        <v/>
      </c>
      <c r="L1276" s="17" t="str">
        <f t="shared" si="3"/>
        <v/>
      </c>
      <c r="M1276" s="17" t="str">
        <f t="shared" si="4"/>
        <v/>
      </c>
    </row>
    <row r="1277" ht="15.75" customHeight="1">
      <c r="A1277" s="12"/>
      <c r="B1277" s="11"/>
      <c r="C1277" s="11"/>
      <c r="D1277" s="11"/>
      <c r="E1277" s="11" t="str">
        <f>IF(J1277="","", C1277 * IFERROR(VLOOKUP(J1277, SETUP!$A:$D, 3, FALSE), 0))</f>
        <v/>
      </c>
      <c r="F1277" s="11" t="str">
        <f>IF(J1277="","", C1277 * IFERROR(VLOOKUP(J1277, SETUP!$A:$D, 4, FALSE), 0))</f>
        <v/>
      </c>
      <c r="G1277" s="11" t="str">
        <f t="shared" si="1"/>
        <v/>
      </c>
      <c r="H1277" s="22"/>
      <c r="I1277" s="11"/>
      <c r="J1277" s="17" t="str">
        <f>IF(TRIM(B1277)="","",IF(ISNUMBER(SEARCH(" - ",B1277)),TRIM(RIGHT(B1277,LEN(B1277)-FIND(" - ",B1277)-2)),IFERROR(VLOOKUP(UPPER(TRIM(B1277)), SETUP!$B$4:$C$11, 2, FALSE), UPPER(TRIM(B1277)))))</f>
        <v/>
      </c>
      <c r="K1277" s="23" t="str">
        <f t="shared" si="2"/>
        <v/>
      </c>
      <c r="L1277" s="17" t="str">
        <f t="shared" si="3"/>
        <v/>
      </c>
      <c r="M1277" s="17" t="str">
        <f t="shared" si="4"/>
        <v/>
      </c>
    </row>
    <row r="1278" ht="15.75" customHeight="1">
      <c r="A1278" s="12"/>
      <c r="B1278" s="11"/>
      <c r="C1278" s="11"/>
      <c r="D1278" s="11"/>
      <c r="E1278" s="11" t="str">
        <f>IF(J1278="","", C1278 * IFERROR(VLOOKUP(J1278, SETUP!$A:$D, 3, FALSE), 0))</f>
        <v/>
      </c>
      <c r="F1278" s="11" t="str">
        <f>IF(J1278="","", C1278 * IFERROR(VLOOKUP(J1278, SETUP!$A:$D, 4, FALSE), 0))</f>
        <v/>
      </c>
      <c r="G1278" s="11" t="str">
        <f t="shared" si="1"/>
        <v/>
      </c>
      <c r="H1278" s="22"/>
      <c r="I1278" s="11"/>
      <c r="J1278" s="17" t="str">
        <f>IF(TRIM(B1278)="","",IF(ISNUMBER(SEARCH(" - ",B1278)),TRIM(RIGHT(B1278,LEN(B1278)-FIND(" - ",B1278)-2)),IFERROR(VLOOKUP(UPPER(TRIM(B1278)), SETUP!$B$4:$C$11, 2, FALSE), UPPER(TRIM(B1278)))))</f>
        <v/>
      </c>
      <c r="K1278" s="23" t="str">
        <f t="shared" si="2"/>
        <v/>
      </c>
      <c r="L1278" s="17" t="str">
        <f t="shared" si="3"/>
        <v/>
      </c>
      <c r="M1278" s="17" t="str">
        <f t="shared" si="4"/>
        <v/>
      </c>
    </row>
    <row r="1279" ht="15.75" customHeight="1">
      <c r="A1279" s="12"/>
      <c r="B1279" s="11"/>
      <c r="C1279" s="11"/>
      <c r="D1279" s="11"/>
      <c r="E1279" s="11" t="str">
        <f>IF(J1279="","", C1279 * IFERROR(VLOOKUP(J1279, SETUP!$A:$D, 3, FALSE), 0))</f>
        <v/>
      </c>
      <c r="F1279" s="11" t="str">
        <f>IF(J1279="","", C1279 * IFERROR(VLOOKUP(J1279, SETUP!$A:$D, 4, FALSE), 0))</f>
        <v/>
      </c>
      <c r="G1279" s="11" t="str">
        <f t="shared" si="1"/>
        <v/>
      </c>
      <c r="H1279" s="22"/>
      <c r="I1279" s="11"/>
      <c r="J1279" s="17" t="str">
        <f>IF(TRIM(B1279)="","",IF(ISNUMBER(SEARCH(" - ",B1279)),TRIM(RIGHT(B1279,LEN(B1279)-FIND(" - ",B1279)-2)),IFERROR(VLOOKUP(UPPER(TRIM(B1279)), SETUP!$B$4:$C$11, 2, FALSE), UPPER(TRIM(B1279)))))</f>
        <v/>
      </c>
      <c r="K1279" s="23" t="str">
        <f t="shared" si="2"/>
        <v/>
      </c>
      <c r="L1279" s="17" t="str">
        <f t="shared" si="3"/>
        <v/>
      </c>
      <c r="M1279" s="17" t="str">
        <f t="shared" si="4"/>
        <v/>
      </c>
    </row>
    <row r="1280" ht="15.75" customHeight="1">
      <c r="A1280" s="12"/>
      <c r="B1280" s="11"/>
      <c r="C1280" s="11"/>
      <c r="D1280" s="11"/>
      <c r="E1280" s="11" t="str">
        <f>IF(J1280="","", C1280 * IFERROR(VLOOKUP(J1280, SETUP!$A:$D, 3, FALSE), 0))</f>
        <v/>
      </c>
      <c r="F1280" s="11" t="str">
        <f>IF(J1280="","", C1280 * IFERROR(VLOOKUP(J1280, SETUP!$A:$D, 4, FALSE), 0))</f>
        <v/>
      </c>
      <c r="G1280" s="11" t="str">
        <f t="shared" si="1"/>
        <v/>
      </c>
      <c r="H1280" s="22"/>
      <c r="I1280" s="11"/>
      <c r="J1280" s="17" t="str">
        <f>IF(TRIM(B1280)="","",IF(ISNUMBER(SEARCH(" - ",B1280)),TRIM(RIGHT(B1280,LEN(B1280)-FIND(" - ",B1280)-2)),IFERROR(VLOOKUP(UPPER(TRIM(B1280)), SETUP!$B$4:$C$11, 2, FALSE), UPPER(TRIM(B1280)))))</f>
        <v/>
      </c>
      <c r="K1280" s="23" t="str">
        <f t="shared" si="2"/>
        <v/>
      </c>
      <c r="L1280" s="17" t="str">
        <f t="shared" si="3"/>
        <v/>
      </c>
      <c r="M1280" s="17" t="str">
        <f t="shared" si="4"/>
        <v/>
      </c>
    </row>
    <row r="1281" ht="15.75" customHeight="1">
      <c r="A1281" s="12"/>
      <c r="B1281" s="11"/>
      <c r="C1281" s="11"/>
      <c r="D1281" s="11"/>
      <c r="E1281" s="11" t="str">
        <f>IF(J1281="","", C1281 * IFERROR(VLOOKUP(J1281, SETUP!$A:$D, 3, FALSE), 0))</f>
        <v/>
      </c>
      <c r="F1281" s="11" t="str">
        <f>IF(J1281="","", C1281 * IFERROR(VLOOKUP(J1281, SETUP!$A:$D, 4, FALSE), 0))</f>
        <v/>
      </c>
      <c r="G1281" s="11" t="str">
        <f t="shared" si="1"/>
        <v/>
      </c>
      <c r="H1281" s="22"/>
      <c r="I1281" s="11"/>
      <c r="J1281" s="17" t="str">
        <f>IF(TRIM(B1281)="","",IF(ISNUMBER(SEARCH(" - ",B1281)),TRIM(RIGHT(B1281,LEN(B1281)-FIND(" - ",B1281)-2)),IFERROR(VLOOKUP(UPPER(TRIM(B1281)), SETUP!$B$4:$C$11, 2, FALSE), UPPER(TRIM(B1281)))))</f>
        <v/>
      </c>
      <c r="K1281" s="23" t="str">
        <f t="shared" si="2"/>
        <v/>
      </c>
      <c r="L1281" s="17" t="str">
        <f t="shared" si="3"/>
        <v/>
      </c>
      <c r="M1281" s="17" t="str">
        <f t="shared" si="4"/>
        <v/>
      </c>
    </row>
    <row r="1282" ht="15.75" customHeight="1">
      <c r="A1282" s="12"/>
      <c r="B1282" s="11"/>
      <c r="C1282" s="11"/>
      <c r="D1282" s="11"/>
      <c r="E1282" s="11" t="str">
        <f>IF(J1282="","", C1282 * IFERROR(VLOOKUP(J1282, SETUP!$A:$D, 3, FALSE), 0))</f>
        <v/>
      </c>
      <c r="F1282" s="11" t="str">
        <f>IF(J1282="","", C1282 * IFERROR(VLOOKUP(J1282, SETUP!$A:$D, 4, FALSE), 0))</f>
        <v/>
      </c>
      <c r="G1282" s="11" t="str">
        <f t="shared" si="1"/>
        <v/>
      </c>
      <c r="H1282" s="22"/>
      <c r="I1282" s="11"/>
      <c r="J1282" s="17" t="str">
        <f>IF(TRIM(B1282)="","",IF(ISNUMBER(SEARCH(" - ",B1282)),TRIM(RIGHT(B1282,LEN(B1282)-FIND(" - ",B1282)-2)),IFERROR(VLOOKUP(UPPER(TRIM(B1282)), SETUP!$B$4:$C$11, 2, FALSE), UPPER(TRIM(B1282)))))</f>
        <v/>
      </c>
      <c r="K1282" s="23" t="str">
        <f t="shared" si="2"/>
        <v/>
      </c>
      <c r="L1282" s="17" t="str">
        <f t="shared" si="3"/>
        <v/>
      </c>
      <c r="M1282" s="17" t="str">
        <f t="shared" si="4"/>
        <v/>
      </c>
    </row>
    <row r="1283" ht="15.75" customHeight="1">
      <c r="A1283" s="12"/>
      <c r="B1283" s="11"/>
      <c r="C1283" s="11"/>
      <c r="D1283" s="11"/>
      <c r="E1283" s="11" t="str">
        <f>IF(J1283="","", C1283 * IFERROR(VLOOKUP(J1283, SETUP!$A:$D, 3, FALSE), 0))</f>
        <v/>
      </c>
      <c r="F1283" s="11" t="str">
        <f>IF(J1283="","", C1283 * IFERROR(VLOOKUP(J1283, SETUP!$A:$D, 4, FALSE), 0))</f>
        <v/>
      </c>
      <c r="G1283" s="11" t="str">
        <f t="shared" si="1"/>
        <v/>
      </c>
      <c r="H1283" s="22"/>
      <c r="I1283" s="11"/>
      <c r="J1283" s="17" t="str">
        <f>IF(TRIM(B1283)="","",IF(ISNUMBER(SEARCH(" - ",B1283)),TRIM(RIGHT(B1283,LEN(B1283)-FIND(" - ",B1283)-2)),IFERROR(VLOOKUP(UPPER(TRIM(B1283)), SETUP!$B$4:$C$11, 2, FALSE), UPPER(TRIM(B1283)))))</f>
        <v/>
      </c>
      <c r="K1283" s="23" t="str">
        <f t="shared" si="2"/>
        <v/>
      </c>
      <c r="L1283" s="17" t="str">
        <f t="shared" si="3"/>
        <v/>
      </c>
      <c r="M1283" s="17" t="str">
        <f t="shared" si="4"/>
        <v/>
      </c>
    </row>
    <row r="1284" ht="15.75" customHeight="1">
      <c r="A1284" s="12"/>
      <c r="B1284" s="11"/>
      <c r="C1284" s="11"/>
      <c r="D1284" s="11"/>
      <c r="E1284" s="11" t="str">
        <f>IF(J1284="","", C1284 * IFERROR(VLOOKUP(J1284, SETUP!$A:$D, 3, FALSE), 0))</f>
        <v/>
      </c>
      <c r="F1284" s="11" t="str">
        <f>IF(J1284="","", C1284 * IFERROR(VLOOKUP(J1284, SETUP!$A:$D, 4, FALSE), 0))</f>
        <v/>
      </c>
      <c r="G1284" s="11" t="str">
        <f t="shared" si="1"/>
        <v/>
      </c>
      <c r="H1284" s="22"/>
      <c r="I1284" s="11"/>
      <c r="J1284" s="17" t="str">
        <f>IF(TRIM(B1284)="","",IF(ISNUMBER(SEARCH(" - ",B1284)),TRIM(RIGHT(B1284,LEN(B1284)-FIND(" - ",B1284)-2)),IFERROR(VLOOKUP(UPPER(TRIM(B1284)), SETUP!$B$4:$C$11, 2, FALSE), UPPER(TRIM(B1284)))))</f>
        <v/>
      </c>
      <c r="K1284" s="23" t="str">
        <f t="shared" si="2"/>
        <v/>
      </c>
      <c r="L1284" s="17" t="str">
        <f t="shared" si="3"/>
        <v/>
      </c>
      <c r="M1284" s="17" t="str">
        <f t="shared" si="4"/>
        <v/>
      </c>
    </row>
    <row r="1285" ht="15.75" customHeight="1">
      <c r="A1285" s="12"/>
      <c r="B1285" s="11"/>
      <c r="C1285" s="11"/>
      <c r="D1285" s="11"/>
      <c r="E1285" s="11" t="str">
        <f>IF(J1285="","", C1285 * IFERROR(VLOOKUP(J1285, SETUP!$A:$D, 3, FALSE), 0))</f>
        <v/>
      </c>
      <c r="F1285" s="11" t="str">
        <f>IF(J1285="","", C1285 * IFERROR(VLOOKUP(J1285, SETUP!$A:$D, 4, FALSE), 0))</f>
        <v/>
      </c>
      <c r="G1285" s="11" t="str">
        <f t="shared" si="1"/>
        <v/>
      </c>
      <c r="H1285" s="22"/>
      <c r="I1285" s="11"/>
      <c r="J1285" s="17" t="str">
        <f>IF(TRIM(B1285)="","",IF(ISNUMBER(SEARCH(" - ",B1285)),TRIM(RIGHT(B1285,LEN(B1285)-FIND(" - ",B1285)-2)),IFERROR(VLOOKUP(UPPER(TRIM(B1285)), SETUP!$B$4:$C$11, 2, FALSE), UPPER(TRIM(B1285)))))</f>
        <v/>
      </c>
      <c r="K1285" s="23" t="str">
        <f t="shared" si="2"/>
        <v/>
      </c>
      <c r="L1285" s="17" t="str">
        <f t="shared" si="3"/>
        <v/>
      </c>
      <c r="M1285" s="17" t="str">
        <f t="shared" si="4"/>
        <v/>
      </c>
    </row>
    <row r="1286" ht="15.75" customHeight="1">
      <c r="A1286" s="12"/>
      <c r="B1286" s="11"/>
      <c r="C1286" s="11"/>
      <c r="D1286" s="11"/>
      <c r="E1286" s="11" t="str">
        <f>IF(J1286="","", C1286 * IFERROR(VLOOKUP(J1286, SETUP!$A:$D, 3, FALSE), 0))</f>
        <v/>
      </c>
      <c r="F1286" s="11" t="str">
        <f>IF(J1286="","", C1286 * IFERROR(VLOOKUP(J1286, SETUP!$A:$D, 4, FALSE), 0))</f>
        <v/>
      </c>
      <c r="G1286" s="11" t="str">
        <f t="shared" si="1"/>
        <v/>
      </c>
      <c r="H1286" s="22"/>
      <c r="I1286" s="11"/>
      <c r="J1286" s="17" t="str">
        <f>IF(TRIM(B1286)="","",IF(ISNUMBER(SEARCH(" - ",B1286)),TRIM(RIGHT(B1286,LEN(B1286)-FIND(" - ",B1286)-2)),IFERROR(VLOOKUP(UPPER(TRIM(B1286)), SETUP!$B$4:$C$11, 2, FALSE), UPPER(TRIM(B1286)))))</f>
        <v/>
      </c>
      <c r="K1286" s="23" t="str">
        <f t="shared" si="2"/>
        <v/>
      </c>
      <c r="L1286" s="17" t="str">
        <f t="shared" si="3"/>
        <v/>
      </c>
      <c r="M1286" s="17" t="str">
        <f t="shared" si="4"/>
        <v/>
      </c>
    </row>
    <row r="1287" ht="15.75" customHeight="1">
      <c r="A1287" s="12"/>
      <c r="B1287" s="11"/>
      <c r="C1287" s="11"/>
      <c r="D1287" s="11"/>
      <c r="E1287" s="11" t="str">
        <f>IF(J1287="","", C1287 * IFERROR(VLOOKUP(J1287, SETUP!$A:$D, 3, FALSE), 0))</f>
        <v/>
      </c>
      <c r="F1287" s="11" t="str">
        <f>IF(J1287="","", C1287 * IFERROR(VLOOKUP(J1287, SETUP!$A:$D, 4, FALSE), 0))</f>
        <v/>
      </c>
      <c r="G1287" s="11" t="str">
        <f t="shared" si="1"/>
        <v/>
      </c>
      <c r="H1287" s="22"/>
      <c r="I1287" s="11"/>
      <c r="J1287" s="17" t="str">
        <f>IF(TRIM(B1287)="","",IF(ISNUMBER(SEARCH(" - ",B1287)),TRIM(RIGHT(B1287,LEN(B1287)-FIND(" - ",B1287)-2)),IFERROR(VLOOKUP(UPPER(TRIM(B1287)), SETUP!$B$4:$C$11, 2, FALSE), UPPER(TRIM(B1287)))))</f>
        <v/>
      </c>
      <c r="K1287" s="23" t="str">
        <f t="shared" si="2"/>
        <v/>
      </c>
      <c r="L1287" s="17" t="str">
        <f t="shared" si="3"/>
        <v/>
      </c>
      <c r="M1287" s="17" t="str">
        <f t="shared" si="4"/>
        <v/>
      </c>
    </row>
    <row r="1288" ht="15.75" customHeight="1">
      <c r="A1288" s="12"/>
      <c r="B1288" s="11"/>
      <c r="C1288" s="11"/>
      <c r="D1288" s="11"/>
      <c r="E1288" s="11" t="str">
        <f>IF(J1288="","", C1288 * IFERROR(VLOOKUP(J1288, SETUP!$A:$D, 3, FALSE), 0))</f>
        <v/>
      </c>
      <c r="F1288" s="11" t="str">
        <f>IF(J1288="","", C1288 * IFERROR(VLOOKUP(J1288, SETUP!$A:$D, 4, FALSE), 0))</f>
        <v/>
      </c>
      <c r="G1288" s="11" t="str">
        <f t="shared" si="1"/>
        <v/>
      </c>
      <c r="H1288" s="22"/>
      <c r="I1288" s="11"/>
      <c r="J1288" s="17" t="str">
        <f>IF(TRIM(B1288)="","",IF(ISNUMBER(SEARCH(" - ",B1288)),TRIM(RIGHT(B1288,LEN(B1288)-FIND(" - ",B1288)-2)),IFERROR(VLOOKUP(UPPER(TRIM(B1288)), SETUP!$B$4:$C$11, 2, FALSE), UPPER(TRIM(B1288)))))</f>
        <v/>
      </c>
      <c r="K1288" s="23" t="str">
        <f t="shared" si="2"/>
        <v/>
      </c>
      <c r="L1288" s="17" t="str">
        <f t="shared" si="3"/>
        <v/>
      </c>
      <c r="M1288" s="17" t="str">
        <f t="shared" si="4"/>
        <v/>
      </c>
    </row>
    <row r="1289" ht="15.75" customHeight="1">
      <c r="A1289" s="12"/>
      <c r="B1289" s="11"/>
      <c r="C1289" s="11"/>
      <c r="D1289" s="11"/>
      <c r="E1289" s="11" t="str">
        <f>IF(J1289="","", C1289 * IFERROR(VLOOKUP(J1289, SETUP!$A:$D, 3, FALSE), 0))</f>
        <v/>
      </c>
      <c r="F1289" s="11" t="str">
        <f>IF(J1289="","", C1289 * IFERROR(VLOOKUP(J1289, SETUP!$A:$D, 4, FALSE), 0))</f>
        <v/>
      </c>
      <c r="G1289" s="11" t="str">
        <f t="shared" si="1"/>
        <v/>
      </c>
      <c r="H1289" s="22"/>
      <c r="I1289" s="11"/>
      <c r="J1289" s="17" t="str">
        <f>IF(TRIM(B1289)="","",IF(ISNUMBER(SEARCH(" - ",B1289)),TRIM(RIGHT(B1289,LEN(B1289)-FIND(" - ",B1289)-2)),IFERROR(VLOOKUP(UPPER(TRIM(B1289)), SETUP!$B$4:$C$11, 2, FALSE), UPPER(TRIM(B1289)))))</f>
        <v/>
      </c>
      <c r="K1289" s="23" t="str">
        <f t="shared" si="2"/>
        <v/>
      </c>
      <c r="L1289" s="17" t="str">
        <f t="shared" si="3"/>
        <v/>
      </c>
      <c r="M1289" s="17" t="str">
        <f t="shared" si="4"/>
        <v/>
      </c>
    </row>
    <row r="1290" ht="15.75" customHeight="1">
      <c r="A1290" s="12"/>
      <c r="B1290" s="11"/>
      <c r="C1290" s="11"/>
      <c r="D1290" s="11"/>
      <c r="E1290" s="11" t="str">
        <f>IF(J1290="","", C1290 * IFERROR(VLOOKUP(J1290, SETUP!$A:$D, 3, FALSE), 0))</f>
        <v/>
      </c>
      <c r="F1290" s="11" t="str">
        <f>IF(J1290="","", C1290 * IFERROR(VLOOKUP(J1290, SETUP!$A:$D, 4, FALSE), 0))</f>
        <v/>
      </c>
      <c r="G1290" s="11" t="str">
        <f t="shared" si="1"/>
        <v/>
      </c>
      <c r="H1290" s="22"/>
      <c r="I1290" s="11"/>
      <c r="J1290" s="17" t="str">
        <f>IF(TRIM(B1290)="","",IF(ISNUMBER(SEARCH(" - ",B1290)),TRIM(RIGHT(B1290,LEN(B1290)-FIND(" - ",B1290)-2)),IFERROR(VLOOKUP(UPPER(TRIM(B1290)), SETUP!$B$4:$C$11, 2, FALSE), UPPER(TRIM(B1290)))))</f>
        <v/>
      </c>
      <c r="K1290" s="23" t="str">
        <f t="shared" si="2"/>
        <v/>
      </c>
      <c r="L1290" s="17" t="str">
        <f t="shared" si="3"/>
        <v/>
      </c>
      <c r="M1290" s="17" t="str">
        <f t="shared" si="4"/>
        <v/>
      </c>
    </row>
    <row r="1291" ht="15.75" customHeight="1">
      <c r="A1291" s="12"/>
      <c r="B1291" s="11"/>
      <c r="C1291" s="11"/>
      <c r="D1291" s="11"/>
      <c r="E1291" s="11" t="str">
        <f>IF(J1291="","", C1291 * IFERROR(VLOOKUP(J1291, SETUP!$A:$D, 3, FALSE), 0))</f>
        <v/>
      </c>
      <c r="F1291" s="11" t="str">
        <f>IF(J1291="","", C1291 * IFERROR(VLOOKUP(J1291, SETUP!$A:$D, 4, FALSE), 0))</f>
        <v/>
      </c>
      <c r="G1291" s="11" t="str">
        <f t="shared" si="1"/>
        <v/>
      </c>
      <c r="H1291" s="22"/>
      <c r="I1291" s="11"/>
      <c r="J1291" s="17" t="str">
        <f>IF(TRIM(B1291)="","",IF(ISNUMBER(SEARCH(" - ",B1291)),TRIM(RIGHT(B1291,LEN(B1291)-FIND(" - ",B1291)-2)),IFERROR(VLOOKUP(UPPER(TRIM(B1291)), SETUP!$B$4:$C$11, 2, FALSE), UPPER(TRIM(B1291)))))</f>
        <v/>
      </c>
      <c r="K1291" s="23" t="str">
        <f t="shared" si="2"/>
        <v/>
      </c>
      <c r="L1291" s="17" t="str">
        <f t="shared" si="3"/>
        <v/>
      </c>
      <c r="M1291" s="17" t="str">
        <f t="shared" si="4"/>
        <v/>
      </c>
    </row>
    <row r="1292" ht="15.75" customHeight="1">
      <c r="A1292" s="12"/>
      <c r="B1292" s="11"/>
      <c r="C1292" s="11"/>
      <c r="D1292" s="11"/>
      <c r="E1292" s="11" t="str">
        <f>IF(J1292="","", C1292 * IFERROR(VLOOKUP(J1292, SETUP!$A:$D, 3, FALSE), 0))</f>
        <v/>
      </c>
      <c r="F1292" s="11" t="str">
        <f>IF(J1292="","", C1292 * IFERROR(VLOOKUP(J1292, SETUP!$A:$D, 4, FALSE), 0))</f>
        <v/>
      </c>
      <c r="G1292" s="11" t="str">
        <f t="shared" si="1"/>
        <v/>
      </c>
      <c r="H1292" s="22"/>
      <c r="I1292" s="11"/>
      <c r="J1292" s="17" t="str">
        <f>IF(TRIM(B1292)="","",IF(ISNUMBER(SEARCH(" - ",B1292)),TRIM(RIGHT(B1292,LEN(B1292)-FIND(" - ",B1292)-2)),IFERROR(VLOOKUP(UPPER(TRIM(B1292)), SETUP!$B$4:$C$11, 2, FALSE), UPPER(TRIM(B1292)))))</f>
        <v/>
      </c>
      <c r="K1292" s="23" t="str">
        <f t="shared" si="2"/>
        <v/>
      </c>
      <c r="L1292" s="17" t="str">
        <f t="shared" si="3"/>
        <v/>
      </c>
      <c r="M1292" s="17" t="str">
        <f t="shared" si="4"/>
        <v/>
      </c>
    </row>
    <row r="1293" ht="15.75" customHeight="1">
      <c r="A1293" s="12"/>
      <c r="B1293" s="11"/>
      <c r="C1293" s="11"/>
      <c r="D1293" s="11"/>
      <c r="E1293" s="11" t="str">
        <f>IF(J1293="","", C1293 * IFERROR(VLOOKUP(J1293, SETUP!$A:$D, 3, FALSE), 0))</f>
        <v/>
      </c>
      <c r="F1293" s="11" t="str">
        <f>IF(J1293="","", C1293 * IFERROR(VLOOKUP(J1293, SETUP!$A:$D, 4, FALSE), 0))</f>
        <v/>
      </c>
      <c r="G1293" s="11" t="str">
        <f t="shared" si="1"/>
        <v/>
      </c>
      <c r="H1293" s="22"/>
      <c r="I1293" s="11"/>
      <c r="J1293" s="17" t="str">
        <f>IF(TRIM(B1293)="","",IF(ISNUMBER(SEARCH(" - ",B1293)),TRIM(RIGHT(B1293,LEN(B1293)-FIND(" - ",B1293)-2)),IFERROR(VLOOKUP(UPPER(TRIM(B1293)), SETUP!$B$4:$C$11, 2, FALSE), UPPER(TRIM(B1293)))))</f>
        <v/>
      </c>
      <c r="K1293" s="23" t="str">
        <f t="shared" si="2"/>
        <v/>
      </c>
      <c r="L1293" s="17" t="str">
        <f t="shared" si="3"/>
        <v/>
      </c>
      <c r="M1293" s="17" t="str">
        <f t="shared" si="4"/>
        <v/>
      </c>
    </row>
    <row r="1294" ht="15.75" customHeight="1">
      <c r="A1294" s="12"/>
      <c r="B1294" s="11"/>
      <c r="C1294" s="11"/>
      <c r="D1294" s="11"/>
      <c r="E1294" s="11" t="str">
        <f>IF(J1294="","", C1294 * IFERROR(VLOOKUP(J1294, SETUP!$A:$D, 3, FALSE), 0))</f>
        <v/>
      </c>
      <c r="F1294" s="11" t="str">
        <f>IF(J1294="","", C1294 * IFERROR(VLOOKUP(J1294, SETUP!$A:$D, 4, FALSE), 0))</f>
        <v/>
      </c>
      <c r="G1294" s="11" t="str">
        <f t="shared" si="1"/>
        <v/>
      </c>
      <c r="H1294" s="22"/>
      <c r="I1294" s="11"/>
      <c r="J1294" s="17" t="str">
        <f>IF(TRIM(B1294)="","",IF(ISNUMBER(SEARCH(" - ",B1294)),TRIM(RIGHT(B1294,LEN(B1294)-FIND(" - ",B1294)-2)),IFERROR(VLOOKUP(UPPER(TRIM(B1294)), SETUP!$B$4:$C$11, 2, FALSE), UPPER(TRIM(B1294)))))</f>
        <v/>
      </c>
      <c r="K1294" s="23" t="str">
        <f t="shared" si="2"/>
        <v/>
      </c>
      <c r="L1294" s="17" t="str">
        <f t="shared" si="3"/>
        <v/>
      </c>
      <c r="M1294" s="17" t="str">
        <f t="shared" si="4"/>
        <v/>
      </c>
    </row>
    <row r="1295" ht="15.75" customHeight="1">
      <c r="A1295" s="12"/>
      <c r="B1295" s="11"/>
      <c r="C1295" s="11"/>
      <c r="D1295" s="11"/>
      <c r="E1295" s="11" t="str">
        <f>IF(J1295="","", C1295 * IFERROR(VLOOKUP(J1295, SETUP!$A:$D, 3, FALSE), 0))</f>
        <v/>
      </c>
      <c r="F1295" s="11" t="str">
        <f>IF(J1295="","", C1295 * IFERROR(VLOOKUP(J1295, SETUP!$A:$D, 4, FALSE), 0))</f>
        <v/>
      </c>
      <c r="G1295" s="11" t="str">
        <f t="shared" si="1"/>
        <v/>
      </c>
      <c r="H1295" s="22"/>
      <c r="I1295" s="11"/>
      <c r="J1295" s="17" t="str">
        <f>IF(TRIM(B1295)="","",IF(ISNUMBER(SEARCH(" - ",B1295)),TRIM(RIGHT(B1295,LEN(B1295)-FIND(" - ",B1295)-2)),IFERROR(VLOOKUP(UPPER(TRIM(B1295)), SETUP!$B$4:$C$11, 2, FALSE), UPPER(TRIM(B1295)))))</f>
        <v/>
      </c>
      <c r="K1295" s="23" t="str">
        <f t="shared" si="2"/>
        <v/>
      </c>
      <c r="L1295" s="17" t="str">
        <f t="shared" si="3"/>
        <v/>
      </c>
      <c r="M1295" s="17" t="str">
        <f t="shared" si="4"/>
        <v/>
      </c>
    </row>
    <row r="1296" ht="15.75" customHeight="1">
      <c r="A1296" s="12"/>
      <c r="B1296" s="11"/>
      <c r="C1296" s="11"/>
      <c r="D1296" s="11"/>
      <c r="E1296" s="11" t="str">
        <f>IF(J1296="","", C1296 * IFERROR(VLOOKUP(J1296, SETUP!$A:$D, 3, FALSE), 0))</f>
        <v/>
      </c>
      <c r="F1296" s="11" t="str">
        <f>IF(J1296="","", C1296 * IFERROR(VLOOKUP(J1296, SETUP!$A:$D, 4, FALSE), 0))</f>
        <v/>
      </c>
      <c r="G1296" s="11" t="str">
        <f t="shared" si="1"/>
        <v/>
      </c>
      <c r="H1296" s="22"/>
      <c r="I1296" s="11"/>
      <c r="J1296" s="17" t="str">
        <f>IF(TRIM(B1296)="","",IF(ISNUMBER(SEARCH(" - ",B1296)),TRIM(RIGHT(B1296,LEN(B1296)-FIND(" - ",B1296)-2)),IFERROR(VLOOKUP(UPPER(TRIM(B1296)), SETUP!$B$4:$C$11, 2, FALSE), UPPER(TRIM(B1296)))))</f>
        <v/>
      </c>
      <c r="K1296" s="23" t="str">
        <f t="shared" si="2"/>
        <v/>
      </c>
      <c r="L1296" s="17" t="str">
        <f t="shared" si="3"/>
        <v/>
      </c>
      <c r="M1296" s="17" t="str">
        <f t="shared" si="4"/>
        <v/>
      </c>
    </row>
    <row r="1297" ht="15.75" customHeight="1">
      <c r="A1297" s="12"/>
      <c r="B1297" s="11"/>
      <c r="C1297" s="11"/>
      <c r="D1297" s="11"/>
      <c r="E1297" s="11" t="str">
        <f>IF(J1297="","", C1297 * IFERROR(VLOOKUP(J1297, SETUP!$A:$D, 3, FALSE), 0))</f>
        <v/>
      </c>
      <c r="F1297" s="11" t="str">
        <f>IF(J1297="","", C1297 * IFERROR(VLOOKUP(J1297, SETUP!$A:$D, 4, FALSE), 0))</f>
        <v/>
      </c>
      <c r="G1297" s="11" t="str">
        <f t="shared" si="1"/>
        <v/>
      </c>
      <c r="H1297" s="22"/>
      <c r="I1297" s="11"/>
      <c r="J1297" s="17" t="str">
        <f>IF(TRIM(B1297)="","",IF(ISNUMBER(SEARCH(" - ",B1297)),TRIM(RIGHT(B1297,LEN(B1297)-FIND(" - ",B1297)-2)),IFERROR(VLOOKUP(UPPER(TRIM(B1297)), SETUP!$B$4:$C$11, 2, FALSE), UPPER(TRIM(B1297)))))</f>
        <v/>
      </c>
      <c r="K1297" s="23" t="str">
        <f t="shared" si="2"/>
        <v/>
      </c>
      <c r="L1297" s="17" t="str">
        <f t="shared" si="3"/>
        <v/>
      </c>
      <c r="M1297" s="17" t="str">
        <f t="shared" si="4"/>
        <v/>
      </c>
    </row>
    <row r="1298" ht="15.75" customHeight="1">
      <c r="A1298" s="12"/>
      <c r="B1298" s="11"/>
      <c r="C1298" s="11"/>
      <c r="D1298" s="11"/>
      <c r="E1298" s="11" t="str">
        <f>IF(J1298="","", C1298 * IFERROR(VLOOKUP(J1298, SETUP!$A:$D, 3, FALSE), 0))</f>
        <v/>
      </c>
      <c r="F1298" s="11" t="str">
        <f>IF(J1298="","", C1298 * IFERROR(VLOOKUP(J1298, SETUP!$A:$D, 4, FALSE), 0))</f>
        <v/>
      </c>
      <c r="G1298" s="11" t="str">
        <f t="shared" si="1"/>
        <v/>
      </c>
      <c r="H1298" s="22"/>
      <c r="I1298" s="11"/>
      <c r="J1298" s="17" t="str">
        <f>IF(TRIM(B1298)="","",IF(ISNUMBER(SEARCH(" - ",B1298)),TRIM(RIGHT(B1298,LEN(B1298)-FIND(" - ",B1298)-2)),IFERROR(VLOOKUP(UPPER(TRIM(B1298)), SETUP!$B$4:$C$11, 2, FALSE), UPPER(TRIM(B1298)))))</f>
        <v/>
      </c>
      <c r="K1298" s="23" t="str">
        <f t="shared" si="2"/>
        <v/>
      </c>
      <c r="L1298" s="17" t="str">
        <f t="shared" si="3"/>
        <v/>
      </c>
      <c r="M1298" s="17" t="str">
        <f t="shared" si="4"/>
        <v/>
      </c>
    </row>
    <row r="1299" ht="15.75" customHeight="1">
      <c r="A1299" s="12"/>
      <c r="B1299" s="11"/>
      <c r="C1299" s="11"/>
      <c r="D1299" s="11"/>
      <c r="E1299" s="11" t="str">
        <f>IF(J1299="","", C1299 * IFERROR(VLOOKUP(J1299, SETUP!$A:$D, 3, FALSE), 0))</f>
        <v/>
      </c>
      <c r="F1299" s="11" t="str">
        <f>IF(J1299="","", C1299 * IFERROR(VLOOKUP(J1299, SETUP!$A:$D, 4, FALSE), 0))</f>
        <v/>
      </c>
      <c r="G1299" s="11" t="str">
        <f t="shared" si="1"/>
        <v/>
      </c>
      <c r="H1299" s="22"/>
      <c r="I1299" s="11"/>
      <c r="J1299" s="17" t="str">
        <f>IF(TRIM(B1299)="","",IF(ISNUMBER(SEARCH(" - ",B1299)),TRIM(RIGHT(B1299,LEN(B1299)-FIND(" - ",B1299)-2)),IFERROR(VLOOKUP(UPPER(TRIM(B1299)), SETUP!$B$4:$C$11, 2, FALSE), UPPER(TRIM(B1299)))))</f>
        <v/>
      </c>
      <c r="K1299" s="23" t="str">
        <f t="shared" si="2"/>
        <v/>
      </c>
      <c r="L1299" s="17" t="str">
        <f t="shared" si="3"/>
        <v/>
      </c>
      <c r="M1299" s="17" t="str">
        <f t="shared" si="4"/>
        <v/>
      </c>
    </row>
    <row r="1300" ht="15.75" customHeight="1">
      <c r="A1300" s="12"/>
      <c r="B1300" s="11"/>
      <c r="C1300" s="11"/>
      <c r="D1300" s="11"/>
      <c r="E1300" s="11" t="str">
        <f>IF(J1300="","", C1300 * IFERROR(VLOOKUP(J1300, SETUP!$A:$D, 3, FALSE), 0))</f>
        <v/>
      </c>
      <c r="F1300" s="11" t="str">
        <f>IF(J1300="","", C1300 * IFERROR(VLOOKUP(J1300, SETUP!$A:$D, 4, FALSE), 0))</f>
        <v/>
      </c>
      <c r="G1300" s="11" t="str">
        <f t="shared" si="1"/>
        <v/>
      </c>
      <c r="H1300" s="22"/>
      <c r="I1300" s="11"/>
      <c r="J1300" s="17" t="str">
        <f>IF(TRIM(B1300)="","",IF(ISNUMBER(SEARCH(" - ",B1300)),TRIM(RIGHT(B1300,LEN(B1300)-FIND(" - ",B1300)-2)),IFERROR(VLOOKUP(UPPER(TRIM(B1300)), SETUP!$B$4:$C$11, 2, FALSE), UPPER(TRIM(B1300)))))</f>
        <v/>
      </c>
      <c r="K1300" s="23" t="str">
        <f t="shared" si="2"/>
        <v/>
      </c>
      <c r="L1300" s="17" t="str">
        <f t="shared" si="3"/>
        <v/>
      </c>
      <c r="M1300" s="17" t="str">
        <f t="shared" si="4"/>
        <v/>
      </c>
    </row>
    <row r="1301" ht="15.75" customHeight="1">
      <c r="A1301" s="12"/>
      <c r="B1301" s="11"/>
      <c r="C1301" s="11"/>
      <c r="D1301" s="11"/>
      <c r="E1301" s="11" t="str">
        <f>IF(J1301="","", C1301 * IFERROR(VLOOKUP(J1301, SETUP!$A:$D, 3, FALSE), 0))</f>
        <v/>
      </c>
      <c r="F1301" s="11" t="str">
        <f>IF(J1301="","", C1301 * IFERROR(VLOOKUP(J1301, SETUP!$A:$D, 4, FALSE), 0))</f>
        <v/>
      </c>
      <c r="G1301" s="11" t="str">
        <f t="shared" si="1"/>
        <v/>
      </c>
      <c r="H1301" s="22"/>
      <c r="I1301" s="11"/>
      <c r="J1301" s="17" t="str">
        <f>IF(TRIM(B1301)="","",IF(ISNUMBER(SEARCH(" - ",B1301)),TRIM(RIGHT(B1301,LEN(B1301)-FIND(" - ",B1301)-2)),IFERROR(VLOOKUP(UPPER(TRIM(B1301)), SETUP!$B$4:$C$11, 2, FALSE), UPPER(TRIM(B1301)))))</f>
        <v/>
      </c>
      <c r="K1301" s="23" t="str">
        <f t="shared" si="2"/>
        <v/>
      </c>
      <c r="L1301" s="17" t="str">
        <f t="shared" si="3"/>
        <v/>
      </c>
      <c r="M1301" s="17" t="str">
        <f t="shared" si="4"/>
        <v/>
      </c>
    </row>
    <row r="1302" ht="15.75" customHeight="1">
      <c r="A1302" s="12"/>
      <c r="B1302" s="11"/>
      <c r="C1302" s="11"/>
      <c r="D1302" s="11"/>
      <c r="E1302" s="11" t="str">
        <f>IF(J1302="","", C1302 * IFERROR(VLOOKUP(J1302, SETUP!$A:$D, 3, FALSE), 0))</f>
        <v/>
      </c>
      <c r="F1302" s="11" t="str">
        <f>IF(J1302="","", C1302 * IFERROR(VLOOKUP(J1302, SETUP!$A:$D, 4, FALSE), 0))</f>
        <v/>
      </c>
      <c r="G1302" s="11" t="str">
        <f t="shared" si="1"/>
        <v/>
      </c>
      <c r="H1302" s="22"/>
      <c r="I1302" s="11"/>
      <c r="J1302" s="17" t="str">
        <f>IF(TRIM(B1302)="","",IF(ISNUMBER(SEARCH(" - ",B1302)),TRIM(RIGHT(B1302,LEN(B1302)-FIND(" - ",B1302)-2)),IFERROR(VLOOKUP(UPPER(TRIM(B1302)), SETUP!$B$4:$C$11, 2, FALSE), UPPER(TRIM(B1302)))))</f>
        <v/>
      </c>
      <c r="K1302" s="23" t="str">
        <f t="shared" si="2"/>
        <v/>
      </c>
      <c r="L1302" s="17" t="str">
        <f t="shared" si="3"/>
        <v/>
      </c>
      <c r="M1302" s="17" t="str">
        <f t="shared" si="4"/>
        <v/>
      </c>
    </row>
    <row r="1303" ht="15.75" customHeight="1">
      <c r="A1303" s="12"/>
      <c r="B1303" s="11"/>
      <c r="C1303" s="11"/>
      <c r="D1303" s="11"/>
      <c r="E1303" s="11" t="str">
        <f>IF(J1303="","", C1303 * IFERROR(VLOOKUP(J1303, SETUP!$A:$D, 3, FALSE), 0))</f>
        <v/>
      </c>
      <c r="F1303" s="11" t="str">
        <f>IF(J1303="","", C1303 * IFERROR(VLOOKUP(J1303, SETUP!$A:$D, 4, FALSE), 0))</f>
        <v/>
      </c>
      <c r="G1303" s="11" t="str">
        <f t="shared" si="1"/>
        <v/>
      </c>
      <c r="H1303" s="22"/>
      <c r="I1303" s="11"/>
      <c r="J1303" s="17" t="str">
        <f>IF(TRIM(B1303)="","",IF(ISNUMBER(SEARCH(" - ",B1303)),TRIM(RIGHT(B1303,LEN(B1303)-FIND(" - ",B1303)-2)),IFERROR(VLOOKUP(UPPER(TRIM(B1303)), SETUP!$B$4:$C$11, 2, FALSE), UPPER(TRIM(B1303)))))</f>
        <v/>
      </c>
      <c r="K1303" s="23" t="str">
        <f t="shared" si="2"/>
        <v/>
      </c>
      <c r="L1303" s="17" t="str">
        <f t="shared" si="3"/>
        <v/>
      </c>
      <c r="M1303" s="17" t="str">
        <f t="shared" si="4"/>
        <v/>
      </c>
    </row>
    <row r="1304" ht="15.75" customHeight="1">
      <c r="A1304" s="12"/>
      <c r="B1304" s="11"/>
      <c r="C1304" s="11"/>
      <c r="D1304" s="11"/>
      <c r="E1304" s="11" t="str">
        <f>IF(J1304="","", C1304 * IFERROR(VLOOKUP(J1304, SETUP!$A:$D, 3, FALSE), 0))</f>
        <v/>
      </c>
      <c r="F1304" s="11" t="str">
        <f>IF(J1304="","", C1304 * IFERROR(VLOOKUP(J1304, SETUP!$A:$D, 4, FALSE), 0))</f>
        <v/>
      </c>
      <c r="G1304" s="11" t="str">
        <f t="shared" si="1"/>
        <v/>
      </c>
      <c r="H1304" s="22"/>
      <c r="I1304" s="11"/>
      <c r="J1304" s="17" t="str">
        <f>IF(TRIM(B1304)="","",IF(ISNUMBER(SEARCH(" - ",B1304)),TRIM(RIGHT(B1304,LEN(B1304)-FIND(" - ",B1304)-2)),IFERROR(VLOOKUP(UPPER(TRIM(B1304)), SETUP!$B$4:$C$11, 2, FALSE), UPPER(TRIM(B1304)))))</f>
        <v/>
      </c>
      <c r="K1304" s="23" t="str">
        <f t="shared" si="2"/>
        <v/>
      </c>
      <c r="L1304" s="17" t="str">
        <f t="shared" si="3"/>
        <v/>
      </c>
      <c r="M1304" s="17" t="str">
        <f t="shared" si="4"/>
        <v/>
      </c>
    </row>
    <row r="1305" ht="15.75" customHeight="1">
      <c r="A1305" s="12"/>
      <c r="B1305" s="11"/>
      <c r="C1305" s="11"/>
      <c r="D1305" s="11"/>
      <c r="E1305" s="11" t="str">
        <f>IF(J1305="","", C1305 * IFERROR(VLOOKUP(J1305, SETUP!$A:$D, 3, FALSE), 0))</f>
        <v/>
      </c>
      <c r="F1305" s="11" t="str">
        <f>IF(J1305="","", C1305 * IFERROR(VLOOKUP(J1305, SETUP!$A:$D, 4, FALSE), 0))</f>
        <v/>
      </c>
      <c r="G1305" s="11" t="str">
        <f t="shared" si="1"/>
        <v/>
      </c>
      <c r="H1305" s="22"/>
      <c r="I1305" s="11"/>
      <c r="J1305" s="17" t="str">
        <f>IF(TRIM(B1305)="","",IF(ISNUMBER(SEARCH(" - ",B1305)),TRIM(RIGHT(B1305,LEN(B1305)-FIND(" - ",B1305)-2)),IFERROR(VLOOKUP(UPPER(TRIM(B1305)), SETUP!$B$4:$C$11, 2, FALSE), UPPER(TRIM(B1305)))))</f>
        <v/>
      </c>
      <c r="K1305" s="23" t="str">
        <f t="shared" si="2"/>
        <v/>
      </c>
      <c r="L1305" s="17" t="str">
        <f t="shared" si="3"/>
        <v/>
      </c>
      <c r="M1305" s="17" t="str">
        <f t="shared" si="4"/>
        <v/>
      </c>
    </row>
    <row r="1306" ht="15.75" customHeight="1">
      <c r="A1306" s="12"/>
      <c r="B1306" s="11"/>
      <c r="C1306" s="11"/>
      <c r="D1306" s="11"/>
      <c r="E1306" s="11" t="str">
        <f>IF(J1306="","", C1306 * IFERROR(VLOOKUP(J1306, SETUP!$A:$D, 3, FALSE), 0))</f>
        <v/>
      </c>
      <c r="F1306" s="11" t="str">
        <f>IF(J1306="","", C1306 * IFERROR(VLOOKUP(J1306, SETUP!$A:$D, 4, FALSE), 0))</f>
        <v/>
      </c>
      <c r="G1306" s="11" t="str">
        <f t="shared" si="1"/>
        <v/>
      </c>
      <c r="H1306" s="22"/>
      <c r="I1306" s="11"/>
      <c r="J1306" s="17" t="str">
        <f>IF(TRIM(B1306)="","",IF(ISNUMBER(SEARCH(" - ",B1306)),TRIM(RIGHT(B1306,LEN(B1306)-FIND(" - ",B1306)-2)),IFERROR(VLOOKUP(UPPER(TRIM(B1306)), SETUP!$B$4:$C$11, 2, FALSE), UPPER(TRIM(B1306)))))</f>
        <v/>
      </c>
      <c r="K1306" s="23" t="str">
        <f t="shared" si="2"/>
        <v/>
      </c>
      <c r="L1306" s="17" t="str">
        <f t="shared" si="3"/>
        <v/>
      </c>
      <c r="M1306" s="17" t="str">
        <f t="shared" si="4"/>
        <v/>
      </c>
    </row>
    <row r="1307" ht="15.75" customHeight="1">
      <c r="A1307" s="12"/>
      <c r="B1307" s="11"/>
      <c r="C1307" s="11"/>
      <c r="D1307" s="11"/>
      <c r="E1307" s="11" t="str">
        <f>IF(J1307="","", C1307 * IFERROR(VLOOKUP(J1307, SETUP!$A:$D, 3, FALSE), 0))</f>
        <v/>
      </c>
      <c r="F1307" s="11" t="str">
        <f>IF(J1307="","", C1307 * IFERROR(VLOOKUP(J1307, SETUP!$A:$D, 4, FALSE), 0))</f>
        <v/>
      </c>
      <c r="G1307" s="11" t="str">
        <f t="shared" si="1"/>
        <v/>
      </c>
      <c r="H1307" s="22"/>
      <c r="I1307" s="11"/>
      <c r="J1307" s="17" t="str">
        <f>IF(TRIM(B1307)="","",IF(ISNUMBER(SEARCH(" - ",B1307)),TRIM(RIGHT(B1307,LEN(B1307)-FIND(" - ",B1307)-2)),IFERROR(VLOOKUP(UPPER(TRIM(B1307)), SETUP!$B$4:$C$11, 2, FALSE), UPPER(TRIM(B1307)))))</f>
        <v/>
      </c>
      <c r="K1307" s="23" t="str">
        <f t="shared" si="2"/>
        <v/>
      </c>
      <c r="L1307" s="17" t="str">
        <f t="shared" si="3"/>
        <v/>
      </c>
      <c r="M1307" s="17" t="str">
        <f t="shared" si="4"/>
        <v/>
      </c>
    </row>
    <row r="1308" ht="15.75" customHeight="1">
      <c r="A1308" s="12"/>
      <c r="B1308" s="11"/>
      <c r="C1308" s="11"/>
      <c r="D1308" s="11"/>
      <c r="E1308" s="11" t="str">
        <f>IF(J1308="","", C1308 * IFERROR(VLOOKUP(J1308, SETUP!$A:$D, 3, FALSE), 0))</f>
        <v/>
      </c>
      <c r="F1308" s="11" t="str">
        <f>IF(J1308="","", C1308 * IFERROR(VLOOKUP(J1308, SETUP!$A:$D, 4, FALSE), 0))</f>
        <v/>
      </c>
      <c r="G1308" s="11" t="str">
        <f t="shared" si="1"/>
        <v/>
      </c>
      <c r="H1308" s="22"/>
      <c r="I1308" s="11"/>
      <c r="J1308" s="17" t="str">
        <f>IF(TRIM(B1308)="","",IF(ISNUMBER(SEARCH(" - ",B1308)),TRIM(RIGHT(B1308,LEN(B1308)-FIND(" - ",B1308)-2)),IFERROR(VLOOKUP(UPPER(TRIM(B1308)), SETUP!$B$4:$C$11, 2, FALSE), UPPER(TRIM(B1308)))))</f>
        <v/>
      </c>
      <c r="K1308" s="23" t="str">
        <f t="shared" si="2"/>
        <v/>
      </c>
      <c r="L1308" s="17" t="str">
        <f t="shared" si="3"/>
        <v/>
      </c>
      <c r="M1308" s="17" t="str">
        <f t="shared" si="4"/>
        <v/>
      </c>
    </row>
    <row r="1309" ht="15.75" customHeight="1">
      <c r="A1309" s="12"/>
      <c r="B1309" s="11"/>
      <c r="C1309" s="11"/>
      <c r="D1309" s="11"/>
      <c r="E1309" s="11" t="str">
        <f>IF(J1309="","", C1309 * IFERROR(VLOOKUP(J1309, SETUP!$A:$D, 3, FALSE), 0))</f>
        <v/>
      </c>
      <c r="F1309" s="11" t="str">
        <f>IF(J1309="","", C1309 * IFERROR(VLOOKUP(J1309, SETUP!$A:$D, 4, FALSE), 0))</f>
        <v/>
      </c>
      <c r="G1309" s="11" t="str">
        <f t="shared" si="1"/>
        <v/>
      </c>
      <c r="H1309" s="22"/>
      <c r="I1309" s="11"/>
      <c r="J1309" s="17" t="str">
        <f>IF(TRIM(B1309)="","",IF(ISNUMBER(SEARCH(" - ",B1309)),TRIM(RIGHT(B1309,LEN(B1309)-FIND(" - ",B1309)-2)),IFERROR(VLOOKUP(UPPER(TRIM(B1309)), SETUP!$B$4:$C$11, 2, FALSE), UPPER(TRIM(B1309)))))</f>
        <v/>
      </c>
      <c r="K1309" s="23" t="str">
        <f t="shared" si="2"/>
        <v/>
      </c>
      <c r="L1309" s="17" t="str">
        <f t="shared" si="3"/>
        <v/>
      </c>
      <c r="M1309" s="17" t="str">
        <f t="shared" si="4"/>
        <v/>
      </c>
    </row>
    <row r="1310" ht="15.75" customHeight="1">
      <c r="A1310" s="12"/>
      <c r="B1310" s="11"/>
      <c r="C1310" s="11"/>
      <c r="D1310" s="11"/>
      <c r="E1310" s="11" t="str">
        <f>IF(J1310="","", C1310 * IFERROR(VLOOKUP(J1310, SETUP!$A:$D, 3, FALSE), 0))</f>
        <v/>
      </c>
      <c r="F1310" s="11" t="str">
        <f>IF(J1310="","", C1310 * IFERROR(VLOOKUP(J1310, SETUP!$A:$D, 4, FALSE), 0))</f>
        <v/>
      </c>
      <c r="G1310" s="11" t="str">
        <f t="shared" si="1"/>
        <v/>
      </c>
      <c r="H1310" s="22"/>
      <c r="I1310" s="11"/>
      <c r="J1310" s="17" t="str">
        <f>IF(TRIM(B1310)="","",IF(ISNUMBER(SEARCH(" - ",B1310)),TRIM(RIGHT(B1310,LEN(B1310)-FIND(" - ",B1310)-2)),IFERROR(VLOOKUP(UPPER(TRIM(B1310)), SETUP!$B$4:$C$11, 2, FALSE), UPPER(TRIM(B1310)))))</f>
        <v/>
      </c>
      <c r="K1310" s="23" t="str">
        <f t="shared" si="2"/>
        <v/>
      </c>
      <c r="L1310" s="17" t="str">
        <f t="shared" si="3"/>
        <v/>
      </c>
      <c r="M1310" s="17" t="str">
        <f t="shared" si="4"/>
        <v/>
      </c>
    </row>
    <row r="1311" ht="15.75" customHeight="1">
      <c r="A1311" s="12"/>
      <c r="B1311" s="11"/>
      <c r="C1311" s="11"/>
      <c r="D1311" s="11"/>
      <c r="E1311" s="11" t="str">
        <f>IF(J1311="","", C1311 * IFERROR(VLOOKUP(J1311, SETUP!$A:$D, 3, FALSE), 0))</f>
        <v/>
      </c>
      <c r="F1311" s="11" t="str">
        <f>IF(J1311="","", C1311 * IFERROR(VLOOKUP(J1311, SETUP!$A:$D, 4, FALSE), 0))</f>
        <v/>
      </c>
      <c r="G1311" s="11" t="str">
        <f t="shared" si="1"/>
        <v/>
      </c>
      <c r="H1311" s="22"/>
      <c r="I1311" s="11"/>
      <c r="J1311" s="17" t="str">
        <f>IF(TRIM(B1311)="","",IF(ISNUMBER(SEARCH(" - ",B1311)),TRIM(RIGHT(B1311,LEN(B1311)-FIND(" - ",B1311)-2)),IFERROR(VLOOKUP(UPPER(TRIM(B1311)), SETUP!$B$4:$C$11, 2, FALSE), UPPER(TRIM(B1311)))))</f>
        <v/>
      </c>
      <c r="K1311" s="23" t="str">
        <f t="shared" si="2"/>
        <v/>
      </c>
      <c r="L1311" s="17" t="str">
        <f t="shared" si="3"/>
        <v/>
      </c>
      <c r="M1311" s="17" t="str">
        <f t="shared" si="4"/>
        <v/>
      </c>
    </row>
    <row r="1312" ht="15.75" customHeight="1">
      <c r="A1312" s="12"/>
      <c r="B1312" s="11"/>
      <c r="C1312" s="11"/>
      <c r="D1312" s="11"/>
      <c r="E1312" s="11" t="str">
        <f>IF(J1312="","", C1312 * IFERROR(VLOOKUP(J1312, SETUP!$A:$D, 3, FALSE), 0))</f>
        <v/>
      </c>
      <c r="F1312" s="11" t="str">
        <f>IF(J1312="","", C1312 * IFERROR(VLOOKUP(J1312, SETUP!$A:$D, 4, FALSE), 0))</f>
        <v/>
      </c>
      <c r="G1312" s="11" t="str">
        <f t="shared" si="1"/>
        <v/>
      </c>
      <c r="H1312" s="22"/>
      <c r="I1312" s="11"/>
      <c r="J1312" s="17" t="str">
        <f>IF(TRIM(B1312)="","",IF(ISNUMBER(SEARCH(" - ",B1312)),TRIM(RIGHT(B1312,LEN(B1312)-FIND(" - ",B1312)-2)),IFERROR(VLOOKUP(UPPER(TRIM(B1312)), SETUP!$B$4:$C$11, 2, FALSE), UPPER(TRIM(B1312)))))</f>
        <v/>
      </c>
      <c r="K1312" s="23" t="str">
        <f t="shared" si="2"/>
        <v/>
      </c>
      <c r="L1312" s="17" t="str">
        <f t="shared" si="3"/>
        <v/>
      </c>
      <c r="M1312" s="17" t="str">
        <f t="shared" si="4"/>
        <v/>
      </c>
    </row>
    <row r="1313" ht="15.75" customHeight="1">
      <c r="A1313" s="12"/>
      <c r="B1313" s="11"/>
      <c r="C1313" s="11"/>
      <c r="D1313" s="11"/>
      <c r="E1313" s="11" t="str">
        <f>IF(J1313="","", C1313 * IFERROR(VLOOKUP(J1313, SETUP!$A:$D, 3, FALSE), 0))</f>
        <v/>
      </c>
      <c r="F1313" s="11" t="str">
        <f>IF(J1313="","", C1313 * IFERROR(VLOOKUP(J1313, SETUP!$A:$D, 4, FALSE), 0))</f>
        <v/>
      </c>
      <c r="G1313" s="11" t="str">
        <f t="shared" si="1"/>
        <v/>
      </c>
      <c r="H1313" s="22"/>
      <c r="I1313" s="11"/>
      <c r="J1313" s="17" t="str">
        <f>IF(TRIM(B1313)="","",IF(ISNUMBER(SEARCH(" - ",B1313)),TRIM(RIGHT(B1313,LEN(B1313)-FIND(" - ",B1313)-2)),IFERROR(VLOOKUP(UPPER(TRIM(B1313)), SETUP!$B$4:$C$11, 2, FALSE), UPPER(TRIM(B1313)))))</f>
        <v/>
      </c>
      <c r="K1313" s="23" t="str">
        <f t="shared" si="2"/>
        <v/>
      </c>
      <c r="L1313" s="17" t="str">
        <f t="shared" si="3"/>
        <v/>
      </c>
      <c r="M1313" s="17" t="str">
        <f t="shared" si="4"/>
        <v/>
      </c>
    </row>
    <row r="1314" ht="15.75" customHeight="1">
      <c r="A1314" s="12"/>
      <c r="B1314" s="11"/>
      <c r="C1314" s="11"/>
      <c r="D1314" s="11"/>
      <c r="E1314" s="11" t="str">
        <f>IF(J1314="","", C1314 * IFERROR(VLOOKUP(J1314, SETUP!$A:$D, 3, FALSE), 0))</f>
        <v/>
      </c>
      <c r="F1314" s="11" t="str">
        <f>IF(J1314="","", C1314 * IFERROR(VLOOKUP(J1314, SETUP!$A:$D, 4, FALSE), 0))</f>
        <v/>
      </c>
      <c r="G1314" s="11" t="str">
        <f t="shared" si="1"/>
        <v/>
      </c>
      <c r="H1314" s="22"/>
      <c r="I1314" s="11"/>
      <c r="J1314" s="17" t="str">
        <f>IF(TRIM(B1314)="","",IF(ISNUMBER(SEARCH(" - ",B1314)),TRIM(RIGHT(B1314,LEN(B1314)-FIND(" - ",B1314)-2)),IFERROR(VLOOKUP(UPPER(TRIM(B1314)), SETUP!$B$4:$C$11, 2, FALSE), UPPER(TRIM(B1314)))))</f>
        <v/>
      </c>
      <c r="K1314" s="23" t="str">
        <f t="shared" si="2"/>
        <v/>
      </c>
      <c r="L1314" s="17" t="str">
        <f t="shared" si="3"/>
        <v/>
      </c>
      <c r="M1314" s="17" t="str">
        <f t="shared" si="4"/>
        <v/>
      </c>
    </row>
    <row r="1315" ht="15.75" customHeight="1">
      <c r="A1315" s="12"/>
      <c r="B1315" s="11"/>
      <c r="C1315" s="11"/>
      <c r="D1315" s="11"/>
      <c r="E1315" s="11" t="str">
        <f>IF(J1315="","", C1315 * IFERROR(VLOOKUP(J1315, SETUP!$A:$D, 3, FALSE), 0))</f>
        <v/>
      </c>
      <c r="F1315" s="11" t="str">
        <f>IF(J1315="","", C1315 * IFERROR(VLOOKUP(J1315, SETUP!$A:$D, 4, FALSE), 0))</f>
        <v/>
      </c>
      <c r="G1315" s="11" t="str">
        <f t="shared" si="1"/>
        <v/>
      </c>
      <c r="H1315" s="22"/>
      <c r="I1315" s="11"/>
      <c r="J1315" s="17" t="str">
        <f>IF(TRIM(B1315)="","",IF(ISNUMBER(SEARCH(" - ",B1315)),TRIM(RIGHT(B1315,LEN(B1315)-FIND(" - ",B1315)-2)),IFERROR(VLOOKUP(UPPER(TRIM(B1315)), SETUP!$B$4:$C$11, 2, FALSE), UPPER(TRIM(B1315)))))</f>
        <v/>
      </c>
      <c r="K1315" s="23" t="str">
        <f t="shared" si="2"/>
        <v/>
      </c>
      <c r="L1315" s="17" t="str">
        <f t="shared" si="3"/>
        <v/>
      </c>
      <c r="M1315" s="17" t="str">
        <f t="shared" si="4"/>
        <v/>
      </c>
    </row>
    <row r="1316" ht="15.75" customHeight="1">
      <c r="A1316" s="12"/>
      <c r="B1316" s="11"/>
      <c r="C1316" s="11"/>
      <c r="D1316" s="11"/>
      <c r="E1316" s="11" t="str">
        <f>IF(J1316="","", C1316 * IFERROR(VLOOKUP(J1316, SETUP!$A:$D, 3, FALSE), 0))</f>
        <v/>
      </c>
      <c r="F1316" s="11" t="str">
        <f>IF(J1316="","", C1316 * IFERROR(VLOOKUP(J1316, SETUP!$A:$D, 4, FALSE), 0))</f>
        <v/>
      </c>
      <c r="G1316" s="11" t="str">
        <f t="shared" si="1"/>
        <v/>
      </c>
      <c r="H1316" s="22"/>
      <c r="I1316" s="11"/>
      <c r="J1316" s="17" t="str">
        <f>IF(TRIM(B1316)="","",IF(ISNUMBER(SEARCH(" - ",B1316)),TRIM(RIGHT(B1316,LEN(B1316)-FIND(" - ",B1316)-2)),IFERROR(VLOOKUP(UPPER(TRIM(B1316)), SETUP!$B$4:$C$11, 2, FALSE), UPPER(TRIM(B1316)))))</f>
        <v/>
      </c>
      <c r="K1316" s="23" t="str">
        <f t="shared" si="2"/>
        <v/>
      </c>
      <c r="L1316" s="17" t="str">
        <f t="shared" si="3"/>
        <v/>
      </c>
      <c r="M1316" s="17" t="str">
        <f t="shared" si="4"/>
        <v/>
      </c>
    </row>
    <row r="1317" ht="15.75" customHeight="1">
      <c r="A1317" s="12"/>
      <c r="B1317" s="11"/>
      <c r="C1317" s="11"/>
      <c r="D1317" s="11"/>
      <c r="E1317" s="11" t="str">
        <f>IF(J1317="","", C1317 * IFERROR(VLOOKUP(J1317, SETUP!$A:$D, 3, FALSE), 0))</f>
        <v/>
      </c>
      <c r="F1317" s="11" t="str">
        <f>IF(J1317="","", C1317 * IFERROR(VLOOKUP(J1317, SETUP!$A:$D, 4, FALSE), 0))</f>
        <v/>
      </c>
      <c r="G1317" s="11" t="str">
        <f t="shared" si="1"/>
        <v/>
      </c>
      <c r="H1317" s="22"/>
      <c r="I1317" s="11"/>
      <c r="J1317" s="17" t="str">
        <f>IF(TRIM(B1317)="","",IF(ISNUMBER(SEARCH(" - ",B1317)),TRIM(RIGHT(B1317,LEN(B1317)-FIND(" - ",B1317)-2)),IFERROR(VLOOKUP(UPPER(TRIM(B1317)), SETUP!$B$4:$C$11, 2, FALSE), UPPER(TRIM(B1317)))))</f>
        <v/>
      </c>
      <c r="K1317" s="23" t="str">
        <f t="shared" si="2"/>
        <v/>
      </c>
      <c r="L1317" s="17" t="str">
        <f t="shared" si="3"/>
        <v/>
      </c>
      <c r="M1317" s="17" t="str">
        <f t="shared" si="4"/>
        <v/>
      </c>
    </row>
    <row r="1318" ht="15.75" customHeight="1">
      <c r="A1318" s="12"/>
      <c r="B1318" s="11"/>
      <c r="C1318" s="11"/>
      <c r="D1318" s="11"/>
      <c r="E1318" s="11" t="str">
        <f>IF(J1318="","", C1318 * IFERROR(VLOOKUP(J1318, SETUP!$A:$D, 3, FALSE), 0))</f>
        <v/>
      </c>
      <c r="F1318" s="11" t="str">
        <f>IF(J1318="","", C1318 * IFERROR(VLOOKUP(J1318, SETUP!$A:$D, 4, FALSE), 0))</f>
        <v/>
      </c>
      <c r="G1318" s="11" t="str">
        <f t="shared" si="1"/>
        <v/>
      </c>
      <c r="H1318" s="22"/>
      <c r="I1318" s="11"/>
      <c r="J1318" s="17" t="str">
        <f>IF(TRIM(B1318)="","",IF(ISNUMBER(SEARCH(" - ",B1318)),TRIM(RIGHT(B1318,LEN(B1318)-FIND(" - ",B1318)-2)),IFERROR(VLOOKUP(UPPER(TRIM(B1318)), SETUP!$B$4:$C$11, 2, FALSE), UPPER(TRIM(B1318)))))</f>
        <v/>
      </c>
      <c r="K1318" s="23" t="str">
        <f t="shared" si="2"/>
        <v/>
      </c>
      <c r="L1318" s="17" t="str">
        <f t="shared" si="3"/>
        <v/>
      </c>
      <c r="M1318" s="17" t="str">
        <f t="shared" si="4"/>
        <v/>
      </c>
    </row>
    <row r="1319" ht="15.75" customHeight="1">
      <c r="A1319" s="12"/>
      <c r="B1319" s="11"/>
      <c r="C1319" s="11"/>
      <c r="D1319" s="11"/>
      <c r="E1319" s="11" t="str">
        <f>IF(J1319="","", C1319 * IFERROR(VLOOKUP(J1319, SETUP!$A:$D, 3, FALSE), 0))</f>
        <v/>
      </c>
      <c r="F1319" s="11" t="str">
        <f>IF(J1319="","", C1319 * IFERROR(VLOOKUP(J1319, SETUP!$A:$D, 4, FALSE), 0))</f>
        <v/>
      </c>
      <c r="G1319" s="11" t="str">
        <f t="shared" si="1"/>
        <v/>
      </c>
      <c r="H1319" s="22"/>
      <c r="I1319" s="11"/>
      <c r="J1319" s="17" t="str">
        <f>IF(TRIM(B1319)="","",IF(ISNUMBER(SEARCH(" - ",B1319)),TRIM(RIGHT(B1319,LEN(B1319)-FIND(" - ",B1319)-2)),IFERROR(VLOOKUP(UPPER(TRIM(B1319)), SETUP!$B$4:$C$11, 2, FALSE), UPPER(TRIM(B1319)))))</f>
        <v/>
      </c>
      <c r="K1319" s="23" t="str">
        <f t="shared" si="2"/>
        <v/>
      </c>
      <c r="L1319" s="17" t="str">
        <f t="shared" si="3"/>
        <v/>
      </c>
      <c r="M1319" s="17" t="str">
        <f t="shared" si="4"/>
        <v/>
      </c>
    </row>
    <row r="1320" ht="15.75" customHeight="1">
      <c r="A1320" s="12"/>
      <c r="B1320" s="11"/>
      <c r="C1320" s="11"/>
      <c r="D1320" s="11"/>
      <c r="E1320" s="11" t="str">
        <f>IF(J1320="","", C1320 * IFERROR(VLOOKUP(J1320, SETUP!$A:$D, 3, FALSE), 0))</f>
        <v/>
      </c>
      <c r="F1320" s="11" t="str">
        <f>IF(J1320="","", C1320 * IFERROR(VLOOKUP(J1320, SETUP!$A:$D, 4, FALSE), 0))</f>
        <v/>
      </c>
      <c r="G1320" s="11" t="str">
        <f t="shared" si="1"/>
        <v/>
      </c>
      <c r="H1320" s="22"/>
      <c r="I1320" s="11"/>
      <c r="J1320" s="17" t="str">
        <f>IF(TRIM(B1320)="","",IF(ISNUMBER(SEARCH(" - ",B1320)),TRIM(RIGHT(B1320,LEN(B1320)-FIND(" - ",B1320)-2)),IFERROR(VLOOKUP(UPPER(TRIM(B1320)), SETUP!$B$4:$C$11, 2, FALSE), UPPER(TRIM(B1320)))))</f>
        <v/>
      </c>
      <c r="K1320" s="23" t="str">
        <f t="shared" si="2"/>
        <v/>
      </c>
      <c r="L1320" s="17" t="str">
        <f t="shared" si="3"/>
        <v/>
      </c>
      <c r="M1320" s="17" t="str">
        <f t="shared" si="4"/>
        <v/>
      </c>
    </row>
    <row r="1321" ht="15.75" customHeight="1">
      <c r="A1321" s="12"/>
      <c r="B1321" s="11"/>
      <c r="C1321" s="11"/>
      <c r="D1321" s="11"/>
      <c r="E1321" s="11" t="str">
        <f>IF(J1321="","", C1321 * IFERROR(VLOOKUP(J1321, SETUP!$A:$D, 3, FALSE), 0))</f>
        <v/>
      </c>
      <c r="F1321" s="11" t="str">
        <f>IF(J1321="","", C1321 * IFERROR(VLOOKUP(J1321, SETUP!$A:$D, 4, FALSE), 0))</f>
        <v/>
      </c>
      <c r="G1321" s="11" t="str">
        <f t="shared" si="1"/>
        <v/>
      </c>
      <c r="H1321" s="22"/>
      <c r="I1321" s="11"/>
      <c r="J1321" s="17" t="str">
        <f>IF(TRIM(B1321)="","",IF(ISNUMBER(SEARCH(" - ",B1321)),TRIM(RIGHT(B1321,LEN(B1321)-FIND(" - ",B1321)-2)),IFERROR(VLOOKUP(UPPER(TRIM(B1321)), SETUP!$B$4:$C$11, 2, FALSE), UPPER(TRIM(B1321)))))</f>
        <v/>
      </c>
      <c r="K1321" s="23" t="str">
        <f t="shared" si="2"/>
        <v/>
      </c>
      <c r="L1321" s="17" t="str">
        <f t="shared" si="3"/>
        <v/>
      </c>
      <c r="M1321" s="17" t="str">
        <f t="shared" si="4"/>
        <v/>
      </c>
    </row>
    <row r="1322" ht="15.75" customHeight="1">
      <c r="A1322" s="12"/>
      <c r="B1322" s="11"/>
      <c r="C1322" s="11"/>
      <c r="D1322" s="11"/>
      <c r="E1322" s="11" t="str">
        <f>IF(J1322="","", C1322 * IFERROR(VLOOKUP(J1322, SETUP!$A:$D, 3, FALSE), 0))</f>
        <v/>
      </c>
      <c r="F1322" s="11" t="str">
        <f>IF(J1322="","", C1322 * IFERROR(VLOOKUP(J1322, SETUP!$A:$D, 4, FALSE), 0))</f>
        <v/>
      </c>
      <c r="G1322" s="11" t="str">
        <f t="shared" si="1"/>
        <v/>
      </c>
      <c r="H1322" s="22"/>
      <c r="I1322" s="11"/>
      <c r="J1322" s="17" t="str">
        <f>IF(TRIM(B1322)="","",IF(ISNUMBER(SEARCH(" - ",B1322)),TRIM(RIGHT(B1322,LEN(B1322)-FIND(" - ",B1322)-2)),IFERROR(VLOOKUP(UPPER(TRIM(B1322)), SETUP!$B$4:$C$11, 2, FALSE), UPPER(TRIM(B1322)))))</f>
        <v/>
      </c>
      <c r="K1322" s="23" t="str">
        <f t="shared" si="2"/>
        <v/>
      </c>
      <c r="L1322" s="17" t="str">
        <f t="shared" si="3"/>
        <v/>
      </c>
      <c r="M1322" s="17" t="str">
        <f t="shared" si="4"/>
        <v/>
      </c>
    </row>
    <row r="1323" ht="15.75" customHeight="1">
      <c r="A1323" s="12"/>
      <c r="B1323" s="11"/>
      <c r="C1323" s="11"/>
      <c r="D1323" s="11"/>
      <c r="E1323" s="11" t="str">
        <f>IF(J1323="","", C1323 * IFERROR(VLOOKUP(J1323, SETUP!$A:$D, 3, FALSE), 0))</f>
        <v/>
      </c>
      <c r="F1323" s="11" t="str">
        <f>IF(J1323="","", C1323 * IFERROR(VLOOKUP(J1323, SETUP!$A:$D, 4, FALSE), 0))</f>
        <v/>
      </c>
      <c r="G1323" s="11" t="str">
        <f t="shared" si="1"/>
        <v/>
      </c>
      <c r="H1323" s="22"/>
      <c r="I1323" s="11"/>
      <c r="J1323" s="17" t="str">
        <f>IF(TRIM(B1323)="","",IF(ISNUMBER(SEARCH(" - ",B1323)),TRIM(RIGHT(B1323,LEN(B1323)-FIND(" - ",B1323)-2)),IFERROR(VLOOKUP(UPPER(TRIM(B1323)), SETUP!$B$4:$C$11, 2, FALSE), UPPER(TRIM(B1323)))))</f>
        <v/>
      </c>
      <c r="K1323" s="23" t="str">
        <f t="shared" si="2"/>
        <v/>
      </c>
      <c r="L1323" s="17" t="str">
        <f t="shared" si="3"/>
        <v/>
      </c>
      <c r="M1323" s="17" t="str">
        <f t="shared" si="4"/>
        <v/>
      </c>
    </row>
    <row r="1324" ht="15.75" customHeight="1">
      <c r="A1324" s="12"/>
      <c r="B1324" s="11"/>
      <c r="C1324" s="11"/>
      <c r="D1324" s="11"/>
      <c r="E1324" s="11" t="str">
        <f>IF(J1324="","", C1324 * IFERROR(VLOOKUP(J1324, SETUP!$A:$D, 3, FALSE), 0))</f>
        <v/>
      </c>
      <c r="F1324" s="11" t="str">
        <f>IF(J1324="","", C1324 * IFERROR(VLOOKUP(J1324, SETUP!$A:$D, 4, FALSE), 0))</f>
        <v/>
      </c>
      <c r="G1324" s="11" t="str">
        <f t="shared" si="1"/>
        <v/>
      </c>
      <c r="H1324" s="22"/>
      <c r="I1324" s="11"/>
      <c r="J1324" s="17" t="str">
        <f>IF(TRIM(B1324)="","",IF(ISNUMBER(SEARCH(" - ",B1324)),TRIM(RIGHT(B1324,LEN(B1324)-FIND(" - ",B1324)-2)),IFERROR(VLOOKUP(UPPER(TRIM(B1324)), SETUP!$B$4:$C$11, 2, FALSE), UPPER(TRIM(B1324)))))</f>
        <v/>
      </c>
      <c r="K1324" s="23" t="str">
        <f t="shared" si="2"/>
        <v/>
      </c>
      <c r="L1324" s="17" t="str">
        <f t="shared" si="3"/>
        <v/>
      </c>
      <c r="M1324" s="17" t="str">
        <f t="shared" si="4"/>
        <v/>
      </c>
    </row>
    <row r="1325" ht="15.75" customHeight="1">
      <c r="A1325" s="12"/>
      <c r="B1325" s="11"/>
      <c r="C1325" s="11"/>
      <c r="D1325" s="11"/>
      <c r="E1325" s="11" t="str">
        <f>IF(J1325="","", C1325 * IFERROR(VLOOKUP(J1325, SETUP!$A:$D, 3, FALSE), 0))</f>
        <v/>
      </c>
      <c r="F1325" s="11" t="str">
        <f>IF(J1325="","", C1325 * IFERROR(VLOOKUP(J1325, SETUP!$A:$D, 4, FALSE), 0))</f>
        <v/>
      </c>
      <c r="G1325" s="11" t="str">
        <f t="shared" si="1"/>
        <v/>
      </c>
      <c r="H1325" s="22"/>
      <c r="I1325" s="11"/>
      <c r="J1325" s="17" t="str">
        <f>IF(TRIM(B1325)="","",IF(ISNUMBER(SEARCH(" - ",B1325)),TRIM(RIGHT(B1325,LEN(B1325)-FIND(" - ",B1325)-2)),IFERROR(VLOOKUP(UPPER(TRIM(B1325)), SETUP!$B$4:$C$11, 2, FALSE), UPPER(TRIM(B1325)))))</f>
        <v/>
      </c>
      <c r="K1325" s="23" t="str">
        <f t="shared" si="2"/>
        <v/>
      </c>
      <c r="L1325" s="17" t="str">
        <f t="shared" si="3"/>
        <v/>
      </c>
      <c r="M1325" s="17" t="str">
        <f t="shared" si="4"/>
        <v/>
      </c>
    </row>
    <row r="1326" ht="15.75" customHeight="1">
      <c r="A1326" s="12"/>
      <c r="B1326" s="11"/>
      <c r="C1326" s="11"/>
      <c r="D1326" s="11"/>
      <c r="E1326" s="11" t="str">
        <f>IF(J1326="","", C1326 * IFERROR(VLOOKUP(J1326, SETUP!$A:$D, 3, FALSE), 0))</f>
        <v/>
      </c>
      <c r="F1326" s="11" t="str">
        <f>IF(J1326="","", C1326 * IFERROR(VLOOKUP(J1326, SETUP!$A:$D, 4, FALSE), 0))</f>
        <v/>
      </c>
      <c r="G1326" s="11" t="str">
        <f t="shared" si="1"/>
        <v/>
      </c>
      <c r="H1326" s="22"/>
      <c r="I1326" s="11"/>
      <c r="J1326" s="17" t="str">
        <f>IF(TRIM(B1326)="","",IF(ISNUMBER(SEARCH(" - ",B1326)),TRIM(RIGHT(B1326,LEN(B1326)-FIND(" - ",B1326)-2)),IFERROR(VLOOKUP(UPPER(TRIM(B1326)), SETUP!$B$4:$C$11, 2, FALSE), UPPER(TRIM(B1326)))))</f>
        <v/>
      </c>
      <c r="K1326" s="23" t="str">
        <f t="shared" si="2"/>
        <v/>
      </c>
      <c r="L1326" s="17" t="str">
        <f t="shared" si="3"/>
        <v/>
      </c>
      <c r="M1326" s="17" t="str">
        <f t="shared" si="4"/>
        <v/>
      </c>
    </row>
    <row r="1327" ht="15.75" customHeight="1">
      <c r="A1327" s="12"/>
      <c r="B1327" s="11"/>
      <c r="C1327" s="11"/>
      <c r="D1327" s="11"/>
      <c r="E1327" s="11" t="str">
        <f>IF(J1327="","", C1327 * IFERROR(VLOOKUP(J1327, SETUP!$A:$D, 3, FALSE), 0))</f>
        <v/>
      </c>
      <c r="F1327" s="11" t="str">
        <f>IF(J1327="","", C1327 * IFERROR(VLOOKUP(J1327, SETUP!$A:$D, 4, FALSE), 0))</f>
        <v/>
      </c>
      <c r="G1327" s="11" t="str">
        <f t="shared" si="1"/>
        <v/>
      </c>
      <c r="H1327" s="22"/>
      <c r="I1327" s="11"/>
      <c r="J1327" s="17" t="str">
        <f>IF(TRIM(B1327)="","",IF(ISNUMBER(SEARCH(" - ",B1327)),TRIM(RIGHT(B1327,LEN(B1327)-FIND(" - ",B1327)-2)),IFERROR(VLOOKUP(UPPER(TRIM(B1327)), SETUP!$B$4:$C$11, 2, FALSE), UPPER(TRIM(B1327)))))</f>
        <v/>
      </c>
      <c r="K1327" s="23" t="str">
        <f t="shared" si="2"/>
        <v/>
      </c>
      <c r="L1327" s="17" t="str">
        <f t="shared" si="3"/>
        <v/>
      </c>
      <c r="M1327" s="17" t="str">
        <f t="shared" si="4"/>
        <v/>
      </c>
    </row>
    <row r="1328" ht="15.75" customHeight="1">
      <c r="A1328" s="12"/>
      <c r="B1328" s="11"/>
      <c r="C1328" s="11"/>
      <c r="D1328" s="11"/>
      <c r="E1328" s="11" t="str">
        <f>IF(J1328="","", C1328 * IFERROR(VLOOKUP(J1328, SETUP!$A:$D, 3, FALSE), 0))</f>
        <v/>
      </c>
      <c r="F1328" s="11" t="str">
        <f>IF(J1328="","", C1328 * IFERROR(VLOOKUP(J1328, SETUP!$A:$D, 4, FALSE), 0))</f>
        <v/>
      </c>
      <c r="G1328" s="11" t="str">
        <f t="shared" si="1"/>
        <v/>
      </c>
      <c r="H1328" s="22"/>
      <c r="I1328" s="11"/>
      <c r="J1328" s="17" t="str">
        <f>IF(TRIM(B1328)="","",IF(ISNUMBER(SEARCH(" - ",B1328)),TRIM(RIGHT(B1328,LEN(B1328)-FIND(" - ",B1328)-2)),IFERROR(VLOOKUP(UPPER(TRIM(B1328)), SETUP!$B$4:$C$11, 2, FALSE), UPPER(TRIM(B1328)))))</f>
        <v/>
      </c>
      <c r="K1328" s="23" t="str">
        <f t="shared" si="2"/>
        <v/>
      </c>
      <c r="L1328" s="17" t="str">
        <f t="shared" si="3"/>
        <v/>
      </c>
      <c r="M1328" s="17" t="str">
        <f t="shared" si="4"/>
        <v/>
      </c>
    </row>
    <row r="1329" ht="15.75" customHeight="1">
      <c r="A1329" s="12"/>
      <c r="B1329" s="11"/>
      <c r="C1329" s="11"/>
      <c r="D1329" s="11"/>
      <c r="E1329" s="11" t="str">
        <f>IF(J1329="","", C1329 * IFERROR(VLOOKUP(J1329, SETUP!$A:$D, 3, FALSE), 0))</f>
        <v/>
      </c>
      <c r="F1329" s="11" t="str">
        <f>IF(J1329="","", C1329 * IFERROR(VLOOKUP(J1329, SETUP!$A:$D, 4, FALSE), 0))</f>
        <v/>
      </c>
      <c r="G1329" s="11" t="str">
        <f t="shared" si="1"/>
        <v/>
      </c>
      <c r="H1329" s="22"/>
      <c r="I1329" s="11"/>
      <c r="J1329" s="17" t="str">
        <f>IF(TRIM(B1329)="","",IF(ISNUMBER(SEARCH(" - ",B1329)),TRIM(RIGHT(B1329,LEN(B1329)-FIND(" - ",B1329)-2)),IFERROR(VLOOKUP(UPPER(TRIM(B1329)), SETUP!$B$4:$C$11, 2, FALSE), UPPER(TRIM(B1329)))))</f>
        <v/>
      </c>
      <c r="K1329" s="23" t="str">
        <f t="shared" si="2"/>
        <v/>
      </c>
      <c r="L1329" s="17" t="str">
        <f t="shared" si="3"/>
        <v/>
      </c>
      <c r="M1329" s="17" t="str">
        <f t="shared" si="4"/>
        <v/>
      </c>
    </row>
    <row r="1330" ht="15.75" customHeight="1">
      <c r="A1330" s="12"/>
      <c r="B1330" s="11"/>
      <c r="C1330" s="11"/>
      <c r="D1330" s="11"/>
      <c r="E1330" s="11" t="str">
        <f>IF(J1330="","", C1330 * IFERROR(VLOOKUP(J1330, SETUP!$A:$D, 3, FALSE), 0))</f>
        <v/>
      </c>
      <c r="F1330" s="11" t="str">
        <f>IF(J1330="","", C1330 * IFERROR(VLOOKUP(J1330, SETUP!$A:$D, 4, FALSE), 0))</f>
        <v/>
      </c>
      <c r="G1330" s="11" t="str">
        <f t="shared" si="1"/>
        <v/>
      </c>
      <c r="H1330" s="22"/>
      <c r="I1330" s="11"/>
      <c r="J1330" s="17" t="str">
        <f>IF(TRIM(B1330)="","",IF(ISNUMBER(SEARCH(" - ",B1330)),TRIM(RIGHT(B1330,LEN(B1330)-FIND(" - ",B1330)-2)),IFERROR(VLOOKUP(UPPER(TRIM(B1330)), SETUP!$B$4:$C$11, 2, FALSE), UPPER(TRIM(B1330)))))</f>
        <v/>
      </c>
      <c r="K1330" s="23" t="str">
        <f t="shared" si="2"/>
        <v/>
      </c>
      <c r="L1330" s="17" t="str">
        <f t="shared" si="3"/>
        <v/>
      </c>
      <c r="M1330" s="17" t="str">
        <f t="shared" si="4"/>
        <v/>
      </c>
    </row>
    <row r="1331" ht="15.75" customHeight="1">
      <c r="A1331" s="12"/>
      <c r="B1331" s="11"/>
      <c r="C1331" s="11"/>
      <c r="D1331" s="11"/>
      <c r="E1331" s="11" t="str">
        <f>IF(J1331="","", C1331 * IFERROR(VLOOKUP(J1331, SETUP!$A:$D, 3, FALSE), 0))</f>
        <v/>
      </c>
      <c r="F1331" s="11" t="str">
        <f>IF(J1331="","", C1331 * IFERROR(VLOOKUP(J1331, SETUP!$A:$D, 4, FALSE), 0))</f>
        <v/>
      </c>
      <c r="G1331" s="11" t="str">
        <f t="shared" si="1"/>
        <v/>
      </c>
      <c r="H1331" s="22"/>
      <c r="I1331" s="11"/>
      <c r="J1331" s="17" t="str">
        <f>IF(TRIM(B1331)="","",IF(ISNUMBER(SEARCH(" - ",B1331)),TRIM(RIGHT(B1331,LEN(B1331)-FIND(" - ",B1331)-2)),IFERROR(VLOOKUP(UPPER(TRIM(B1331)), SETUP!$B$4:$C$11, 2, FALSE), UPPER(TRIM(B1331)))))</f>
        <v/>
      </c>
      <c r="K1331" s="23" t="str">
        <f t="shared" si="2"/>
        <v/>
      </c>
      <c r="L1331" s="17" t="str">
        <f t="shared" si="3"/>
        <v/>
      </c>
      <c r="M1331" s="17" t="str">
        <f t="shared" si="4"/>
        <v/>
      </c>
    </row>
    <row r="1332" ht="15.75" customHeight="1">
      <c r="A1332" s="12"/>
      <c r="B1332" s="11"/>
      <c r="C1332" s="11"/>
      <c r="D1332" s="11"/>
      <c r="E1332" s="11" t="str">
        <f>IF(J1332="","", C1332 * IFERROR(VLOOKUP(J1332, SETUP!$A:$D, 3, FALSE), 0))</f>
        <v/>
      </c>
      <c r="F1332" s="11" t="str">
        <f>IF(J1332="","", C1332 * IFERROR(VLOOKUP(J1332, SETUP!$A:$D, 4, FALSE), 0))</f>
        <v/>
      </c>
      <c r="G1332" s="11" t="str">
        <f t="shared" si="1"/>
        <v/>
      </c>
      <c r="H1332" s="22"/>
      <c r="I1332" s="11"/>
      <c r="J1332" s="17" t="str">
        <f>IF(TRIM(B1332)="","",IF(ISNUMBER(SEARCH(" - ",B1332)),TRIM(RIGHT(B1332,LEN(B1332)-FIND(" - ",B1332)-2)),IFERROR(VLOOKUP(UPPER(TRIM(B1332)), SETUP!$B$4:$C$11, 2, FALSE), UPPER(TRIM(B1332)))))</f>
        <v/>
      </c>
      <c r="K1332" s="23" t="str">
        <f t="shared" si="2"/>
        <v/>
      </c>
      <c r="L1332" s="17" t="str">
        <f t="shared" si="3"/>
        <v/>
      </c>
      <c r="M1332" s="17" t="str">
        <f t="shared" si="4"/>
        <v/>
      </c>
    </row>
    <row r="1333" ht="15.75" customHeight="1">
      <c r="A1333" s="12"/>
      <c r="B1333" s="11"/>
      <c r="C1333" s="11"/>
      <c r="D1333" s="11"/>
      <c r="E1333" s="11" t="str">
        <f>IF(J1333="","", C1333 * IFERROR(VLOOKUP(J1333, SETUP!$A:$D, 3, FALSE), 0))</f>
        <v/>
      </c>
      <c r="F1333" s="11" t="str">
        <f>IF(J1333="","", C1333 * IFERROR(VLOOKUP(J1333, SETUP!$A:$D, 4, FALSE), 0))</f>
        <v/>
      </c>
      <c r="G1333" s="11" t="str">
        <f t="shared" si="1"/>
        <v/>
      </c>
      <c r="H1333" s="22"/>
      <c r="I1333" s="11"/>
      <c r="J1333" s="17" t="str">
        <f>IF(TRIM(B1333)="","",IF(ISNUMBER(SEARCH(" - ",B1333)),TRIM(RIGHT(B1333,LEN(B1333)-FIND(" - ",B1333)-2)),IFERROR(VLOOKUP(UPPER(TRIM(B1333)), SETUP!$B$4:$C$11, 2, FALSE), UPPER(TRIM(B1333)))))</f>
        <v/>
      </c>
      <c r="K1333" s="23" t="str">
        <f t="shared" si="2"/>
        <v/>
      </c>
      <c r="L1333" s="17" t="str">
        <f t="shared" si="3"/>
        <v/>
      </c>
      <c r="M1333" s="17" t="str">
        <f t="shared" si="4"/>
        <v/>
      </c>
    </row>
    <row r="1334" ht="15.75" customHeight="1">
      <c r="A1334" s="12"/>
      <c r="B1334" s="11"/>
      <c r="C1334" s="11"/>
      <c r="D1334" s="11"/>
      <c r="E1334" s="11" t="str">
        <f>IF(J1334="","", C1334 * IFERROR(VLOOKUP(J1334, SETUP!$A:$D, 3, FALSE), 0))</f>
        <v/>
      </c>
      <c r="F1334" s="11" t="str">
        <f>IF(J1334="","", C1334 * IFERROR(VLOOKUP(J1334, SETUP!$A:$D, 4, FALSE), 0))</f>
        <v/>
      </c>
      <c r="G1334" s="11" t="str">
        <f t="shared" si="1"/>
        <v/>
      </c>
      <c r="H1334" s="22"/>
      <c r="I1334" s="11"/>
      <c r="J1334" s="17" t="str">
        <f>IF(TRIM(B1334)="","",IF(ISNUMBER(SEARCH(" - ",B1334)),TRIM(RIGHT(B1334,LEN(B1334)-FIND(" - ",B1334)-2)),IFERROR(VLOOKUP(UPPER(TRIM(B1334)), SETUP!$B$4:$C$11, 2, FALSE), UPPER(TRIM(B1334)))))</f>
        <v/>
      </c>
      <c r="K1334" s="23" t="str">
        <f t="shared" si="2"/>
        <v/>
      </c>
      <c r="L1334" s="17" t="str">
        <f t="shared" si="3"/>
        <v/>
      </c>
      <c r="M1334" s="17" t="str">
        <f t="shared" si="4"/>
        <v/>
      </c>
    </row>
    <row r="1335" ht="15.75" customHeight="1">
      <c r="A1335" s="12"/>
      <c r="B1335" s="11"/>
      <c r="C1335" s="11"/>
      <c r="D1335" s="11"/>
      <c r="E1335" s="11" t="str">
        <f>IF(J1335="","", C1335 * IFERROR(VLOOKUP(J1335, SETUP!$A:$D, 3, FALSE), 0))</f>
        <v/>
      </c>
      <c r="F1335" s="11" t="str">
        <f>IF(J1335="","", C1335 * IFERROR(VLOOKUP(J1335, SETUP!$A:$D, 4, FALSE), 0))</f>
        <v/>
      </c>
      <c r="G1335" s="11" t="str">
        <f t="shared" si="1"/>
        <v/>
      </c>
      <c r="H1335" s="22"/>
      <c r="I1335" s="11"/>
      <c r="J1335" s="17" t="str">
        <f>IF(TRIM(B1335)="","",IF(ISNUMBER(SEARCH(" - ",B1335)),TRIM(RIGHT(B1335,LEN(B1335)-FIND(" - ",B1335)-2)),IFERROR(VLOOKUP(UPPER(TRIM(B1335)), SETUP!$B$4:$C$11, 2, FALSE), UPPER(TRIM(B1335)))))</f>
        <v/>
      </c>
      <c r="K1335" s="23" t="str">
        <f t="shared" si="2"/>
        <v/>
      </c>
      <c r="L1335" s="17" t="str">
        <f t="shared" si="3"/>
        <v/>
      </c>
      <c r="M1335" s="17" t="str">
        <f t="shared" si="4"/>
        <v/>
      </c>
    </row>
    <row r="1336" ht="15.75" customHeight="1">
      <c r="A1336" s="12"/>
      <c r="B1336" s="11"/>
      <c r="C1336" s="11"/>
      <c r="D1336" s="11"/>
      <c r="E1336" s="11" t="str">
        <f>IF(J1336="","", C1336 * IFERROR(VLOOKUP(J1336, SETUP!$A:$D, 3, FALSE), 0))</f>
        <v/>
      </c>
      <c r="F1336" s="11" t="str">
        <f>IF(J1336="","", C1336 * IFERROR(VLOOKUP(J1336, SETUP!$A:$D, 4, FALSE), 0))</f>
        <v/>
      </c>
      <c r="G1336" s="11" t="str">
        <f t="shared" si="1"/>
        <v/>
      </c>
      <c r="H1336" s="22"/>
      <c r="I1336" s="11"/>
      <c r="J1336" s="17" t="str">
        <f>IF(TRIM(B1336)="","",IF(ISNUMBER(SEARCH(" - ",B1336)),TRIM(RIGHT(B1336,LEN(B1336)-FIND(" - ",B1336)-2)),IFERROR(VLOOKUP(UPPER(TRIM(B1336)), SETUP!$B$4:$C$11, 2, FALSE), UPPER(TRIM(B1336)))))</f>
        <v/>
      </c>
      <c r="K1336" s="23" t="str">
        <f t="shared" si="2"/>
        <v/>
      </c>
      <c r="L1336" s="17" t="str">
        <f t="shared" si="3"/>
        <v/>
      </c>
      <c r="M1336" s="17" t="str">
        <f t="shared" si="4"/>
        <v/>
      </c>
    </row>
    <row r="1337" ht="15.75" customHeight="1">
      <c r="A1337" s="12"/>
      <c r="B1337" s="11"/>
      <c r="C1337" s="11"/>
      <c r="D1337" s="11"/>
      <c r="E1337" s="11" t="str">
        <f>IF(J1337="","", C1337 * IFERROR(VLOOKUP(J1337, SETUP!$A:$D, 3, FALSE), 0))</f>
        <v/>
      </c>
      <c r="F1337" s="11" t="str">
        <f>IF(J1337="","", C1337 * IFERROR(VLOOKUP(J1337, SETUP!$A:$D, 4, FALSE), 0))</f>
        <v/>
      </c>
      <c r="G1337" s="11" t="str">
        <f t="shared" si="1"/>
        <v/>
      </c>
      <c r="H1337" s="22"/>
      <c r="I1337" s="11"/>
      <c r="J1337" s="17" t="str">
        <f>IF(TRIM(B1337)="","",IF(ISNUMBER(SEARCH(" - ",B1337)),TRIM(RIGHT(B1337,LEN(B1337)-FIND(" - ",B1337)-2)),IFERROR(VLOOKUP(UPPER(TRIM(B1337)), SETUP!$B$4:$C$11, 2, FALSE), UPPER(TRIM(B1337)))))</f>
        <v/>
      </c>
      <c r="K1337" s="23" t="str">
        <f t="shared" si="2"/>
        <v/>
      </c>
      <c r="L1337" s="17" t="str">
        <f t="shared" si="3"/>
        <v/>
      </c>
      <c r="M1337" s="17" t="str">
        <f t="shared" si="4"/>
        <v/>
      </c>
    </row>
    <row r="1338" ht="15.75" customHeight="1">
      <c r="A1338" s="12"/>
      <c r="B1338" s="11"/>
      <c r="C1338" s="11"/>
      <c r="D1338" s="11"/>
      <c r="E1338" s="11" t="str">
        <f>IF(J1338="","", C1338 * IFERROR(VLOOKUP(J1338, SETUP!$A:$D, 3, FALSE), 0))</f>
        <v/>
      </c>
      <c r="F1338" s="11" t="str">
        <f>IF(J1338="","", C1338 * IFERROR(VLOOKUP(J1338, SETUP!$A:$D, 4, FALSE), 0))</f>
        <v/>
      </c>
      <c r="G1338" s="11" t="str">
        <f t="shared" si="1"/>
        <v/>
      </c>
      <c r="H1338" s="22"/>
      <c r="I1338" s="11"/>
      <c r="J1338" s="17" t="str">
        <f>IF(TRIM(B1338)="","",IF(ISNUMBER(SEARCH(" - ",B1338)),TRIM(RIGHT(B1338,LEN(B1338)-FIND(" - ",B1338)-2)),IFERROR(VLOOKUP(UPPER(TRIM(B1338)), SETUP!$B$4:$C$11, 2, FALSE), UPPER(TRIM(B1338)))))</f>
        <v/>
      </c>
      <c r="K1338" s="23" t="str">
        <f t="shared" si="2"/>
        <v/>
      </c>
      <c r="L1338" s="17" t="str">
        <f t="shared" si="3"/>
        <v/>
      </c>
      <c r="M1338" s="17" t="str">
        <f t="shared" si="4"/>
        <v/>
      </c>
    </row>
    <row r="1339" ht="15.75" customHeight="1">
      <c r="A1339" s="12"/>
      <c r="B1339" s="11"/>
      <c r="C1339" s="11"/>
      <c r="D1339" s="11"/>
      <c r="E1339" s="11" t="str">
        <f>IF(J1339="","", C1339 * IFERROR(VLOOKUP(J1339, SETUP!$A:$D, 3, FALSE), 0))</f>
        <v/>
      </c>
      <c r="F1339" s="11" t="str">
        <f>IF(J1339="","", C1339 * IFERROR(VLOOKUP(J1339, SETUP!$A:$D, 4, FALSE), 0))</f>
        <v/>
      </c>
      <c r="G1339" s="11" t="str">
        <f t="shared" si="1"/>
        <v/>
      </c>
      <c r="H1339" s="22"/>
      <c r="I1339" s="11"/>
      <c r="J1339" s="17" t="str">
        <f>IF(TRIM(B1339)="","",IF(ISNUMBER(SEARCH(" - ",B1339)),TRIM(RIGHT(B1339,LEN(B1339)-FIND(" - ",B1339)-2)),IFERROR(VLOOKUP(UPPER(TRIM(B1339)), SETUP!$B$4:$C$11, 2, FALSE), UPPER(TRIM(B1339)))))</f>
        <v/>
      </c>
      <c r="K1339" s="23" t="str">
        <f t="shared" si="2"/>
        <v/>
      </c>
      <c r="L1339" s="17" t="str">
        <f t="shared" si="3"/>
        <v/>
      </c>
      <c r="M1339" s="17" t="str">
        <f t="shared" si="4"/>
        <v/>
      </c>
    </row>
    <row r="1340" ht="15.75" customHeight="1">
      <c r="A1340" s="12"/>
      <c r="B1340" s="11"/>
      <c r="C1340" s="11"/>
      <c r="D1340" s="11"/>
      <c r="E1340" s="11" t="str">
        <f>IF(J1340="","", C1340 * IFERROR(VLOOKUP(J1340, SETUP!$A:$D, 3, FALSE), 0))</f>
        <v/>
      </c>
      <c r="F1340" s="11" t="str">
        <f>IF(J1340="","", C1340 * IFERROR(VLOOKUP(J1340, SETUP!$A:$D, 4, FALSE), 0))</f>
        <v/>
      </c>
      <c r="G1340" s="11" t="str">
        <f t="shared" si="1"/>
        <v/>
      </c>
      <c r="H1340" s="22"/>
      <c r="I1340" s="11"/>
      <c r="J1340" s="17" t="str">
        <f>IF(TRIM(B1340)="","",IF(ISNUMBER(SEARCH(" - ",B1340)),TRIM(RIGHT(B1340,LEN(B1340)-FIND(" - ",B1340)-2)),IFERROR(VLOOKUP(UPPER(TRIM(B1340)), SETUP!$B$4:$C$11, 2, FALSE), UPPER(TRIM(B1340)))))</f>
        <v/>
      </c>
      <c r="K1340" s="23" t="str">
        <f t="shared" si="2"/>
        <v/>
      </c>
      <c r="L1340" s="17" t="str">
        <f t="shared" si="3"/>
        <v/>
      </c>
      <c r="M1340" s="17" t="str">
        <f t="shared" si="4"/>
        <v/>
      </c>
    </row>
    <row r="1341" ht="15.75" customHeight="1">
      <c r="A1341" s="12"/>
      <c r="B1341" s="11"/>
      <c r="C1341" s="11"/>
      <c r="D1341" s="11"/>
      <c r="E1341" s="11" t="str">
        <f>IF(J1341="","", C1341 * IFERROR(VLOOKUP(J1341, SETUP!$A:$D, 3, FALSE), 0))</f>
        <v/>
      </c>
      <c r="F1341" s="11" t="str">
        <f>IF(J1341="","", C1341 * IFERROR(VLOOKUP(J1341, SETUP!$A:$D, 4, FALSE), 0))</f>
        <v/>
      </c>
      <c r="G1341" s="11" t="str">
        <f t="shared" si="1"/>
        <v/>
      </c>
      <c r="H1341" s="22"/>
      <c r="I1341" s="11"/>
      <c r="J1341" s="17" t="str">
        <f>IF(TRIM(B1341)="","",IF(ISNUMBER(SEARCH(" - ",B1341)),TRIM(RIGHT(B1341,LEN(B1341)-FIND(" - ",B1341)-2)),IFERROR(VLOOKUP(UPPER(TRIM(B1341)), SETUP!$B$4:$C$11, 2, FALSE), UPPER(TRIM(B1341)))))</f>
        <v/>
      </c>
      <c r="K1341" s="23" t="str">
        <f t="shared" si="2"/>
        <v/>
      </c>
      <c r="L1341" s="17" t="str">
        <f t="shared" si="3"/>
        <v/>
      </c>
      <c r="M1341" s="17" t="str">
        <f t="shared" si="4"/>
        <v/>
      </c>
    </row>
    <row r="1342" ht="15.75" customHeight="1">
      <c r="A1342" s="12"/>
      <c r="B1342" s="11"/>
      <c r="C1342" s="11"/>
      <c r="D1342" s="11"/>
      <c r="E1342" s="11" t="str">
        <f>IF(J1342="","", C1342 * IFERROR(VLOOKUP(J1342, SETUP!$A:$D, 3, FALSE), 0))</f>
        <v/>
      </c>
      <c r="F1342" s="11" t="str">
        <f>IF(J1342="","", C1342 * IFERROR(VLOOKUP(J1342, SETUP!$A:$D, 4, FALSE), 0))</f>
        <v/>
      </c>
      <c r="G1342" s="11" t="str">
        <f t="shared" si="1"/>
        <v/>
      </c>
      <c r="H1342" s="22"/>
      <c r="I1342" s="11"/>
      <c r="J1342" s="17" t="str">
        <f>IF(TRIM(B1342)="","",IF(ISNUMBER(SEARCH(" - ",B1342)),TRIM(RIGHT(B1342,LEN(B1342)-FIND(" - ",B1342)-2)),IFERROR(VLOOKUP(UPPER(TRIM(B1342)), SETUP!$B$4:$C$11, 2, FALSE), UPPER(TRIM(B1342)))))</f>
        <v/>
      </c>
      <c r="K1342" s="23" t="str">
        <f t="shared" si="2"/>
        <v/>
      </c>
      <c r="L1342" s="17" t="str">
        <f t="shared" si="3"/>
        <v/>
      </c>
      <c r="M1342" s="17" t="str">
        <f t="shared" si="4"/>
        <v/>
      </c>
    </row>
    <row r="1343" ht="15.75" customHeight="1">
      <c r="A1343" s="12"/>
      <c r="B1343" s="11"/>
      <c r="C1343" s="11"/>
      <c r="D1343" s="11"/>
      <c r="E1343" s="11" t="str">
        <f>IF(J1343="","", C1343 * IFERROR(VLOOKUP(J1343, SETUP!$A:$D, 3, FALSE), 0))</f>
        <v/>
      </c>
      <c r="F1343" s="11" t="str">
        <f>IF(J1343="","", C1343 * IFERROR(VLOOKUP(J1343, SETUP!$A:$D, 4, FALSE), 0))</f>
        <v/>
      </c>
      <c r="G1343" s="11" t="str">
        <f t="shared" si="1"/>
        <v/>
      </c>
      <c r="H1343" s="22"/>
      <c r="I1343" s="11"/>
      <c r="J1343" s="17" t="str">
        <f>IF(TRIM(B1343)="","",IF(ISNUMBER(SEARCH(" - ",B1343)),TRIM(RIGHT(B1343,LEN(B1343)-FIND(" - ",B1343)-2)),IFERROR(VLOOKUP(UPPER(TRIM(B1343)), SETUP!$B$4:$C$11, 2, FALSE), UPPER(TRIM(B1343)))))</f>
        <v/>
      </c>
      <c r="K1343" s="23" t="str">
        <f t="shared" si="2"/>
        <v/>
      </c>
      <c r="L1343" s="17" t="str">
        <f t="shared" si="3"/>
        <v/>
      </c>
      <c r="M1343" s="17" t="str">
        <f t="shared" si="4"/>
        <v/>
      </c>
    </row>
    <row r="1344" ht="15.75" customHeight="1">
      <c r="A1344" s="12"/>
      <c r="B1344" s="11"/>
      <c r="C1344" s="11"/>
      <c r="D1344" s="11"/>
      <c r="E1344" s="11" t="str">
        <f>IF(J1344="","", C1344 * IFERROR(VLOOKUP(J1344, SETUP!$A:$D, 3, FALSE), 0))</f>
        <v/>
      </c>
      <c r="F1344" s="11" t="str">
        <f>IF(J1344="","", C1344 * IFERROR(VLOOKUP(J1344, SETUP!$A:$D, 4, FALSE), 0))</f>
        <v/>
      </c>
      <c r="G1344" s="11" t="str">
        <f t="shared" si="1"/>
        <v/>
      </c>
      <c r="H1344" s="22"/>
      <c r="I1344" s="11"/>
      <c r="J1344" s="17" t="str">
        <f>IF(TRIM(B1344)="","",IF(ISNUMBER(SEARCH(" - ",B1344)),TRIM(RIGHT(B1344,LEN(B1344)-FIND(" - ",B1344)-2)),IFERROR(VLOOKUP(UPPER(TRIM(B1344)), SETUP!$B$4:$C$11, 2, FALSE), UPPER(TRIM(B1344)))))</f>
        <v/>
      </c>
      <c r="K1344" s="23" t="str">
        <f t="shared" si="2"/>
        <v/>
      </c>
      <c r="L1344" s="17" t="str">
        <f t="shared" si="3"/>
        <v/>
      </c>
      <c r="M1344" s="17" t="str">
        <f t="shared" si="4"/>
        <v/>
      </c>
    </row>
    <row r="1345" ht="15.75" customHeight="1">
      <c r="A1345" s="12"/>
      <c r="B1345" s="11"/>
      <c r="C1345" s="11"/>
      <c r="D1345" s="11"/>
      <c r="E1345" s="11" t="str">
        <f>IF(J1345="","", C1345 * IFERROR(VLOOKUP(J1345, SETUP!$A:$D, 3, FALSE), 0))</f>
        <v/>
      </c>
      <c r="F1345" s="11" t="str">
        <f>IF(J1345="","", C1345 * IFERROR(VLOOKUP(J1345, SETUP!$A:$D, 4, FALSE), 0))</f>
        <v/>
      </c>
      <c r="G1345" s="11" t="str">
        <f t="shared" si="1"/>
        <v/>
      </c>
      <c r="H1345" s="22"/>
      <c r="I1345" s="11"/>
      <c r="J1345" s="17" t="str">
        <f>IF(TRIM(B1345)="","",IF(ISNUMBER(SEARCH(" - ",B1345)),TRIM(RIGHT(B1345,LEN(B1345)-FIND(" - ",B1345)-2)),IFERROR(VLOOKUP(UPPER(TRIM(B1345)), SETUP!$B$4:$C$11, 2, FALSE), UPPER(TRIM(B1345)))))</f>
        <v/>
      </c>
      <c r="K1345" s="23" t="str">
        <f t="shared" si="2"/>
        <v/>
      </c>
      <c r="L1345" s="17" t="str">
        <f t="shared" si="3"/>
        <v/>
      </c>
      <c r="M1345" s="17" t="str">
        <f t="shared" si="4"/>
        <v/>
      </c>
    </row>
    <row r="1346" ht="15.75" customHeight="1">
      <c r="A1346" s="12"/>
      <c r="B1346" s="11"/>
      <c r="C1346" s="11"/>
      <c r="D1346" s="11"/>
      <c r="E1346" s="11" t="str">
        <f>IF(J1346="","", C1346 * IFERROR(VLOOKUP(J1346, SETUP!$A:$D, 3, FALSE), 0))</f>
        <v/>
      </c>
      <c r="F1346" s="11" t="str">
        <f>IF(J1346="","", C1346 * IFERROR(VLOOKUP(J1346, SETUP!$A:$D, 4, FALSE), 0))</f>
        <v/>
      </c>
      <c r="G1346" s="11" t="str">
        <f t="shared" si="1"/>
        <v/>
      </c>
      <c r="H1346" s="22"/>
      <c r="I1346" s="11"/>
      <c r="J1346" s="17" t="str">
        <f>IF(TRIM(B1346)="","",IF(ISNUMBER(SEARCH(" - ",B1346)),TRIM(RIGHT(B1346,LEN(B1346)-FIND(" - ",B1346)-2)),IFERROR(VLOOKUP(UPPER(TRIM(B1346)), SETUP!$B$4:$C$11, 2, FALSE), UPPER(TRIM(B1346)))))</f>
        <v/>
      </c>
      <c r="K1346" s="23" t="str">
        <f t="shared" si="2"/>
        <v/>
      </c>
      <c r="L1346" s="17" t="str">
        <f t="shared" si="3"/>
        <v/>
      </c>
      <c r="M1346" s="17" t="str">
        <f t="shared" si="4"/>
        <v/>
      </c>
    </row>
    <row r="1347" ht="15.75" customHeight="1">
      <c r="A1347" s="12"/>
      <c r="B1347" s="11"/>
      <c r="C1347" s="11"/>
      <c r="D1347" s="11"/>
      <c r="E1347" s="11" t="str">
        <f>IF(J1347="","", C1347 * IFERROR(VLOOKUP(J1347, SETUP!$A:$D, 3, FALSE), 0))</f>
        <v/>
      </c>
      <c r="F1347" s="11" t="str">
        <f>IF(J1347="","", C1347 * IFERROR(VLOOKUP(J1347, SETUP!$A:$D, 4, FALSE), 0))</f>
        <v/>
      </c>
      <c r="G1347" s="11" t="str">
        <f t="shared" si="1"/>
        <v/>
      </c>
      <c r="H1347" s="22"/>
      <c r="I1347" s="11"/>
      <c r="J1347" s="17" t="str">
        <f>IF(TRIM(B1347)="","",IF(ISNUMBER(SEARCH(" - ",B1347)),TRIM(RIGHT(B1347,LEN(B1347)-FIND(" - ",B1347)-2)),IFERROR(VLOOKUP(UPPER(TRIM(B1347)), SETUP!$B$4:$C$11, 2, FALSE), UPPER(TRIM(B1347)))))</f>
        <v/>
      </c>
      <c r="K1347" s="23" t="str">
        <f t="shared" si="2"/>
        <v/>
      </c>
      <c r="L1347" s="17" t="str">
        <f t="shared" si="3"/>
        <v/>
      </c>
      <c r="M1347" s="17" t="str">
        <f t="shared" si="4"/>
        <v/>
      </c>
    </row>
    <row r="1348" ht="15.75" customHeight="1">
      <c r="A1348" s="12"/>
      <c r="B1348" s="11"/>
      <c r="C1348" s="11"/>
      <c r="D1348" s="11"/>
      <c r="E1348" s="11" t="str">
        <f>IF(J1348="","", C1348 * IFERROR(VLOOKUP(J1348, SETUP!$A:$D, 3, FALSE), 0))</f>
        <v/>
      </c>
      <c r="F1348" s="11" t="str">
        <f>IF(J1348="","", C1348 * IFERROR(VLOOKUP(J1348, SETUP!$A:$D, 4, FALSE), 0))</f>
        <v/>
      </c>
      <c r="G1348" s="11" t="str">
        <f t="shared" si="1"/>
        <v/>
      </c>
      <c r="H1348" s="22"/>
      <c r="I1348" s="11"/>
      <c r="J1348" s="17" t="str">
        <f>IF(TRIM(B1348)="","",IF(ISNUMBER(SEARCH(" - ",B1348)),TRIM(RIGHT(B1348,LEN(B1348)-FIND(" - ",B1348)-2)),IFERROR(VLOOKUP(UPPER(TRIM(B1348)), SETUP!$B$4:$C$11, 2, FALSE), UPPER(TRIM(B1348)))))</f>
        <v/>
      </c>
      <c r="K1348" s="23" t="str">
        <f t="shared" si="2"/>
        <v/>
      </c>
      <c r="L1348" s="17" t="str">
        <f t="shared" si="3"/>
        <v/>
      </c>
      <c r="M1348" s="17" t="str">
        <f t="shared" si="4"/>
        <v/>
      </c>
    </row>
    <row r="1349" ht="15.75" customHeight="1">
      <c r="A1349" s="12"/>
      <c r="B1349" s="11"/>
      <c r="C1349" s="11"/>
      <c r="D1349" s="11"/>
      <c r="E1349" s="11" t="str">
        <f>IF(J1349="","", C1349 * IFERROR(VLOOKUP(J1349, SETUP!$A:$D, 3, FALSE), 0))</f>
        <v/>
      </c>
      <c r="F1349" s="11" t="str">
        <f>IF(J1349="","", C1349 * IFERROR(VLOOKUP(J1349, SETUP!$A:$D, 4, FALSE), 0))</f>
        <v/>
      </c>
      <c r="G1349" s="11" t="str">
        <f t="shared" si="1"/>
        <v/>
      </c>
      <c r="H1349" s="22"/>
      <c r="I1349" s="11"/>
      <c r="J1349" s="17" t="str">
        <f>IF(TRIM(B1349)="","",IF(ISNUMBER(SEARCH(" - ",B1349)),TRIM(RIGHT(B1349,LEN(B1349)-FIND(" - ",B1349)-2)),IFERROR(VLOOKUP(UPPER(TRIM(B1349)), SETUP!$B$4:$C$11, 2, FALSE), UPPER(TRIM(B1349)))))</f>
        <v/>
      </c>
      <c r="K1349" s="23" t="str">
        <f t="shared" si="2"/>
        <v/>
      </c>
      <c r="L1349" s="17" t="str">
        <f t="shared" si="3"/>
        <v/>
      </c>
      <c r="M1349" s="17" t="str">
        <f t="shared" si="4"/>
        <v/>
      </c>
    </row>
    <row r="1350" ht="15.75" customHeight="1">
      <c r="A1350" s="12"/>
      <c r="B1350" s="11"/>
      <c r="C1350" s="11"/>
      <c r="D1350" s="11"/>
      <c r="E1350" s="11" t="str">
        <f>IF(J1350="","", C1350 * IFERROR(VLOOKUP(J1350, SETUP!$A:$D, 3, FALSE), 0))</f>
        <v/>
      </c>
      <c r="F1350" s="11" t="str">
        <f>IF(J1350="","", C1350 * IFERROR(VLOOKUP(J1350, SETUP!$A:$D, 4, FALSE), 0))</f>
        <v/>
      </c>
      <c r="G1350" s="11" t="str">
        <f t="shared" si="1"/>
        <v/>
      </c>
      <c r="H1350" s="22"/>
      <c r="I1350" s="11"/>
      <c r="J1350" s="17" t="str">
        <f>IF(TRIM(B1350)="","",IF(ISNUMBER(SEARCH(" - ",B1350)),TRIM(RIGHT(B1350,LEN(B1350)-FIND(" - ",B1350)-2)),IFERROR(VLOOKUP(UPPER(TRIM(B1350)), SETUP!$B$4:$C$11, 2, FALSE), UPPER(TRIM(B1350)))))</f>
        <v/>
      </c>
      <c r="K1350" s="23" t="str">
        <f t="shared" si="2"/>
        <v/>
      </c>
      <c r="L1350" s="17" t="str">
        <f t="shared" si="3"/>
        <v/>
      </c>
      <c r="M1350" s="17" t="str">
        <f t="shared" si="4"/>
        <v/>
      </c>
    </row>
    <row r="1351" ht="15.75" customHeight="1">
      <c r="A1351" s="12"/>
      <c r="B1351" s="11"/>
      <c r="C1351" s="11"/>
      <c r="D1351" s="11"/>
      <c r="E1351" s="11" t="str">
        <f>IF(J1351="","", C1351 * IFERROR(VLOOKUP(J1351, SETUP!$A:$D, 3, FALSE), 0))</f>
        <v/>
      </c>
      <c r="F1351" s="11" t="str">
        <f>IF(J1351="","", C1351 * IFERROR(VLOOKUP(J1351, SETUP!$A:$D, 4, FALSE), 0))</f>
        <v/>
      </c>
      <c r="G1351" s="11" t="str">
        <f t="shared" si="1"/>
        <v/>
      </c>
      <c r="H1351" s="22"/>
      <c r="I1351" s="11"/>
      <c r="J1351" s="17" t="str">
        <f>IF(TRIM(B1351)="","",IF(ISNUMBER(SEARCH(" - ",B1351)),TRIM(RIGHT(B1351,LEN(B1351)-FIND(" - ",B1351)-2)),IFERROR(VLOOKUP(UPPER(TRIM(B1351)), SETUP!$B$4:$C$11, 2, FALSE), UPPER(TRIM(B1351)))))</f>
        <v/>
      </c>
      <c r="K1351" s="23" t="str">
        <f t="shared" si="2"/>
        <v/>
      </c>
      <c r="L1351" s="17" t="str">
        <f t="shared" si="3"/>
        <v/>
      </c>
      <c r="M1351" s="17" t="str">
        <f t="shared" si="4"/>
        <v/>
      </c>
    </row>
    <row r="1352" ht="15.75" customHeight="1">
      <c r="A1352" s="12"/>
      <c r="B1352" s="11"/>
      <c r="C1352" s="11"/>
      <c r="D1352" s="11"/>
      <c r="E1352" s="11" t="str">
        <f>IF(J1352="","", C1352 * IFERROR(VLOOKUP(J1352, SETUP!$A:$D, 3, FALSE), 0))</f>
        <v/>
      </c>
      <c r="F1352" s="11" t="str">
        <f>IF(J1352="","", C1352 * IFERROR(VLOOKUP(J1352, SETUP!$A:$D, 4, FALSE), 0))</f>
        <v/>
      </c>
      <c r="G1352" s="11" t="str">
        <f t="shared" si="1"/>
        <v/>
      </c>
      <c r="H1352" s="22"/>
      <c r="I1352" s="11"/>
      <c r="J1352" s="17" t="str">
        <f>IF(TRIM(B1352)="","",IF(ISNUMBER(SEARCH(" - ",B1352)),TRIM(RIGHT(B1352,LEN(B1352)-FIND(" - ",B1352)-2)),IFERROR(VLOOKUP(UPPER(TRIM(B1352)), SETUP!$B$4:$C$11, 2, FALSE), UPPER(TRIM(B1352)))))</f>
        <v/>
      </c>
      <c r="K1352" s="23" t="str">
        <f t="shared" si="2"/>
        <v/>
      </c>
      <c r="L1352" s="17" t="str">
        <f t="shared" si="3"/>
        <v/>
      </c>
      <c r="M1352" s="17" t="str">
        <f t="shared" si="4"/>
        <v/>
      </c>
    </row>
    <row r="1353" ht="15.75" customHeight="1">
      <c r="A1353" s="12"/>
      <c r="B1353" s="11"/>
      <c r="C1353" s="11"/>
      <c r="D1353" s="11"/>
      <c r="E1353" s="11" t="str">
        <f>IF(J1353="","", C1353 * IFERROR(VLOOKUP(J1353, SETUP!$A:$D, 3, FALSE), 0))</f>
        <v/>
      </c>
      <c r="F1353" s="11" t="str">
        <f>IF(J1353="","", C1353 * IFERROR(VLOOKUP(J1353, SETUP!$A:$D, 4, FALSE), 0))</f>
        <v/>
      </c>
      <c r="G1353" s="11" t="str">
        <f t="shared" si="1"/>
        <v/>
      </c>
      <c r="H1353" s="22"/>
      <c r="I1353" s="11"/>
      <c r="J1353" s="17" t="str">
        <f>IF(TRIM(B1353)="","",IF(ISNUMBER(SEARCH(" - ",B1353)),TRIM(RIGHT(B1353,LEN(B1353)-FIND(" - ",B1353)-2)),IFERROR(VLOOKUP(UPPER(TRIM(B1353)), SETUP!$B$4:$C$11, 2, FALSE), UPPER(TRIM(B1353)))))</f>
        <v/>
      </c>
      <c r="K1353" s="23" t="str">
        <f t="shared" si="2"/>
        <v/>
      </c>
      <c r="L1353" s="17" t="str">
        <f t="shared" si="3"/>
        <v/>
      </c>
      <c r="M1353" s="17" t="str">
        <f t="shared" si="4"/>
        <v/>
      </c>
    </row>
    <row r="1354" ht="15.75" customHeight="1">
      <c r="A1354" s="12"/>
      <c r="B1354" s="11"/>
      <c r="C1354" s="11"/>
      <c r="D1354" s="11"/>
      <c r="E1354" s="11" t="str">
        <f>IF(J1354="","", C1354 * IFERROR(VLOOKUP(J1354, SETUP!$A:$D, 3, FALSE), 0))</f>
        <v/>
      </c>
      <c r="F1354" s="11" t="str">
        <f>IF(J1354="","", C1354 * IFERROR(VLOOKUP(J1354, SETUP!$A:$D, 4, FALSE), 0))</f>
        <v/>
      </c>
      <c r="G1354" s="11" t="str">
        <f t="shared" si="1"/>
        <v/>
      </c>
      <c r="H1354" s="22"/>
      <c r="I1354" s="11"/>
      <c r="J1354" s="17" t="str">
        <f>IF(TRIM(B1354)="","",IF(ISNUMBER(SEARCH(" - ",B1354)),TRIM(RIGHT(B1354,LEN(B1354)-FIND(" - ",B1354)-2)),IFERROR(VLOOKUP(UPPER(TRIM(B1354)), SETUP!$B$4:$C$11, 2, FALSE), UPPER(TRIM(B1354)))))</f>
        <v/>
      </c>
      <c r="K1354" s="23" t="str">
        <f t="shared" si="2"/>
        <v/>
      </c>
      <c r="L1354" s="17" t="str">
        <f t="shared" si="3"/>
        <v/>
      </c>
      <c r="M1354" s="17" t="str">
        <f t="shared" si="4"/>
        <v/>
      </c>
    </row>
    <row r="1355" ht="15.75" customHeight="1">
      <c r="A1355" s="12"/>
      <c r="B1355" s="11"/>
      <c r="C1355" s="11"/>
      <c r="D1355" s="11"/>
      <c r="E1355" s="11" t="str">
        <f>IF(J1355="","", C1355 * IFERROR(VLOOKUP(J1355, SETUP!$A:$D, 3, FALSE), 0))</f>
        <v/>
      </c>
      <c r="F1355" s="11" t="str">
        <f>IF(J1355="","", C1355 * IFERROR(VLOOKUP(J1355, SETUP!$A:$D, 4, FALSE), 0))</f>
        <v/>
      </c>
      <c r="G1355" s="11" t="str">
        <f t="shared" si="1"/>
        <v/>
      </c>
      <c r="H1355" s="22"/>
      <c r="I1355" s="11"/>
      <c r="J1355" s="17" t="str">
        <f>IF(TRIM(B1355)="","",IF(ISNUMBER(SEARCH(" - ",B1355)),TRIM(RIGHT(B1355,LEN(B1355)-FIND(" - ",B1355)-2)),IFERROR(VLOOKUP(UPPER(TRIM(B1355)), SETUP!$B$4:$C$11, 2, FALSE), UPPER(TRIM(B1355)))))</f>
        <v/>
      </c>
      <c r="K1355" s="23" t="str">
        <f t="shared" si="2"/>
        <v/>
      </c>
      <c r="L1355" s="17" t="str">
        <f t="shared" si="3"/>
        <v/>
      </c>
      <c r="M1355" s="17" t="str">
        <f t="shared" si="4"/>
        <v/>
      </c>
    </row>
    <row r="1356" ht="15.75" customHeight="1">
      <c r="A1356" s="12"/>
      <c r="B1356" s="11"/>
      <c r="C1356" s="11"/>
      <c r="D1356" s="11"/>
      <c r="E1356" s="11" t="str">
        <f>IF(J1356="","", C1356 * IFERROR(VLOOKUP(J1356, SETUP!$A:$D, 3, FALSE), 0))</f>
        <v/>
      </c>
      <c r="F1356" s="11" t="str">
        <f>IF(J1356="","", C1356 * IFERROR(VLOOKUP(J1356, SETUP!$A:$D, 4, FALSE), 0))</f>
        <v/>
      </c>
      <c r="G1356" s="11" t="str">
        <f t="shared" si="1"/>
        <v/>
      </c>
      <c r="H1356" s="22"/>
      <c r="I1356" s="11"/>
      <c r="J1356" s="17" t="str">
        <f>IF(TRIM(B1356)="","",IF(ISNUMBER(SEARCH(" - ",B1356)),TRIM(RIGHT(B1356,LEN(B1356)-FIND(" - ",B1356)-2)),IFERROR(VLOOKUP(UPPER(TRIM(B1356)), SETUP!$B$4:$C$11, 2, FALSE), UPPER(TRIM(B1356)))))</f>
        <v/>
      </c>
      <c r="K1356" s="23" t="str">
        <f t="shared" si="2"/>
        <v/>
      </c>
      <c r="L1356" s="17" t="str">
        <f t="shared" si="3"/>
        <v/>
      </c>
      <c r="M1356" s="17" t="str">
        <f t="shared" si="4"/>
        <v/>
      </c>
    </row>
    <row r="1357" ht="15.75" customHeight="1">
      <c r="A1357" s="12"/>
      <c r="B1357" s="11"/>
      <c r="C1357" s="11"/>
      <c r="D1357" s="11"/>
      <c r="E1357" s="11" t="str">
        <f>IF(J1357="","", C1357 * IFERROR(VLOOKUP(J1357, SETUP!$A:$D, 3, FALSE), 0))</f>
        <v/>
      </c>
      <c r="F1357" s="11" t="str">
        <f>IF(J1357="","", C1357 * IFERROR(VLOOKUP(J1357, SETUP!$A:$D, 4, FALSE), 0))</f>
        <v/>
      </c>
      <c r="G1357" s="11" t="str">
        <f t="shared" si="1"/>
        <v/>
      </c>
      <c r="H1357" s="22"/>
      <c r="I1357" s="11"/>
      <c r="J1357" s="17" t="str">
        <f>IF(TRIM(B1357)="","",IF(ISNUMBER(SEARCH(" - ",B1357)),TRIM(RIGHT(B1357,LEN(B1357)-FIND(" - ",B1357)-2)),IFERROR(VLOOKUP(UPPER(TRIM(B1357)), SETUP!$B$4:$C$11, 2, FALSE), UPPER(TRIM(B1357)))))</f>
        <v/>
      </c>
      <c r="K1357" s="23" t="str">
        <f t="shared" si="2"/>
        <v/>
      </c>
      <c r="L1357" s="17" t="str">
        <f t="shared" si="3"/>
        <v/>
      </c>
      <c r="M1357" s="17" t="str">
        <f t="shared" si="4"/>
        <v/>
      </c>
    </row>
    <row r="1358" ht="15.75" customHeight="1">
      <c r="A1358" s="12"/>
      <c r="B1358" s="11"/>
      <c r="C1358" s="11"/>
      <c r="D1358" s="11"/>
      <c r="E1358" s="11" t="str">
        <f>IF(J1358="","", C1358 * IFERROR(VLOOKUP(J1358, SETUP!$A:$D, 3, FALSE), 0))</f>
        <v/>
      </c>
      <c r="F1358" s="11" t="str">
        <f>IF(J1358="","", C1358 * IFERROR(VLOOKUP(J1358, SETUP!$A:$D, 4, FALSE), 0))</f>
        <v/>
      </c>
      <c r="G1358" s="11" t="str">
        <f t="shared" si="1"/>
        <v/>
      </c>
      <c r="H1358" s="22"/>
      <c r="I1358" s="11"/>
      <c r="J1358" s="17" t="str">
        <f>IF(TRIM(B1358)="","",IF(ISNUMBER(SEARCH(" - ",B1358)),TRIM(RIGHT(B1358,LEN(B1358)-FIND(" - ",B1358)-2)),IFERROR(VLOOKUP(UPPER(TRIM(B1358)), SETUP!$B$4:$C$11, 2, FALSE), UPPER(TRIM(B1358)))))</f>
        <v/>
      </c>
      <c r="K1358" s="23" t="str">
        <f t="shared" si="2"/>
        <v/>
      </c>
      <c r="L1358" s="17" t="str">
        <f t="shared" si="3"/>
        <v/>
      </c>
      <c r="M1358" s="17" t="str">
        <f t="shared" si="4"/>
        <v/>
      </c>
    </row>
    <row r="1359" ht="15.75" customHeight="1">
      <c r="A1359" s="12"/>
      <c r="B1359" s="11"/>
      <c r="C1359" s="11"/>
      <c r="D1359" s="11"/>
      <c r="E1359" s="11" t="str">
        <f>IF(J1359="","", C1359 * IFERROR(VLOOKUP(J1359, SETUP!$A:$D, 3, FALSE), 0))</f>
        <v/>
      </c>
      <c r="F1359" s="11" t="str">
        <f>IF(J1359="","", C1359 * IFERROR(VLOOKUP(J1359, SETUP!$A:$D, 4, FALSE), 0))</f>
        <v/>
      </c>
      <c r="G1359" s="11" t="str">
        <f t="shared" si="1"/>
        <v/>
      </c>
      <c r="H1359" s="22"/>
      <c r="I1359" s="11"/>
      <c r="J1359" s="17" t="str">
        <f>IF(TRIM(B1359)="","",IF(ISNUMBER(SEARCH(" - ",B1359)),TRIM(RIGHT(B1359,LEN(B1359)-FIND(" - ",B1359)-2)),IFERROR(VLOOKUP(UPPER(TRIM(B1359)), SETUP!$B$4:$C$11, 2, FALSE), UPPER(TRIM(B1359)))))</f>
        <v/>
      </c>
      <c r="K1359" s="23" t="str">
        <f t="shared" si="2"/>
        <v/>
      </c>
      <c r="L1359" s="17" t="str">
        <f t="shared" si="3"/>
        <v/>
      </c>
      <c r="M1359" s="17" t="str">
        <f t="shared" si="4"/>
        <v/>
      </c>
    </row>
    <row r="1360" ht="15.75" customHeight="1">
      <c r="A1360" s="12"/>
      <c r="B1360" s="11"/>
      <c r="C1360" s="11"/>
      <c r="D1360" s="11"/>
      <c r="E1360" s="11" t="str">
        <f>IF(J1360="","", C1360 * IFERROR(VLOOKUP(J1360, SETUP!$A:$D, 3, FALSE), 0))</f>
        <v/>
      </c>
      <c r="F1360" s="11" t="str">
        <f>IF(J1360="","", C1360 * IFERROR(VLOOKUP(J1360, SETUP!$A:$D, 4, FALSE), 0))</f>
        <v/>
      </c>
      <c r="G1360" s="11" t="str">
        <f t="shared" si="1"/>
        <v/>
      </c>
      <c r="H1360" s="22"/>
      <c r="I1360" s="11"/>
      <c r="J1360" s="17" t="str">
        <f>IF(TRIM(B1360)="","",IF(ISNUMBER(SEARCH(" - ",B1360)),TRIM(RIGHT(B1360,LEN(B1360)-FIND(" - ",B1360)-2)),IFERROR(VLOOKUP(UPPER(TRIM(B1360)), SETUP!$B$4:$C$11, 2, FALSE), UPPER(TRIM(B1360)))))</f>
        <v/>
      </c>
      <c r="K1360" s="23" t="str">
        <f t="shared" si="2"/>
        <v/>
      </c>
      <c r="L1360" s="17" t="str">
        <f t="shared" si="3"/>
        <v/>
      </c>
      <c r="M1360" s="17" t="str">
        <f t="shared" si="4"/>
        <v/>
      </c>
    </row>
    <row r="1361" ht="15.75" customHeight="1">
      <c r="A1361" s="12"/>
      <c r="B1361" s="11"/>
      <c r="C1361" s="11"/>
      <c r="D1361" s="11"/>
      <c r="E1361" s="11" t="str">
        <f>IF(J1361="","", C1361 * IFERROR(VLOOKUP(J1361, SETUP!$A:$D, 3, FALSE), 0))</f>
        <v/>
      </c>
      <c r="F1361" s="11" t="str">
        <f>IF(J1361="","", C1361 * IFERROR(VLOOKUP(J1361, SETUP!$A:$D, 4, FALSE), 0))</f>
        <v/>
      </c>
      <c r="G1361" s="11" t="str">
        <f t="shared" si="1"/>
        <v/>
      </c>
      <c r="H1361" s="22"/>
      <c r="I1361" s="11"/>
      <c r="J1361" s="17" t="str">
        <f>IF(TRIM(B1361)="","",IF(ISNUMBER(SEARCH(" - ",B1361)),TRIM(RIGHT(B1361,LEN(B1361)-FIND(" - ",B1361)-2)),IFERROR(VLOOKUP(UPPER(TRIM(B1361)), SETUP!$B$4:$C$11, 2, FALSE), UPPER(TRIM(B1361)))))</f>
        <v/>
      </c>
      <c r="K1361" s="23" t="str">
        <f t="shared" si="2"/>
        <v/>
      </c>
      <c r="L1361" s="17" t="str">
        <f t="shared" si="3"/>
        <v/>
      </c>
      <c r="M1361" s="17" t="str">
        <f t="shared" si="4"/>
        <v/>
      </c>
    </row>
    <row r="1362" ht="15.75" customHeight="1">
      <c r="A1362" s="12"/>
      <c r="B1362" s="11"/>
      <c r="C1362" s="11"/>
      <c r="D1362" s="11"/>
      <c r="E1362" s="11" t="str">
        <f>IF(J1362="","", C1362 * IFERROR(VLOOKUP(J1362, SETUP!$A:$D, 3, FALSE), 0))</f>
        <v/>
      </c>
      <c r="F1362" s="11" t="str">
        <f>IF(J1362="","", C1362 * IFERROR(VLOOKUP(J1362, SETUP!$A:$D, 4, FALSE), 0))</f>
        <v/>
      </c>
      <c r="G1362" s="11" t="str">
        <f t="shared" si="1"/>
        <v/>
      </c>
      <c r="H1362" s="22"/>
      <c r="I1362" s="11"/>
      <c r="J1362" s="17" t="str">
        <f>IF(TRIM(B1362)="","",IF(ISNUMBER(SEARCH(" - ",B1362)),TRIM(RIGHT(B1362,LEN(B1362)-FIND(" - ",B1362)-2)),IFERROR(VLOOKUP(UPPER(TRIM(B1362)), SETUP!$B$4:$C$11, 2, FALSE), UPPER(TRIM(B1362)))))</f>
        <v/>
      </c>
      <c r="K1362" s="23" t="str">
        <f t="shared" si="2"/>
        <v/>
      </c>
      <c r="L1362" s="17" t="str">
        <f t="shared" si="3"/>
        <v/>
      </c>
      <c r="M1362" s="17" t="str">
        <f t="shared" si="4"/>
        <v/>
      </c>
    </row>
    <row r="1363" ht="15.75" customHeight="1">
      <c r="A1363" s="12"/>
      <c r="B1363" s="11"/>
      <c r="C1363" s="11"/>
      <c r="D1363" s="11"/>
      <c r="E1363" s="11" t="str">
        <f>IF(J1363="","", C1363 * IFERROR(VLOOKUP(J1363, SETUP!$A:$D, 3, FALSE), 0))</f>
        <v/>
      </c>
      <c r="F1363" s="11" t="str">
        <f>IF(J1363="","", C1363 * IFERROR(VLOOKUP(J1363, SETUP!$A:$D, 4, FALSE), 0))</f>
        <v/>
      </c>
      <c r="G1363" s="11" t="str">
        <f t="shared" si="1"/>
        <v/>
      </c>
      <c r="H1363" s="22"/>
      <c r="I1363" s="11"/>
      <c r="J1363" s="17" t="str">
        <f>IF(TRIM(B1363)="","",IF(ISNUMBER(SEARCH(" - ",B1363)),TRIM(RIGHT(B1363,LEN(B1363)-FIND(" - ",B1363)-2)),IFERROR(VLOOKUP(UPPER(TRIM(B1363)), SETUP!$B$4:$C$11, 2, FALSE), UPPER(TRIM(B1363)))))</f>
        <v/>
      </c>
      <c r="K1363" s="23" t="str">
        <f t="shared" si="2"/>
        <v/>
      </c>
      <c r="L1363" s="17" t="str">
        <f t="shared" si="3"/>
        <v/>
      </c>
      <c r="M1363" s="17" t="str">
        <f t="shared" si="4"/>
        <v/>
      </c>
    </row>
    <row r="1364" ht="15.75" customHeight="1">
      <c r="A1364" s="12"/>
      <c r="B1364" s="11"/>
      <c r="C1364" s="11"/>
      <c r="D1364" s="11"/>
      <c r="E1364" s="11" t="str">
        <f>IF(J1364="","", C1364 * IFERROR(VLOOKUP(J1364, SETUP!$A:$D, 3, FALSE), 0))</f>
        <v/>
      </c>
      <c r="F1364" s="11" t="str">
        <f>IF(J1364="","", C1364 * IFERROR(VLOOKUP(J1364, SETUP!$A:$D, 4, FALSE), 0))</f>
        <v/>
      </c>
      <c r="G1364" s="11" t="str">
        <f t="shared" si="1"/>
        <v/>
      </c>
      <c r="H1364" s="22"/>
      <c r="I1364" s="11"/>
      <c r="J1364" s="17" t="str">
        <f>IF(TRIM(B1364)="","",IF(ISNUMBER(SEARCH(" - ",B1364)),TRIM(RIGHT(B1364,LEN(B1364)-FIND(" - ",B1364)-2)),IFERROR(VLOOKUP(UPPER(TRIM(B1364)), SETUP!$B$4:$C$11, 2, FALSE), UPPER(TRIM(B1364)))))</f>
        <v/>
      </c>
      <c r="K1364" s="23" t="str">
        <f t="shared" si="2"/>
        <v/>
      </c>
      <c r="L1364" s="17" t="str">
        <f t="shared" si="3"/>
        <v/>
      </c>
      <c r="M1364" s="17" t="str">
        <f t="shared" si="4"/>
        <v/>
      </c>
    </row>
    <row r="1365" ht="15.75" customHeight="1">
      <c r="A1365" s="12"/>
      <c r="B1365" s="11"/>
      <c r="C1365" s="11"/>
      <c r="D1365" s="11"/>
      <c r="E1365" s="11" t="str">
        <f>IF(J1365="","", C1365 * IFERROR(VLOOKUP(J1365, SETUP!$A:$D, 3, FALSE), 0))</f>
        <v/>
      </c>
      <c r="F1365" s="11" t="str">
        <f>IF(J1365="","", C1365 * IFERROR(VLOOKUP(J1365, SETUP!$A:$D, 4, FALSE), 0))</f>
        <v/>
      </c>
      <c r="G1365" s="11" t="str">
        <f t="shared" si="1"/>
        <v/>
      </c>
      <c r="H1365" s="22"/>
      <c r="I1365" s="11"/>
      <c r="J1365" s="17" t="str">
        <f>IF(TRIM(B1365)="","",IF(ISNUMBER(SEARCH(" - ",B1365)),TRIM(RIGHT(B1365,LEN(B1365)-FIND(" - ",B1365)-2)),IFERROR(VLOOKUP(UPPER(TRIM(B1365)), SETUP!$B$4:$C$11, 2, FALSE), UPPER(TRIM(B1365)))))</f>
        <v/>
      </c>
      <c r="K1365" s="23" t="str">
        <f t="shared" si="2"/>
        <v/>
      </c>
      <c r="L1365" s="17" t="str">
        <f t="shared" si="3"/>
        <v/>
      </c>
      <c r="M1365" s="17" t="str">
        <f t="shared" si="4"/>
        <v/>
      </c>
    </row>
    <row r="1366" ht="15.75" customHeight="1">
      <c r="A1366" s="12"/>
      <c r="B1366" s="11"/>
      <c r="C1366" s="11"/>
      <c r="D1366" s="11"/>
      <c r="E1366" s="11" t="str">
        <f>IF(J1366="","", C1366 * IFERROR(VLOOKUP(J1366, SETUP!$A:$D, 3, FALSE), 0))</f>
        <v/>
      </c>
      <c r="F1366" s="11" t="str">
        <f>IF(J1366="","", C1366 * IFERROR(VLOOKUP(J1366, SETUP!$A:$D, 4, FALSE), 0))</f>
        <v/>
      </c>
      <c r="G1366" s="11" t="str">
        <f t="shared" si="1"/>
        <v/>
      </c>
      <c r="H1366" s="22"/>
      <c r="I1366" s="11"/>
      <c r="J1366" s="17" t="str">
        <f>IF(TRIM(B1366)="","",IF(ISNUMBER(SEARCH(" - ",B1366)),TRIM(RIGHT(B1366,LEN(B1366)-FIND(" - ",B1366)-2)),IFERROR(VLOOKUP(UPPER(TRIM(B1366)), SETUP!$B$4:$C$11, 2, FALSE), UPPER(TRIM(B1366)))))</f>
        <v/>
      </c>
      <c r="K1366" s="23" t="str">
        <f t="shared" si="2"/>
        <v/>
      </c>
      <c r="L1366" s="17" t="str">
        <f t="shared" si="3"/>
        <v/>
      </c>
      <c r="M1366" s="17" t="str">
        <f t="shared" si="4"/>
        <v/>
      </c>
    </row>
    <row r="1367" ht="15.75" customHeight="1">
      <c r="A1367" s="12"/>
      <c r="B1367" s="11"/>
      <c r="C1367" s="11"/>
      <c r="D1367" s="11"/>
      <c r="E1367" s="11" t="str">
        <f>IF(J1367="","", C1367 * IFERROR(VLOOKUP(J1367, SETUP!$A:$D, 3, FALSE), 0))</f>
        <v/>
      </c>
      <c r="F1367" s="11" t="str">
        <f>IF(J1367="","", C1367 * IFERROR(VLOOKUP(J1367, SETUP!$A:$D, 4, FALSE), 0))</f>
        <v/>
      </c>
      <c r="G1367" s="11" t="str">
        <f t="shared" si="1"/>
        <v/>
      </c>
      <c r="H1367" s="22"/>
      <c r="I1367" s="11"/>
      <c r="J1367" s="17" t="str">
        <f>IF(TRIM(B1367)="","",IF(ISNUMBER(SEARCH(" - ",B1367)),TRIM(RIGHT(B1367,LEN(B1367)-FIND(" - ",B1367)-2)),IFERROR(VLOOKUP(UPPER(TRIM(B1367)), SETUP!$B$4:$C$11, 2, FALSE), UPPER(TRIM(B1367)))))</f>
        <v/>
      </c>
      <c r="K1367" s="23" t="str">
        <f t="shared" si="2"/>
        <v/>
      </c>
      <c r="L1367" s="17" t="str">
        <f t="shared" si="3"/>
        <v/>
      </c>
      <c r="M1367" s="17" t="str">
        <f t="shared" si="4"/>
        <v/>
      </c>
    </row>
    <row r="1368" ht="15.75" customHeight="1">
      <c r="A1368" s="12"/>
      <c r="B1368" s="11"/>
      <c r="C1368" s="11"/>
      <c r="D1368" s="11"/>
      <c r="E1368" s="11" t="str">
        <f>IF(J1368="","", C1368 * IFERROR(VLOOKUP(J1368, SETUP!$A:$D, 3, FALSE), 0))</f>
        <v/>
      </c>
      <c r="F1368" s="11" t="str">
        <f>IF(J1368="","", C1368 * IFERROR(VLOOKUP(J1368, SETUP!$A:$D, 4, FALSE), 0))</f>
        <v/>
      </c>
      <c r="G1368" s="11" t="str">
        <f t="shared" si="1"/>
        <v/>
      </c>
      <c r="H1368" s="22"/>
      <c r="I1368" s="11"/>
      <c r="J1368" s="17" t="str">
        <f>IF(TRIM(B1368)="","",IF(ISNUMBER(SEARCH(" - ",B1368)),TRIM(RIGHT(B1368,LEN(B1368)-FIND(" - ",B1368)-2)),IFERROR(VLOOKUP(UPPER(TRIM(B1368)), SETUP!$B$4:$C$11, 2, FALSE), UPPER(TRIM(B1368)))))</f>
        <v/>
      </c>
      <c r="K1368" s="23" t="str">
        <f t="shared" si="2"/>
        <v/>
      </c>
      <c r="L1368" s="17" t="str">
        <f t="shared" si="3"/>
        <v/>
      </c>
      <c r="M1368" s="17" t="str">
        <f t="shared" si="4"/>
        <v/>
      </c>
    </row>
    <row r="1369" ht="15.75" customHeight="1">
      <c r="A1369" s="12"/>
      <c r="B1369" s="11"/>
      <c r="C1369" s="11"/>
      <c r="D1369" s="11"/>
      <c r="E1369" s="11" t="str">
        <f>IF(J1369="","", C1369 * IFERROR(VLOOKUP(J1369, SETUP!$A:$D, 3, FALSE), 0))</f>
        <v/>
      </c>
      <c r="F1369" s="11" t="str">
        <f>IF(J1369="","", C1369 * IFERROR(VLOOKUP(J1369, SETUP!$A:$D, 4, FALSE), 0))</f>
        <v/>
      </c>
      <c r="G1369" s="11" t="str">
        <f t="shared" si="1"/>
        <v/>
      </c>
      <c r="H1369" s="22"/>
      <c r="I1369" s="11"/>
      <c r="J1369" s="17" t="str">
        <f>IF(TRIM(B1369)="","",IF(ISNUMBER(SEARCH(" - ",B1369)),TRIM(RIGHT(B1369,LEN(B1369)-FIND(" - ",B1369)-2)),IFERROR(VLOOKUP(UPPER(TRIM(B1369)), SETUP!$B$4:$C$11, 2, FALSE), UPPER(TRIM(B1369)))))</f>
        <v/>
      </c>
      <c r="K1369" s="23" t="str">
        <f t="shared" si="2"/>
        <v/>
      </c>
      <c r="L1369" s="17" t="str">
        <f t="shared" si="3"/>
        <v/>
      </c>
      <c r="M1369" s="17" t="str">
        <f t="shared" si="4"/>
        <v/>
      </c>
    </row>
    <row r="1370" ht="15.75" customHeight="1">
      <c r="A1370" s="12"/>
      <c r="B1370" s="11"/>
      <c r="C1370" s="11"/>
      <c r="D1370" s="11"/>
      <c r="E1370" s="11" t="str">
        <f>IF(J1370="","", C1370 * IFERROR(VLOOKUP(J1370, SETUP!$A:$D, 3, FALSE), 0))</f>
        <v/>
      </c>
      <c r="F1370" s="11" t="str">
        <f>IF(J1370="","", C1370 * IFERROR(VLOOKUP(J1370, SETUP!$A:$D, 4, FALSE), 0))</f>
        <v/>
      </c>
      <c r="G1370" s="11" t="str">
        <f t="shared" si="1"/>
        <v/>
      </c>
      <c r="H1370" s="22"/>
      <c r="I1370" s="11"/>
      <c r="J1370" s="17" t="str">
        <f>IF(TRIM(B1370)="","",IF(ISNUMBER(SEARCH(" - ",B1370)),TRIM(RIGHT(B1370,LEN(B1370)-FIND(" - ",B1370)-2)),IFERROR(VLOOKUP(UPPER(TRIM(B1370)), SETUP!$B$4:$C$11, 2, FALSE), UPPER(TRIM(B1370)))))</f>
        <v/>
      </c>
      <c r="K1370" s="23" t="str">
        <f t="shared" si="2"/>
        <v/>
      </c>
      <c r="L1370" s="17" t="str">
        <f t="shared" si="3"/>
        <v/>
      </c>
      <c r="M1370" s="17" t="str">
        <f t="shared" si="4"/>
        <v/>
      </c>
    </row>
    <row r="1371" ht="15.75" customHeight="1">
      <c r="A1371" s="12"/>
      <c r="B1371" s="11"/>
      <c r="C1371" s="11"/>
      <c r="D1371" s="11"/>
      <c r="E1371" s="11" t="str">
        <f>IF(J1371="","", C1371 * IFERROR(VLOOKUP(J1371, SETUP!$A:$D, 3, FALSE), 0))</f>
        <v/>
      </c>
      <c r="F1371" s="11" t="str">
        <f>IF(J1371="","", C1371 * IFERROR(VLOOKUP(J1371, SETUP!$A:$D, 4, FALSE), 0))</f>
        <v/>
      </c>
      <c r="G1371" s="11" t="str">
        <f t="shared" si="1"/>
        <v/>
      </c>
      <c r="H1371" s="22"/>
      <c r="I1371" s="11"/>
      <c r="J1371" s="17" t="str">
        <f>IF(TRIM(B1371)="","",IF(ISNUMBER(SEARCH(" - ",B1371)),TRIM(RIGHT(B1371,LEN(B1371)-FIND(" - ",B1371)-2)),IFERROR(VLOOKUP(UPPER(TRIM(B1371)), SETUP!$B$4:$C$11, 2, FALSE), UPPER(TRIM(B1371)))))</f>
        <v/>
      </c>
      <c r="K1371" s="23" t="str">
        <f t="shared" si="2"/>
        <v/>
      </c>
      <c r="L1371" s="17" t="str">
        <f t="shared" si="3"/>
        <v/>
      </c>
      <c r="M1371" s="17" t="str">
        <f t="shared" si="4"/>
        <v/>
      </c>
    </row>
    <row r="1372" ht="15.75" customHeight="1">
      <c r="A1372" s="12"/>
      <c r="B1372" s="11"/>
      <c r="C1372" s="11"/>
      <c r="D1372" s="11"/>
      <c r="E1372" s="11" t="str">
        <f>IF(J1372="","", C1372 * IFERROR(VLOOKUP(J1372, SETUP!$A:$D, 3, FALSE), 0))</f>
        <v/>
      </c>
      <c r="F1372" s="11" t="str">
        <f>IF(J1372="","", C1372 * IFERROR(VLOOKUP(J1372, SETUP!$A:$D, 4, FALSE), 0))</f>
        <v/>
      </c>
      <c r="G1372" s="11" t="str">
        <f t="shared" si="1"/>
        <v/>
      </c>
      <c r="H1372" s="22"/>
      <c r="I1372" s="11"/>
      <c r="J1372" s="17" t="str">
        <f>IF(TRIM(B1372)="","",IF(ISNUMBER(SEARCH(" - ",B1372)),TRIM(RIGHT(B1372,LEN(B1372)-FIND(" - ",B1372)-2)),IFERROR(VLOOKUP(UPPER(TRIM(B1372)), SETUP!$B$4:$C$11, 2, FALSE), UPPER(TRIM(B1372)))))</f>
        <v/>
      </c>
      <c r="K1372" s="23" t="str">
        <f t="shared" si="2"/>
        <v/>
      </c>
      <c r="L1372" s="17" t="str">
        <f t="shared" si="3"/>
        <v/>
      </c>
      <c r="M1372" s="17" t="str">
        <f t="shared" si="4"/>
        <v/>
      </c>
    </row>
    <row r="1373" ht="15.75" customHeight="1">
      <c r="A1373" s="12"/>
      <c r="B1373" s="11"/>
      <c r="C1373" s="11"/>
      <c r="D1373" s="11"/>
      <c r="E1373" s="11" t="str">
        <f>IF(J1373="","", C1373 * IFERROR(VLOOKUP(J1373, SETUP!$A:$D, 3, FALSE), 0))</f>
        <v/>
      </c>
      <c r="F1373" s="11" t="str">
        <f>IF(J1373="","", C1373 * IFERROR(VLOOKUP(J1373, SETUP!$A:$D, 4, FALSE), 0))</f>
        <v/>
      </c>
      <c r="G1373" s="11" t="str">
        <f t="shared" si="1"/>
        <v/>
      </c>
      <c r="H1373" s="22"/>
      <c r="I1373" s="11"/>
      <c r="J1373" s="17" t="str">
        <f>IF(TRIM(B1373)="","",IF(ISNUMBER(SEARCH(" - ",B1373)),TRIM(RIGHT(B1373,LEN(B1373)-FIND(" - ",B1373)-2)),IFERROR(VLOOKUP(UPPER(TRIM(B1373)), SETUP!$B$4:$C$11, 2, FALSE), UPPER(TRIM(B1373)))))</f>
        <v/>
      </c>
      <c r="K1373" s="23" t="str">
        <f t="shared" si="2"/>
        <v/>
      </c>
      <c r="L1373" s="17" t="str">
        <f t="shared" si="3"/>
        <v/>
      </c>
      <c r="M1373" s="17" t="str">
        <f t="shared" si="4"/>
        <v/>
      </c>
    </row>
    <row r="1374" ht="15.75" customHeight="1">
      <c r="A1374" s="12"/>
      <c r="B1374" s="11"/>
      <c r="C1374" s="11"/>
      <c r="D1374" s="11"/>
      <c r="E1374" s="11" t="str">
        <f>IF(J1374="","", C1374 * IFERROR(VLOOKUP(J1374, SETUP!$A:$D, 3, FALSE), 0))</f>
        <v/>
      </c>
      <c r="F1374" s="11" t="str">
        <f>IF(J1374="","", C1374 * IFERROR(VLOOKUP(J1374, SETUP!$A:$D, 4, FALSE), 0))</f>
        <v/>
      </c>
      <c r="G1374" s="11" t="str">
        <f t="shared" si="1"/>
        <v/>
      </c>
      <c r="H1374" s="22"/>
      <c r="I1374" s="11"/>
      <c r="J1374" s="17" t="str">
        <f>IF(TRIM(B1374)="","",IF(ISNUMBER(SEARCH(" - ",B1374)),TRIM(RIGHT(B1374,LEN(B1374)-FIND(" - ",B1374)-2)),IFERROR(VLOOKUP(UPPER(TRIM(B1374)), SETUP!$B$4:$C$11, 2, FALSE), UPPER(TRIM(B1374)))))</f>
        <v/>
      </c>
      <c r="K1374" s="23" t="str">
        <f t="shared" si="2"/>
        <v/>
      </c>
      <c r="L1374" s="17" t="str">
        <f t="shared" si="3"/>
        <v/>
      </c>
      <c r="M1374" s="17" t="str">
        <f t="shared" si="4"/>
        <v/>
      </c>
    </row>
    <row r="1375" ht="15.75" customHeight="1">
      <c r="A1375" s="12"/>
      <c r="B1375" s="11"/>
      <c r="C1375" s="11"/>
      <c r="D1375" s="11"/>
      <c r="E1375" s="11" t="str">
        <f>IF(J1375="","", C1375 * IFERROR(VLOOKUP(J1375, SETUP!$A:$D, 3, FALSE), 0))</f>
        <v/>
      </c>
      <c r="F1375" s="11" t="str">
        <f>IF(J1375="","", C1375 * IFERROR(VLOOKUP(J1375, SETUP!$A:$D, 4, FALSE), 0))</f>
        <v/>
      </c>
      <c r="G1375" s="11" t="str">
        <f t="shared" si="1"/>
        <v/>
      </c>
      <c r="H1375" s="22"/>
      <c r="I1375" s="11"/>
      <c r="J1375" s="17" t="str">
        <f>IF(TRIM(B1375)="","",IF(ISNUMBER(SEARCH(" - ",B1375)),TRIM(RIGHT(B1375,LEN(B1375)-FIND(" - ",B1375)-2)),IFERROR(VLOOKUP(UPPER(TRIM(B1375)), SETUP!$B$4:$C$11, 2, FALSE), UPPER(TRIM(B1375)))))</f>
        <v/>
      </c>
      <c r="K1375" s="23" t="str">
        <f t="shared" si="2"/>
        <v/>
      </c>
      <c r="L1375" s="17" t="str">
        <f t="shared" si="3"/>
        <v/>
      </c>
      <c r="M1375" s="17" t="str">
        <f t="shared" si="4"/>
        <v/>
      </c>
    </row>
    <row r="1376" ht="15.75" customHeight="1">
      <c r="A1376" s="12"/>
      <c r="B1376" s="11"/>
      <c r="C1376" s="11"/>
      <c r="D1376" s="11"/>
      <c r="E1376" s="11" t="str">
        <f>IF(J1376="","", C1376 * IFERROR(VLOOKUP(J1376, SETUP!$A:$D, 3, FALSE), 0))</f>
        <v/>
      </c>
      <c r="F1376" s="11" t="str">
        <f>IF(J1376="","", C1376 * IFERROR(VLOOKUP(J1376, SETUP!$A:$D, 4, FALSE), 0))</f>
        <v/>
      </c>
      <c r="G1376" s="11" t="str">
        <f t="shared" si="1"/>
        <v/>
      </c>
      <c r="H1376" s="22"/>
      <c r="I1376" s="11"/>
      <c r="J1376" s="17" t="str">
        <f>IF(TRIM(B1376)="","",IF(ISNUMBER(SEARCH(" - ",B1376)),TRIM(RIGHT(B1376,LEN(B1376)-FIND(" - ",B1376)-2)),IFERROR(VLOOKUP(UPPER(TRIM(B1376)), SETUP!$B$4:$C$11, 2, FALSE), UPPER(TRIM(B1376)))))</f>
        <v/>
      </c>
      <c r="K1376" s="23" t="str">
        <f t="shared" si="2"/>
        <v/>
      </c>
      <c r="L1376" s="17" t="str">
        <f t="shared" si="3"/>
        <v/>
      </c>
      <c r="M1376" s="17" t="str">
        <f t="shared" si="4"/>
        <v/>
      </c>
    </row>
    <row r="1377" ht="15.75" customHeight="1">
      <c r="A1377" s="12"/>
      <c r="B1377" s="11"/>
      <c r="C1377" s="11"/>
      <c r="D1377" s="11"/>
      <c r="E1377" s="11" t="str">
        <f>IF(J1377="","", C1377 * IFERROR(VLOOKUP(J1377, SETUP!$A:$D, 3, FALSE), 0))</f>
        <v/>
      </c>
      <c r="F1377" s="11" t="str">
        <f>IF(J1377="","", C1377 * IFERROR(VLOOKUP(J1377, SETUP!$A:$D, 4, FALSE), 0))</f>
        <v/>
      </c>
      <c r="G1377" s="11" t="str">
        <f t="shared" si="1"/>
        <v/>
      </c>
      <c r="H1377" s="22"/>
      <c r="I1377" s="11"/>
      <c r="J1377" s="17" t="str">
        <f>IF(TRIM(B1377)="","",IF(ISNUMBER(SEARCH(" - ",B1377)),TRIM(RIGHT(B1377,LEN(B1377)-FIND(" - ",B1377)-2)),IFERROR(VLOOKUP(UPPER(TRIM(B1377)), SETUP!$B$4:$C$11, 2, FALSE), UPPER(TRIM(B1377)))))</f>
        <v/>
      </c>
      <c r="K1377" s="23" t="str">
        <f t="shared" si="2"/>
        <v/>
      </c>
      <c r="L1377" s="17" t="str">
        <f t="shared" si="3"/>
        <v/>
      </c>
      <c r="M1377" s="17" t="str">
        <f t="shared" si="4"/>
        <v/>
      </c>
    </row>
    <row r="1378" ht="15.75" customHeight="1">
      <c r="A1378" s="12"/>
      <c r="B1378" s="11"/>
      <c r="C1378" s="11"/>
      <c r="D1378" s="11"/>
      <c r="E1378" s="11" t="str">
        <f>IF(J1378="","", C1378 * IFERROR(VLOOKUP(J1378, SETUP!$A:$D, 3, FALSE), 0))</f>
        <v/>
      </c>
      <c r="F1378" s="11" t="str">
        <f>IF(J1378="","", C1378 * IFERROR(VLOOKUP(J1378, SETUP!$A:$D, 4, FALSE), 0))</f>
        <v/>
      </c>
      <c r="G1378" s="11" t="str">
        <f t="shared" si="1"/>
        <v/>
      </c>
      <c r="H1378" s="22"/>
      <c r="I1378" s="11"/>
      <c r="J1378" s="17" t="str">
        <f>IF(TRIM(B1378)="","",IF(ISNUMBER(SEARCH(" - ",B1378)),TRIM(RIGHT(B1378,LEN(B1378)-FIND(" - ",B1378)-2)),IFERROR(VLOOKUP(UPPER(TRIM(B1378)), SETUP!$B$4:$C$11, 2, FALSE), UPPER(TRIM(B1378)))))</f>
        <v/>
      </c>
      <c r="K1378" s="23" t="str">
        <f t="shared" si="2"/>
        <v/>
      </c>
      <c r="L1378" s="17" t="str">
        <f t="shared" si="3"/>
        <v/>
      </c>
      <c r="M1378" s="17" t="str">
        <f t="shared" si="4"/>
        <v/>
      </c>
    </row>
    <row r="1379" ht="15.75" customHeight="1">
      <c r="A1379" s="12"/>
      <c r="B1379" s="11"/>
      <c r="C1379" s="11"/>
      <c r="D1379" s="11"/>
      <c r="E1379" s="11" t="str">
        <f>IF(J1379="","", C1379 * IFERROR(VLOOKUP(J1379, SETUP!$A:$D, 3, FALSE), 0))</f>
        <v/>
      </c>
      <c r="F1379" s="11" t="str">
        <f>IF(J1379="","", C1379 * IFERROR(VLOOKUP(J1379, SETUP!$A:$D, 4, FALSE), 0))</f>
        <v/>
      </c>
      <c r="G1379" s="11" t="str">
        <f t="shared" si="1"/>
        <v/>
      </c>
      <c r="H1379" s="22"/>
      <c r="I1379" s="11"/>
      <c r="J1379" s="17" t="str">
        <f>IF(TRIM(B1379)="","",IF(ISNUMBER(SEARCH(" - ",B1379)),TRIM(RIGHT(B1379,LEN(B1379)-FIND(" - ",B1379)-2)),IFERROR(VLOOKUP(UPPER(TRIM(B1379)), SETUP!$B$4:$C$11, 2, FALSE), UPPER(TRIM(B1379)))))</f>
        <v/>
      </c>
      <c r="K1379" s="23" t="str">
        <f t="shared" si="2"/>
        <v/>
      </c>
      <c r="L1379" s="17" t="str">
        <f t="shared" si="3"/>
        <v/>
      </c>
      <c r="M1379" s="17" t="str">
        <f t="shared" si="4"/>
        <v/>
      </c>
    </row>
    <row r="1380" ht="15.75" customHeight="1">
      <c r="A1380" s="12"/>
      <c r="B1380" s="11"/>
      <c r="C1380" s="11"/>
      <c r="D1380" s="11"/>
      <c r="E1380" s="11" t="str">
        <f>IF(J1380="","", C1380 * IFERROR(VLOOKUP(J1380, SETUP!$A:$D, 3, FALSE), 0))</f>
        <v/>
      </c>
      <c r="F1380" s="11" t="str">
        <f>IF(J1380="","", C1380 * IFERROR(VLOOKUP(J1380, SETUP!$A:$D, 4, FALSE), 0))</f>
        <v/>
      </c>
      <c r="G1380" s="11" t="str">
        <f t="shared" si="1"/>
        <v/>
      </c>
      <c r="H1380" s="22"/>
      <c r="I1380" s="11"/>
      <c r="J1380" s="17" t="str">
        <f>IF(TRIM(B1380)="","",IF(ISNUMBER(SEARCH(" - ",B1380)),TRIM(RIGHT(B1380,LEN(B1380)-FIND(" - ",B1380)-2)),IFERROR(VLOOKUP(UPPER(TRIM(B1380)), SETUP!$B$4:$C$11, 2, FALSE), UPPER(TRIM(B1380)))))</f>
        <v/>
      </c>
      <c r="K1380" s="23" t="str">
        <f t="shared" si="2"/>
        <v/>
      </c>
      <c r="L1380" s="17" t="str">
        <f t="shared" si="3"/>
        <v/>
      </c>
      <c r="M1380" s="17" t="str">
        <f t="shared" si="4"/>
        <v/>
      </c>
    </row>
    <row r="1381" ht="15.75" customHeight="1">
      <c r="A1381" s="12"/>
      <c r="B1381" s="11"/>
      <c r="C1381" s="11"/>
      <c r="D1381" s="11"/>
      <c r="E1381" s="11" t="str">
        <f>IF(J1381="","", C1381 * IFERROR(VLOOKUP(J1381, SETUP!$A:$D, 3, FALSE), 0))</f>
        <v/>
      </c>
      <c r="F1381" s="11" t="str">
        <f>IF(J1381="","", C1381 * IFERROR(VLOOKUP(J1381, SETUP!$A:$D, 4, FALSE), 0))</f>
        <v/>
      </c>
      <c r="G1381" s="11" t="str">
        <f t="shared" si="1"/>
        <v/>
      </c>
      <c r="H1381" s="22"/>
      <c r="I1381" s="11"/>
      <c r="J1381" s="17" t="str">
        <f>IF(TRIM(B1381)="","",IF(ISNUMBER(SEARCH(" - ",B1381)),TRIM(RIGHT(B1381,LEN(B1381)-FIND(" - ",B1381)-2)),IFERROR(VLOOKUP(UPPER(TRIM(B1381)), SETUP!$B$4:$C$11, 2, FALSE), UPPER(TRIM(B1381)))))</f>
        <v/>
      </c>
      <c r="K1381" s="23" t="str">
        <f t="shared" si="2"/>
        <v/>
      </c>
      <c r="L1381" s="17" t="str">
        <f t="shared" si="3"/>
        <v/>
      </c>
      <c r="M1381" s="17" t="str">
        <f t="shared" si="4"/>
        <v/>
      </c>
    </row>
    <row r="1382" ht="15.75" customHeight="1">
      <c r="A1382" s="12"/>
      <c r="B1382" s="11"/>
      <c r="C1382" s="11"/>
      <c r="D1382" s="11"/>
      <c r="E1382" s="11" t="str">
        <f>IF(J1382="","", C1382 * IFERROR(VLOOKUP(J1382, SETUP!$A:$D, 3, FALSE), 0))</f>
        <v/>
      </c>
      <c r="F1382" s="11" t="str">
        <f>IF(J1382="","", C1382 * IFERROR(VLOOKUP(J1382, SETUP!$A:$D, 4, FALSE), 0))</f>
        <v/>
      </c>
      <c r="G1382" s="11" t="str">
        <f t="shared" si="1"/>
        <v/>
      </c>
      <c r="H1382" s="22"/>
      <c r="I1382" s="11"/>
      <c r="J1382" s="17" t="str">
        <f>IF(TRIM(B1382)="","",IF(ISNUMBER(SEARCH(" - ",B1382)),TRIM(RIGHT(B1382,LEN(B1382)-FIND(" - ",B1382)-2)),IFERROR(VLOOKUP(UPPER(TRIM(B1382)), SETUP!$B$4:$C$11, 2, FALSE), UPPER(TRIM(B1382)))))</f>
        <v/>
      </c>
      <c r="K1382" s="23" t="str">
        <f t="shared" si="2"/>
        <v/>
      </c>
      <c r="L1382" s="17" t="str">
        <f t="shared" si="3"/>
        <v/>
      </c>
      <c r="M1382" s="17" t="str">
        <f t="shared" si="4"/>
        <v/>
      </c>
    </row>
    <row r="1383" ht="15.75" customHeight="1">
      <c r="A1383" s="12"/>
      <c r="B1383" s="11"/>
      <c r="C1383" s="11"/>
      <c r="D1383" s="11"/>
      <c r="E1383" s="11" t="str">
        <f>IF(J1383="","", C1383 * IFERROR(VLOOKUP(J1383, SETUP!$A:$D, 3, FALSE), 0))</f>
        <v/>
      </c>
      <c r="F1383" s="11" t="str">
        <f>IF(J1383="","", C1383 * IFERROR(VLOOKUP(J1383, SETUP!$A:$D, 4, FALSE), 0))</f>
        <v/>
      </c>
      <c r="G1383" s="11" t="str">
        <f t="shared" si="1"/>
        <v/>
      </c>
      <c r="H1383" s="22"/>
      <c r="I1383" s="11"/>
      <c r="J1383" s="17" t="str">
        <f>IF(TRIM(B1383)="","",IF(ISNUMBER(SEARCH(" - ",B1383)),TRIM(RIGHT(B1383,LEN(B1383)-FIND(" - ",B1383)-2)),IFERROR(VLOOKUP(UPPER(TRIM(B1383)), SETUP!$B$4:$C$11, 2, FALSE), UPPER(TRIM(B1383)))))</f>
        <v/>
      </c>
      <c r="K1383" s="23" t="str">
        <f t="shared" si="2"/>
        <v/>
      </c>
      <c r="L1383" s="17" t="str">
        <f t="shared" si="3"/>
        <v/>
      </c>
      <c r="M1383" s="17" t="str">
        <f t="shared" si="4"/>
        <v/>
      </c>
    </row>
    <row r="1384" ht="15.75" customHeight="1">
      <c r="A1384" s="12"/>
      <c r="B1384" s="11"/>
      <c r="C1384" s="11"/>
      <c r="D1384" s="11"/>
      <c r="E1384" s="11" t="str">
        <f>IF(J1384="","", C1384 * IFERROR(VLOOKUP(J1384, SETUP!$A:$D, 3, FALSE), 0))</f>
        <v/>
      </c>
      <c r="F1384" s="11" t="str">
        <f>IF(J1384="","", C1384 * IFERROR(VLOOKUP(J1384, SETUP!$A:$D, 4, FALSE), 0))</f>
        <v/>
      </c>
      <c r="G1384" s="11" t="str">
        <f t="shared" si="1"/>
        <v/>
      </c>
      <c r="H1384" s="22"/>
      <c r="I1384" s="11"/>
      <c r="J1384" s="17" t="str">
        <f>IF(TRIM(B1384)="","",IF(ISNUMBER(SEARCH(" - ",B1384)),TRIM(RIGHT(B1384,LEN(B1384)-FIND(" - ",B1384)-2)),IFERROR(VLOOKUP(UPPER(TRIM(B1384)), SETUP!$B$4:$C$11, 2, FALSE), UPPER(TRIM(B1384)))))</f>
        <v/>
      </c>
      <c r="K1384" s="23" t="str">
        <f t="shared" si="2"/>
        <v/>
      </c>
      <c r="L1384" s="17" t="str">
        <f t="shared" si="3"/>
        <v/>
      </c>
      <c r="M1384" s="17" t="str">
        <f t="shared" si="4"/>
        <v/>
      </c>
    </row>
    <row r="1385" ht="15.75" customHeight="1">
      <c r="A1385" s="12"/>
      <c r="B1385" s="11"/>
      <c r="C1385" s="11"/>
      <c r="D1385" s="11"/>
      <c r="E1385" s="11" t="str">
        <f>IF(J1385="","", C1385 * IFERROR(VLOOKUP(J1385, SETUP!$A:$D, 3, FALSE), 0))</f>
        <v/>
      </c>
      <c r="F1385" s="11" t="str">
        <f>IF(J1385="","", C1385 * IFERROR(VLOOKUP(J1385, SETUP!$A:$D, 4, FALSE), 0))</f>
        <v/>
      </c>
      <c r="G1385" s="11" t="str">
        <f t="shared" si="1"/>
        <v/>
      </c>
      <c r="H1385" s="22"/>
      <c r="I1385" s="11"/>
      <c r="J1385" s="17" t="str">
        <f>IF(TRIM(B1385)="","",IF(ISNUMBER(SEARCH(" - ",B1385)),TRIM(RIGHT(B1385,LEN(B1385)-FIND(" - ",B1385)-2)),IFERROR(VLOOKUP(UPPER(TRIM(B1385)), SETUP!$B$4:$C$11, 2, FALSE), UPPER(TRIM(B1385)))))</f>
        <v/>
      </c>
      <c r="K1385" s="23" t="str">
        <f t="shared" si="2"/>
        <v/>
      </c>
      <c r="L1385" s="17" t="str">
        <f t="shared" si="3"/>
        <v/>
      </c>
      <c r="M1385" s="17" t="str">
        <f t="shared" si="4"/>
        <v/>
      </c>
    </row>
    <row r="1386" ht="15.75" customHeight="1">
      <c r="A1386" s="12"/>
      <c r="B1386" s="11"/>
      <c r="C1386" s="11"/>
      <c r="D1386" s="11"/>
      <c r="E1386" s="11" t="str">
        <f>IF(J1386="","", C1386 * IFERROR(VLOOKUP(J1386, SETUP!$A:$D, 3, FALSE), 0))</f>
        <v/>
      </c>
      <c r="F1386" s="11" t="str">
        <f>IF(J1386="","", C1386 * IFERROR(VLOOKUP(J1386, SETUP!$A:$D, 4, FALSE), 0))</f>
        <v/>
      </c>
      <c r="G1386" s="11" t="str">
        <f t="shared" si="1"/>
        <v/>
      </c>
      <c r="H1386" s="22"/>
      <c r="I1386" s="11"/>
      <c r="J1386" s="17" t="str">
        <f>IF(TRIM(B1386)="","",IF(ISNUMBER(SEARCH(" - ",B1386)),TRIM(RIGHT(B1386,LEN(B1386)-FIND(" - ",B1386)-2)),IFERROR(VLOOKUP(UPPER(TRIM(B1386)), SETUP!$B$4:$C$11, 2, FALSE), UPPER(TRIM(B1386)))))</f>
        <v/>
      </c>
      <c r="K1386" s="23" t="str">
        <f t="shared" si="2"/>
        <v/>
      </c>
      <c r="L1386" s="17" t="str">
        <f t="shared" si="3"/>
        <v/>
      </c>
      <c r="M1386" s="17" t="str">
        <f t="shared" si="4"/>
        <v/>
      </c>
    </row>
    <row r="1387" ht="15.75" customHeight="1">
      <c r="A1387" s="12"/>
      <c r="B1387" s="11"/>
      <c r="C1387" s="11"/>
      <c r="D1387" s="11"/>
      <c r="E1387" s="11" t="str">
        <f>IF(J1387="","", C1387 * IFERROR(VLOOKUP(J1387, SETUP!$A:$D, 3, FALSE), 0))</f>
        <v/>
      </c>
      <c r="F1387" s="11" t="str">
        <f>IF(J1387="","", C1387 * IFERROR(VLOOKUP(J1387, SETUP!$A:$D, 4, FALSE), 0))</f>
        <v/>
      </c>
      <c r="G1387" s="11" t="str">
        <f t="shared" si="1"/>
        <v/>
      </c>
      <c r="H1387" s="22"/>
      <c r="I1387" s="11"/>
      <c r="J1387" s="17" t="str">
        <f>IF(TRIM(B1387)="","",IF(ISNUMBER(SEARCH(" - ",B1387)),TRIM(RIGHT(B1387,LEN(B1387)-FIND(" - ",B1387)-2)),IFERROR(VLOOKUP(UPPER(TRIM(B1387)), SETUP!$B$4:$C$11, 2, FALSE), UPPER(TRIM(B1387)))))</f>
        <v/>
      </c>
      <c r="K1387" s="23" t="str">
        <f t="shared" si="2"/>
        <v/>
      </c>
      <c r="L1387" s="17" t="str">
        <f t="shared" si="3"/>
        <v/>
      </c>
      <c r="M1387" s="17" t="str">
        <f t="shared" si="4"/>
        <v/>
      </c>
    </row>
    <row r="1388" ht="15.75" customHeight="1">
      <c r="A1388" s="12"/>
      <c r="B1388" s="11"/>
      <c r="C1388" s="11"/>
      <c r="D1388" s="11"/>
      <c r="E1388" s="11" t="str">
        <f>IF(J1388="","", C1388 * IFERROR(VLOOKUP(J1388, SETUP!$A:$D, 3, FALSE), 0))</f>
        <v/>
      </c>
      <c r="F1388" s="11" t="str">
        <f>IF(J1388="","", C1388 * IFERROR(VLOOKUP(J1388, SETUP!$A:$D, 4, FALSE), 0))</f>
        <v/>
      </c>
      <c r="G1388" s="11" t="str">
        <f t="shared" si="1"/>
        <v/>
      </c>
      <c r="H1388" s="22"/>
      <c r="I1388" s="11"/>
      <c r="J1388" s="17" t="str">
        <f>IF(TRIM(B1388)="","",IF(ISNUMBER(SEARCH(" - ",B1388)),TRIM(RIGHT(B1388,LEN(B1388)-FIND(" - ",B1388)-2)),IFERROR(VLOOKUP(UPPER(TRIM(B1388)), SETUP!$B$4:$C$11, 2, FALSE), UPPER(TRIM(B1388)))))</f>
        <v/>
      </c>
      <c r="K1388" s="23" t="str">
        <f t="shared" si="2"/>
        <v/>
      </c>
      <c r="L1388" s="17" t="str">
        <f t="shared" si="3"/>
        <v/>
      </c>
      <c r="M1388" s="17" t="str">
        <f t="shared" si="4"/>
        <v/>
      </c>
    </row>
    <row r="1389" ht="15.75" customHeight="1">
      <c r="A1389" s="12"/>
      <c r="B1389" s="11"/>
      <c r="C1389" s="11"/>
      <c r="D1389" s="11"/>
      <c r="E1389" s="11" t="str">
        <f>IF(J1389="","", C1389 * IFERROR(VLOOKUP(J1389, SETUP!$A:$D, 3, FALSE), 0))</f>
        <v/>
      </c>
      <c r="F1389" s="11" t="str">
        <f>IF(J1389="","", C1389 * IFERROR(VLOOKUP(J1389, SETUP!$A:$D, 4, FALSE), 0))</f>
        <v/>
      </c>
      <c r="G1389" s="11" t="str">
        <f t="shared" si="1"/>
        <v/>
      </c>
      <c r="H1389" s="22"/>
      <c r="I1389" s="11"/>
      <c r="J1389" s="17" t="str">
        <f>IF(TRIM(B1389)="","",IF(ISNUMBER(SEARCH(" - ",B1389)),TRIM(RIGHT(B1389,LEN(B1389)-FIND(" - ",B1389)-2)),IFERROR(VLOOKUP(UPPER(TRIM(B1389)), SETUP!$B$4:$C$11, 2, FALSE), UPPER(TRIM(B1389)))))</f>
        <v/>
      </c>
      <c r="K1389" s="23" t="str">
        <f t="shared" si="2"/>
        <v/>
      </c>
      <c r="L1389" s="17" t="str">
        <f t="shared" si="3"/>
        <v/>
      </c>
      <c r="M1389" s="17" t="str">
        <f t="shared" si="4"/>
        <v/>
      </c>
    </row>
    <row r="1390" ht="15.75" customHeight="1">
      <c r="A1390" s="12"/>
      <c r="B1390" s="11"/>
      <c r="C1390" s="11"/>
      <c r="D1390" s="11"/>
      <c r="E1390" s="11" t="str">
        <f>IF(J1390="","", C1390 * IFERROR(VLOOKUP(J1390, SETUP!$A:$D, 3, FALSE), 0))</f>
        <v/>
      </c>
      <c r="F1390" s="11" t="str">
        <f>IF(J1390="","", C1390 * IFERROR(VLOOKUP(J1390, SETUP!$A:$D, 4, FALSE), 0))</f>
        <v/>
      </c>
      <c r="G1390" s="11" t="str">
        <f t="shared" si="1"/>
        <v/>
      </c>
      <c r="H1390" s="22"/>
      <c r="I1390" s="11"/>
      <c r="J1390" s="17" t="str">
        <f>IF(TRIM(B1390)="","",IF(ISNUMBER(SEARCH(" - ",B1390)),TRIM(RIGHT(B1390,LEN(B1390)-FIND(" - ",B1390)-2)),IFERROR(VLOOKUP(UPPER(TRIM(B1390)), SETUP!$B$4:$C$11, 2, FALSE), UPPER(TRIM(B1390)))))</f>
        <v/>
      </c>
      <c r="K1390" s="23" t="str">
        <f t="shared" si="2"/>
        <v/>
      </c>
      <c r="L1390" s="17" t="str">
        <f t="shared" si="3"/>
        <v/>
      </c>
      <c r="M1390" s="17" t="str">
        <f t="shared" si="4"/>
        <v/>
      </c>
    </row>
    <row r="1391" ht="15.75" customHeight="1">
      <c r="A1391" s="12"/>
      <c r="B1391" s="11"/>
      <c r="C1391" s="11"/>
      <c r="D1391" s="11"/>
      <c r="E1391" s="11" t="str">
        <f>IF(J1391="","", C1391 * IFERROR(VLOOKUP(J1391, SETUP!$A:$D, 3, FALSE), 0))</f>
        <v/>
      </c>
      <c r="F1391" s="11" t="str">
        <f>IF(J1391="","", C1391 * IFERROR(VLOOKUP(J1391, SETUP!$A:$D, 4, FALSE), 0))</f>
        <v/>
      </c>
      <c r="G1391" s="11" t="str">
        <f t="shared" si="1"/>
        <v/>
      </c>
      <c r="H1391" s="22"/>
      <c r="I1391" s="11"/>
      <c r="J1391" s="17" t="str">
        <f>IF(TRIM(B1391)="","",IF(ISNUMBER(SEARCH(" - ",B1391)),TRIM(RIGHT(B1391,LEN(B1391)-FIND(" - ",B1391)-2)),IFERROR(VLOOKUP(UPPER(TRIM(B1391)), SETUP!$B$4:$C$11, 2, FALSE), UPPER(TRIM(B1391)))))</f>
        <v/>
      </c>
      <c r="K1391" s="23" t="str">
        <f t="shared" si="2"/>
        <v/>
      </c>
      <c r="L1391" s="17" t="str">
        <f t="shared" si="3"/>
        <v/>
      </c>
      <c r="M1391" s="17" t="str">
        <f t="shared" si="4"/>
        <v/>
      </c>
    </row>
    <row r="1392" ht="15.75" customHeight="1">
      <c r="A1392" s="12"/>
      <c r="B1392" s="11"/>
      <c r="C1392" s="11"/>
      <c r="D1392" s="11"/>
      <c r="E1392" s="11" t="str">
        <f>IF(J1392="","", C1392 * IFERROR(VLOOKUP(J1392, SETUP!$A:$D, 3, FALSE), 0))</f>
        <v/>
      </c>
      <c r="F1392" s="11" t="str">
        <f>IF(J1392="","", C1392 * IFERROR(VLOOKUP(J1392, SETUP!$A:$D, 4, FALSE), 0))</f>
        <v/>
      </c>
      <c r="G1392" s="11" t="str">
        <f t="shared" si="1"/>
        <v/>
      </c>
      <c r="H1392" s="22"/>
      <c r="I1392" s="11"/>
      <c r="J1392" s="17" t="str">
        <f>IF(TRIM(B1392)="","",IF(ISNUMBER(SEARCH(" - ",B1392)),TRIM(RIGHT(B1392,LEN(B1392)-FIND(" - ",B1392)-2)),IFERROR(VLOOKUP(UPPER(TRIM(B1392)), SETUP!$B$4:$C$11, 2, FALSE), UPPER(TRIM(B1392)))))</f>
        <v/>
      </c>
      <c r="K1392" s="23" t="str">
        <f t="shared" si="2"/>
        <v/>
      </c>
      <c r="L1392" s="17" t="str">
        <f t="shared" si="3"/>
        <v/>
      </c>
      <c r="M1392" s="17" t="str">
        <f t="shared" si="4"/>
        <v/>
      </c>
    </row>
    <row r="1393" ht="15.75" customHeight="1">
      <c r="A1393" s="12"/>
      <c r="B1393" s="11"/>
      <c r="C1393" s="11"/>
      <c r="D1393" s="11"/>
      <c r="E1393" s="11" t="str">
        <f>IF(J1393="","", C1393 * IFERROR(VLOOKUP(J1393, SETUP!$A:$D, 3, FALSE), 0))</f>
        <v/>
      </c>
      <c r="F1393" s="11" t="str">
        <f>IF(J1393="","", C1393 * IFERROR(VLOOKUP(J1393, SETUP!$A:$D, 4, FALSE), 0))</f>
        <v/>
      </c>
      <c r="G1393" s="11" t="str">
        <f t="shared" si="1"/>
        <v/>
      </c>
      <c r="H1393" s="22"/>
      <c r="I1393" s="11"/>
      <c r="J1393" s="17" t="str">
        <f>IF(TRIM(B1393)="","",IF(ISNUMBER(SEARCH(" - ",B1393)),TRIM(RIGHT(B1393,LEN(B1393)-FIND(" - ",B1393)-2)),IFERROR(VLOOKUP(UPPER(TRIM(B1393)), SETUP!$B$4:$C$11, 2, FALSE), UPPER(TRIM(B1393)))))</f>
        <v/>
      </c>
      <c r="K1393" s="23" t="str">
        <f t="shared" si="2"/>
        <v/>
      </c>
      <c r="L1393" s="17" t="str">
        <f t="shared" si="3"/>
        <v/>
      </c>
      <c r="M1393" s="17" t="str">
        <f t="shared" si="4"/>
        <v/>
      </c>
    </row>
    <row r="1394" ht="15.75" customHeight="1">
      <c r="A1394" s="12"/>
      <c r="B1394" s="11"/>
      <c r="C1394" s="11"/>
      <c r="D1394" s="11"/>
      <c r="E1394" s="11" t="str">
        <f>IF(J1394="","", C1394 * IFERROR(VLOOKUP(J1394, SETUP!$A:$D, 3, FALSE), 0))</f>
        <v/>
      </c>
      <c r="F1394" s="11" t="str">
        <f>IF(J1394="","", C1394 * IFERROR(VLOOKUP(J1394, SETUP!$A:$D, 4, FALSE), 0))</f>
        <v/>
      </c>
      <c r="G1394" s="11" t="str">
        <f t="shared" si="1"/>
        <v/>
      </c>
      <c r="H1394" s="22"/>
      <c r="I1394" s="11"/>
      <c r="J1394" s="17" t="str">
        <f>IF(TRIM(B1394)="","",IF(ISNUMBER(SEARCH(" - ",B1394)),TRIM(RIGHT(B1394,LEN(B1394)-FIND(" - ",B1394)-2)),IFERROR(VLOOKUP(UPPER(TRIM(B1394)), SETUP!$B$4:$C$11, 2, FALSE), UPPER(TRIM(B1394)))))</f>
        <v/>
      </c>
      <c r="K1394" s="23" t="str">
        <f t="shared" si="2"/>
        <v/>
      </c>
      <c r="L1394" s="17" t="str">
        <f t="shared" si="3"/>
        <v/>
      </c>
      <c r="M1394" s="17" t="str">
        <f t="shared" si="4"/>
        <v/>
      </c>
    </row>
    <row r="1395" ht="15.75" customHeight="1">
      <c r="A1395" s="12"/>
      <c r="B1395" s="11"/>
      <c r="C1395" s="11"/>
      <c r="D1395" s="11"/>
      <c r="E1395" s="11" t="str">
        <f>IF(J1395="","", C1395 * IFERROR(VLOOKUP(J1395, SETUP!$A:$D, 3, FALSE), 0))</f>
        <v/>
      </c>
      <c r="F1395" s="11" t="str">
        <f>IF(J1395="","", C1395 * IFERROR(VLOOKUP(J1395, SETUP!$A:$D, 4, FALSE), 0))</f>
        <v/>
      </c>
      <c r="G1395" s="11" t="str">
        <f t="shared" si="1"/>
        <v/>
      </c>
      <c r="H1395" s="22"/>
      <c r="I1395" s="11"/>
      <c r="J1395" s="17" t="str">
        <f>IF(TRIM(B1395)="","",IF(ISNUMBER(SEARCH(" - ",B1395)),TRIM(RIGHT(B1395,LEN(B1395)-FIND(" - ",B1395)-2)),IFERROR(VLOOKUP(UPPER(TRIM(B1395)), SETUP!$B$4:$C$11, 2, FALSE), UPPER(TRIM(B1395)))))</f>
        <v/>
      </c>
      <c r="K1395" s="23" t="str">
        <f t="shared" si="2"/>
        <v/>
      </c>
      <c r="L1395" s="17" t="str">
        <f t="shared" si="3"/>
        <v/>
      </c>
      <c r="M1395" s="17" t="str">
        <f t="shared" si="4"/>
        <v/>
      </c>
    </row>
    <row r="1396" ht="15.75" customHeight="1">
      <c r="A1396" s="12"/>
      <c r="B1396" s="11"/>
      <c r="C1396" s="11"/>
      <c r="D1396" s="11"/>
      <c r="E1396" s="11" t="str">
        <f>IF(J1396="","", C1396 * IFERROR(VLOOKUP(J1396, SETUP!$A:$D, 3, FALSE), 0))</f>
        <v/>
      </c>
      <c r="F1396" s="11" t="str">
        <f>IF(J1396="","", C1396 * IFERROR(VLOOKUP(J1396, SETUP!$A:$D, 4, FALSE), 0))</f>
        <v/>
      </c>
      <c r="G1396" s="11" t="str">
        <f t="shared" si="1"/>
        <v/>
      </c>
      <c r="H1396" s="22"/>
      <c r="I1396" s="11"/>
      <c r="J1396" s="17" t="str">
        <f>IF(TRIM(B1396)="","",IF(ISNUMBER(SEARCH(" - ",B1396)),TRIM(RIGHT(B1396,LEN(B1396)-FIND(" - ",B1396)-2)),IFERROR(VLOOKUP(UPPER(TRIM(B1396)), SETUP!$B$4:$C$11, 2, FALSE), UPPER(TRIM(B1396)))))</f>
        <v/>
      </c>
      <c r="K1396" s="23" t="str">
        <f t="shared" si="2"/>
        <v/>
      </c>
      <c r="L1396" s="17" t="str">
        <f t="shared" si="3"/>
        <v/>
      </c>
      <c r="M1396" s="17" t="str">
        <f t="shared" si="4"/>
        <v/>
      </c>
    </row>
    <row r="1397" ht="15.75" customHeight="1">
      <c r="A1397" s="12"/>
      <c r="B1397" s="11"/>
      <c r="C1397" s="11"/>
      <c r="D1397" s="11"/>
      <c r="E1397" s="11" t="str">
        <f>IF(J1397="","", C1397 * IFERROR(VLOOKUP(J1397, SETUP!$A:$D, 3, FALSE), 0))</f>
        <v/>
      </c>
      <c r="F1397" s="11" t="str">
        <f>IF(J1397="","", C1397 * IFERROR(VLOOKUP(J1397, SETUP!$A:$D, 4, FALSE), 0))</f>
        <v/>
      </c>
      <c r="G1397" s="11" t="str">
        <f t="shared" si="1"/>
        <v/>
      </c>
      <c r="H1397" s="22"/>
      <c r="I1397" s="11"/>
      <c r="J1397" s="17" t="str">
        <f>IF(TRIM(B1397)="","",IF(ISNUMBER(SEARCH(" - ",B1397)),TRIM(RIGHT(B1397,LEN(B1397)-FIND(" - ",B1397)-2)),IFERROR(VLOOKUP(UPPER(TRIM(B1397)), SETUP!$B$4:$C$11, 2, FALSE), UPPER(TRIM(B1397)))))</f>
        <v/>
      </c>
      <c r="K1397" s="23" t="str">
        <f t="shared" si="2"/>
        <v/>
      </c>
      <c r="L1397" s="17" t="str">
        <f t="shared" si="3"/>
        <v/>
      </c>
      <c r="M1397" s="17" t="str">
        <f t="shared" si="4"/>
        <v/>
      </c>
    </row>
    <row r="1398" ht="15.75" customHeight="1">
      <c r="A1398" s="12"/>
      <c r="B1398" s="11"/>
      <c r="C1398" s="11"/>
      <c r="D1398" s="11"/>
      <c r="E1398" s="11" t="str">
        <f>IF(J1398="","", C1398 * IFERROR(VLOOKUP(J1398, SETUP!$A:$D, 3, FALSE), 0))</f>
        <v/>
      </c>
      <c r="F1398" s="11" t="str">
        <f>IF(J1398="","", C1398 * IFERROR(VLOOKUP(J1398, SETUP!$A:$D, 4, FALSE), 0))</f>
        <v/>
      </c>
      <c r="G1398" s="11" t="str">
        <f t="shared" si="1"/>
        <v/>
      </c>
      <c r="H1398" s="22"/>
      <c r="I1398" s="11"/>
      <c r="J1398" s="17" t="str">
        <f>IF(TRIM(B1398)="","",IF(ISNUMBER(SEARCH(" - ",B1398)),TRIM(RIGHT(B1398,LEN(B1398)-FIND(" - ",B1398)-2)),IFERROR(VLOOKUP(UPPER(TRIM(B1398)), SETUP!$B$4:$C$11, 2, FALSE), UPPER(TRIM(B1398)))))</f>
        <v/>
      </c>
      <c r="K1398" s="23" t="str">
        <f t="shared" si="2"/>
        <v/>
      </c>
      <c r="L1398" s="17" t="str">
        <f t="shared" si="3"/>
        <v/>
      </c>
      <c r="M1398" s="17" t="str">
        <f t="shared" si="4"/>
        <v/>
      </c>
    </row>
    <row r="1399" ht="15.75" customHeight="1">
      <c r="A1399" s="12"/>
      <c r="B1399" s="11"/>
      <c r="C1399" s="11"/>
      <c r="D1399" s="11"/>
      <c r="E1399" s="11" t="str">
        <f>IF(J1399="","", C1399 * IFERROR(VLOOKUP(J1399, SETUP!$A:$D, 3, FALSE), 0))</f>
        <v/>
      </c>
      <c r="F1399" s="11" t="str">
        <f>IF(J1399="","", C1399 * IFERROR(VLOOKUP(J1399, SETUP!$A:$D, 4, FALSE), 0))</f>
        <v/>
      </c>
      <c r="G1399" s="11" t="str">
        <f t="shared" si="1"/>
        <v/>
      </c>
      <c r="H1399" s="22"/>
      <c r="I1399" s="11"/>
      <c r="J1399" s="17" t="str">
        <f>IF(TRIM(B1399)="","",IF(ISNUMBER(SEARCH(" - ",B1399)),TRIM(RIGHT(B1399,LEN(B1399)-FIND(" - ",B1399)-2)),IFERROR(VLOOKUP(UPPER(TRIM(B1399)), SETUP!$B$4:$C$11, 2, FALSE), UPPER(TRIM(B1399)))))</f>
        <v/>
      </c>
      <c r="K1399" s="23" t="str">
        <f t="shared" si="2"/>
        <v/>
      </c>
      <c r="L1399" s="17" t="str">
        <f t="shared" si="3"/>
        <v/>
      </c>
      <c r="M1399" s="17" t="str">
        <f t="shared" si="4"/>
        <v/>
      </c>
    </row>
    <row r="1400" ht="15.75" customHeight="1">
      <c r="A1400" s="12"/>
      <c r="B1400" s="11"/>
      <c r="C1400" s="11"/>
      <c r="D1400" s="11"/>
      <c r="E1400" s="11" t="str">
        <f>IF(J1400="","", C1400 * IFERROR(VLOOKUP(J1400, SETUP!$A:$D, 3, FALSE), 0))</f>
        <v/>
      </c>
      <c r="F1400" s="11" t="str">
        <f>IF(J1400="","", C1400 * IFERROR(VLOOKUP(J1400, SETUP!$A:$D, 4, FALSE), 0))</f>
        <v/>
      </c>
      <c r="G1400" s="11" t="str">
        <f t="shared" si="1"/>
        <v/>
      </c>
      <c r="H1400" s="22"/>
      <c r="I1400" s="11"/>
      <c r="J1400" s="17" t="str">
        <f>IF(TRIM(B1400)="","",IF(ISNUMBER(SEARCH(" - ",B1400)),TRIM(RIGHT(B1400,LEN(B1400)-FIND(" - ",B1400)-2)),IFERROR(VLOOKUP(UPPER(TRIM(B1400)), SETUP!$B$4:$C$11, 2, FALSE), UPPER(TRIM(B1400)))))</f>
        <v/>
      </c>
      <c r="K1400" s="23" t="str">
        <f t="shared" si="2"/>
        <v/>
      </c>
      <c r="L1400" s="17" t="str">
        <f t="shared" si="3"/>
        <v/>
      </c>
      <c r="M1400" s="17" t="str">
        <f t="shared" si="4"/>
        <v/>
      </c>
    </row>
    <row r="1401" ht="15.75" customHeight="1">
      <c r="A1401" s="12"/>
      <c r="B1401" s="11"/>
      <c r="C1401" s="11"/>
      <c r="D1401" s="11"/>
      <c r="E1401" s="11" t="str">
        <f>IF(J1401="","", C1401 * IFERROR(VLOOKUP(J1401, SETUP!$A:$D, 3, FALSE), 0))</f>
        <v/>
      </c>
      <c r="F1401" s="11" t="str">
        <f>IF(J1401="","", C1401 * IFERROR(VLOOKUP(J1401, SETUP!$A:$D, 4, FALSE), 0))</f>
        <v/>
      </c>
      <c r="G1401" s="11" t="str">
        <f t="shared" si="1"/>
        <v/>
      </c>
      <c r="H1401" s="22"/>
      <c r="I1401" s="11"/>
      <c r="J1401" s="17" t="str">
        <f>IF(TRIM(B1401)="","",IF(ISNUMBER(SEARCH(" - ",B1401)),TRIM(RIGHT(B1401,LEN(B1401)-FIND(" - ",B1401)-2)),IFERROR(VLOOKUP(UPPER(TRIM(B1401)), SETUP!$B$4:$C$11, 2, FALSE), UPPER(TRIM(B1401)))))</f>
        <v/>
      </c>
      <c r="K1401" s="23" t="str">
        <f t="shared" si="2"/>
        <v/>
      </c>
      <c r="L1401" s="17" t="str">
        <f t="shared" si="3"/>
        <v/>
      </c>
      <c r="M1401" s="17" t="str">
        <f t="shared" si="4"/>
        <v/>
      </c>
    </row>
    <row r="1402" ht="15.75" customHeight="1">
      <c r="A1402" s="12"/>
      <c r="B1402" s="11"/>
      <c r="C1402" s="11"/>
      <c r="D1402" s="11"/>
      <c r="E1402" s="11" t="str">
        <f>IF(J1402="","", C1402 * IFERROR(VLOOKUP(J1402, SETUP!$A:$D, 3, FALSE), 0))</f>
        <v/>
      </c>
      <c r="F1402" s="11" t="str">
        <f>IF(J1402="","", C1402 * IFERROR(VLOOKUP(J1402, SETUP!$A:$D, 4, FALSE), 0))</f>
        <v/>
      </c>
      <c r="G1402" s="11" t="str">
        <f t="shared" si="1"/>
        <v/>
      </c>
      <c r="H1402" s="22"/>
      <c r="I1402" s="11"/>
      <c r="J1402" s="17" t="str">
        <f>IF(TRIM(B1402)="","",IF(ISNUMBER(SEARCH(" - ",B1402)),TRIM(RIGHT(B1402,LEN(B1402)-FIND(" - ",B1402)-2)),IFERROR(VLOOKUP(UPPER(TRIM(B1402)), SETUP!$B$4:$C$11, 2, FALSE), UPPER(TRIM(B1402)))))</f>
        <v/>
      </c>
      <c r="K1402" s="23" t="str">
        <f t="shared" si="2"/>
        <v/>
      </c>
      <c r="L1402" s="17" t="str">
        <f t="shared" si="3"/>
        <v/>
      </c>
      <c r="M1402" s="17" t="str">
        <f t="shared" si="4"/>
        <v/>
      </c>
    </row>
    <row r="1403" ht="15.75" customHeight="1">
      <c r="A1403" s="12"/>
      <c r="B1403" s="11"/>
      <c r="C1403" s="11"/>
      <c r="D1403" s="11"/>
      <c r="E1403" s="11" t="str">
        <f>IF(J1403="","", C1403 * IFERROR(VLOOKUP(J1403, SETUP!$A:$D, 3, FALSE), 0))</f>
        <v/>
      </c>
      <c r="F1403" s="11" t="str">
        <f>IF(J1403="","", C1403 * IFERROR(VLOOKUP(J1403, SETUP!$A:$D, 4, FALSE), 0))</f>
        <v/>
      </c>
      <c r="G1403" s="11" t="str">
        <f t="shared" si="1"/>
        <v/>
      </c>
      <c r="H1403" s="22"/>
      <c r="I1403" s="11"/>
      <c r="J1403" s="17" t="str">
        <f>IF(TRIM(B1403)="","",IF(ISNUMBER(SEARCH(" - ",B1403)),TRIM(RIGHT(B1403,LEN(B1403)-FIND(" - ",B1403)-2)),IFERROR(VLOOKUP(UPPER(TRIM(B1403)), SETUP!$B$4:$C$11, 2, FALSE), UPPER(TRIM(B1403)))))</f>
        <v/>
      </c>
      <c r="K1403" s="23" t="str">
        <f t="shared" si="2"/>
        <v/>
      </c>
      <c r="L1403" s="17" t="str">
        <f t="shared" si="3"/>
        <v/>
      </c>
      <c r="M1403" s="17" t="str">
        <f t="shared" si="4"/>
        <v/>
      </c>
    </row>
    <row r="1404" ht="15.75" customHeight="1">
      <c r="A1404" s="12"/>
      <c r="B1404" s="11"/>
      <c r="C1404" s="11"/>
      <c r="D1404" s="11"/>
      <c r="E1404" s="11" t="str">
        <f>IF(J1404="","", C1404 * IFERROR(VLOOKUP(J1404, SETUP!$A:$D, 3, FALSE), 0))</f>
        <v/>
      </c>
      <c r="F1404" s="11" t="str">
        <f>IF(J1404="","", C1404 * IFERROR(VLOOKUP(J1404, SETUP!$A:$D, 4, FALSE), 0))</f>
        <v/>
      </c>
      <c r="G1404" s="11" t="str">
        <f t="shared" si="1"/>
        <v/>
      </c>
      <c r="H1404" s="22"/>
      <c r="I1404" s="11"/>
      <c r="J1404" s="17" t="str">
        <f>IF(TRIM(B1404)="","",IF(ISNUMBER(SEARCH(" - ",B1404)),TRIM(RIGHT(B1404,LEN(B1404)-FIND(" - ",B1404)-2)),IFERROR(VLOOKUP(UPPER(TRIM(B1404)), SETUP!$B$4:$C$11, 2, FALSE), UPPER(TRIM(B1404)))))</f>
        <v/>
      </c>
      <c r="K1404" s="23" t="str">
        <f t="shared" si="2"/>
        <v/>
      </c>
      <c r="L1404" s="17" t="str">
        <f t="shared" si="3"/>
        <v/>
      </c>
      <c r="M1404" s="17" t="str">
        <f t="shared" si="4"/>
        <v/>
      </c>
    </row>
    <row r="1405" ht="15.75" customHeight="1">
      <c r="A1405" s="12"/>
      <c r="B1405" s="11"/>
      <c r="C1405" s="11"/>
      <c r="D1405" s="11"/>
      <c r="E1405" s="11" t="str">
        <f>IF(J1405="","", C1405 * IFERROR(VLOOKUP(J1405, SETUP!$A:$D, 3, FALSE), 0))</f>
        <v/>
      </c>
      <c r="F1405" s="11" t="str">
        <f>IF(J1405="","", C1405 * IFERROR(VLOOKUP(J1405, SETUP!$A:$D, 4, FALSE), 0))</f>
        <v/>
      </c>
      <c r="G1405" s="11" t="str">
        <f t="shared" si="1"/>
        <v/>
      </c>
      <c r="H1405" s="22"/>
      <c r="I1405" s="11"/>
      <c r="J1405" s="17" t="str">
        <f>IF(TRIM(B1405)="","",IF(ISNUMBER(SEARCH(" - ",B1405)),TRIM(RIGHT(B1405,LEN(B1405)-FIND(" - ",B1405)-2)),IFERROR(VLOOKUP(UPPER(TRIM(B1405)), SETUP!$B$4:$C$11, 2, FALSE), UPPER(TRIM(B1405)))))</f>
        <v/>
      </c>
      <c r="K1405" s="23" t="str">
        <f t="shared" si="2"/>
        <v/>
      </c>
      <c r="L1405" s="17" t="str">
        <f t="shared" si="3"/>
        <v/>
      </c>
      <c r="M1405" s="17" t="str">
        <f t="shared" si="4"/>
        <v/>
      </c>
    </row>
    <row r="1406" ht="15.75" customHeight="1">
      <c r="A1406" s="12"/>
      <c r="B1406" s="11"/>
      <c r="C1406" s="11"/>
      <c r="D1406" s="11"/>
      <c r="E1406" s="11" t="str">
        <f>IF(J1406="","", C1406 * IFERROR(VLOOKUP(J1406, SETUP!$A:$D, 3, FALSE), 0))</f>
        <v/>
      </c>
      <c r="F1406" s="11" t="str">
        <f>IF(J1406="","", C1406 * IFERROR(VLOOKUP(J1406, SETUP!$A:$D, 4, FALSE), 0))</f>
        <v/>
      </c>
      <c r="G1406" s="11" t="str">
        <f t="shared" si="1"/>
        <v/>
      </c>
      <c r="H1406" s="22"/>
      <c r="I1406" s="11"/>
      <c r="J1406" s="17" t="str">
        <f>IF(TRIM(B1406)="","",IF(ISNUMBER(SEARCH(" - ",B1406)),TRIM(RIGHT(B1406,LEN(B1406)-FIND(" - ",B1406)-2)),IFERROR(VLOOKUP(UPPER(TRIM(B1406)), SETUP!$B$4:$C$11, 2, FALSE), UPPER(TRIM(B1406)))))</f>
        <v/>
      </c>
      <c r="K1406" s="23" t="str">
        <f t="shared" si="2"/>
        <v/>
      </c>
      <c r="L1406" s="17" t="str">
        <f t="shared" si="3"/>
        <v/>
      </c>
      <c r="M1406" s="17" t="str">
        <f t="shared" si="4"/>
        <v/>
      </c>
    </row>
    <row r="1407" ht="15.75" customHeight="1">
      <c r="A1407" s="12"/>
      <c r="B1407" s="11"/>
      <c r="C1407" s="11"/>
      <c r="D1407" s="11"/>
      <c r="E1407" s="11" t="str">
        <f>IF(J1407="","", C1407 * IFERROR(VLOOKUP(J1407, SETUP!$A:$D, 3, FALSE), 0))</f>
        <v/>
      </c>
      <c r="F1407" s="11" t="str">
        <f>IF(J1407="","", C1407 * IFERROR(VLOOKUP(J1407, SETUP!$A:$D, 4, FALSE), 0))</f>
        <v/>
      </c>
      <c r="G1407" s="11" t="str">
        <f t="shared" si="1"/>
        <v/>
      </c>
      <c r="H1407" s="22"/>
      <c r="I1407" s="11"/>
      <c r="J1407" s="17" t="str">
        <f>IF(TRIM(B1407)="","",IF(ISNUMBER(SEARCH(" - ",B1407)),TRIM(RIGHT(B1407,LEN(B1407)-FIND(" - ",B1407)-2)),IFERROR(VLOOKUP(UPPER(TRIM(B1407)), SETUP!$B$4:$C$11, 2, FALSE), UPPER(TRIM(B1407)))))</f>
        <v/>
      </c>
      <c r="K1407" s="23" t="str">
        <f t="shared" si="2"/>
        <v/>
      </c>
      <c r="L1407" s="17" t="str">
        <f t="shared" si="3"/>
        <v/>
      </c>
      <c r="M1407" s="17" t="str">
        <f t="shared" si="4"/>
        <v/>
      </c>
    </row>
    <row r="1408" ht="15.75" customHeight="1">
      <c r="A1408" s="12"/>
      <c r="B1408" s="11"/>
      <c r="C1408" s="11"/>
      <c r="D1408" s="11"/>
      <c r="E1408" s="11" t="str">
        <f>IF(J1408="","", C1408 * IFERROR(VLOOKUP(J1408, SETUP!$A:$D, 3, FALSE), 0))</f>
        <v/>
      </c>
      <c r="F1408" s="11" t="str">
        <f>IF(J1408="","", C1408 * IFERROR(VLOOKUP(J1408, SETUP!$A:$D, 4, FALSE), 0))</f>
        <v/>
      </c>
      <c r="G1408" s="11" t="str">
        <f t="shared" si="1"/>
        <v/>
      </c>
      <c r="H1408" s="22"/>
      <c r="I1408" s="11"/>
      <c r="J1408" s="17" t="str">
        <f>IF(TRIM(B1408)="","",IF(ISNUMBER(SEARCH(" - ",B1408)),TRIM(RIGHT(B1408,LEN(B1408)-FIND(" - ",B1408)-2)),IFERROR(VLOOKUP(UPPER(TRIM(B1408)), SETUP!$B$4:$C$11, 2, FALSE), UPPER(TRIM(B1408)))))</f>
        <v/>
      </c>
      <c r="K1408" s="23" t="str">
        <f t="shared" si="2"/>
        <v/>
      </c>
      <c r="L1408" s="17" t="str">
        <f t="shared" si="3"/>
        <v/>
      </c>
      <c r="M1408" s="17" t="str">
        <f t="shared" si="4"/>
        <v/>
      </c>
    </row>
    <row r="1409" ht="15.75" customHeight="1">
      <c r="A1409" s="12"/>
      <c r="B1409" s="11"/>
      <c r="C1409" s="11"/>
      <c r="D1409" s="11"/>
      <c r="E1409" s="11" t="str">
        <f>IF(J1409="","", C1409 * IFERROR(VLOOKUP(J1409, SETUP!$A:$D, 3, FALSE), 0))</f>
        <v/>
      </c>
      <c r="F1409" s="11" t="str">
        <f>IF(J1409="","", C1409 * IFERROR(VLOOKUP(J1409, SETUP!$A:$D, 4, FALSE), 0))</f>
        <v/>
      </c>
      <c r="G1409" s="11" t="str">
        <f t="shared" si="1"/>
        <v/>
      </c>
      <c r="H1409" s="22"/>
      <c r="I1409" s="11"/>
      <c r="J1409" s="17" t="str">
        <f>IF(TRIM(B1409)="","",IF(ISNUMBER(SEARCH(" - ",B1409)),TRIM(RIGHT(B1409,LEN(B1409)-FIND(" - ",B1409)-2)),IFERROR(VLOOKUP(UPPER(TRIM(B1409)), SETUP!$B$4:$C$11, 2, FALSE), UPPER(TRIM(B1409)))))</f>
        <v/>
      </c>
      <c r="K1409" s="23" t="str">
        <f t="shared" si="2"/>
        <v/>
      </c>
      <c r="L1409" s="17" t="str">
        <f t="shared" si="3"/>
        <v/>
      </c>
      <c r="M1409" s="17" t="str">
        <f t="shared" si="4"/>
        <v/>
      </c>
    </row>
    <row r="1410" ht="15.75" customHeight="1">
      <c r="A1410" s="12"/>
      <c r="B1410" s="11"/>
      <c r="C1410" s="11"/>
      <c r="D1410" s="11"/>
      <c r="E1410" s="11" t="str">
        <f>IF(J1410="","", C1410 * IFERROR(VLOOKUP(J1410, SETUP!$A:$D, 3, FALSE), 0))</f>
        <v/>
      </c>
      <c r="F1410" s="11" t="str">
        <f>IF(J1410="","", C1410 * IFERROR(VLOOKUP(J1410, SETUP!$A:$D, 4, FALSE), 0))</f>
        <v/>
      </c>
      <c r="G1410" s="11" t="str">
        <f t="shared" si="1"/>
        <v/>
      </c>
      <c r="H1410" s="22"/>
      <c r="I1410" s="11"/>
      <c r="J1410" s="17" t="str">
        <f>IF(TRIM(B1410)="","",IF(ISNUMBER(SEARCH(" - ",B1410)),TRIM(RIGHT(B1410,LEN(B1410)-FIND(" - ",B1410)-2)),IFERROR(VLOOKUP(UPPER(TRIM(B1410)), SETUP!$B$4:$C$11, 2, FALSE), UPPER(TRIM(B1410)))))</f>
        <v/>
      </c>
      <c r="K1410" s="23" t="str">
        <f t="shared" si="2"/>
        <v/>
      </c>
      <c r="L1410" s="17" t="str">
        <f t="shared" si="3"/>
        <v/>
      </c>
      <c r="M1410" s="17" t="str">
        <f t="shared" si="4"/>
        <v/>
      </c>
    </row>
    <row r="1411" ht="15.75" customHeight="1">
      <c r="A1411" s="12"/>
      <c r="B1411" s="11"/>
      <c r="C1411" s="11"/>
      <c r="D1411" s="11"/>
      <c r="E1411" s="11" t="str">
        <f>IF(J1411="","", C1411 * IFERROR(VLOOKUP(J1411, SETUP!$A:$D, 3, FALSE), 0))</f>
        <v/>
      </c>
      <c r="F1411" s="11" t="str">
        <f>IF(J1411="","", C1411 * IFERROR(VLOOKUP(J1411, SETUP!$A:$D, 4, FALSE), 0))</f>
        <v/>
      </c>
      <c r="G1411" s="11" t="str">
        <f t="shared" si="1"/>
        <v/>
      </c>
      <c r="H1411" s="22"/>
      <c r="I1411" s="11"/>
      <c r="J1411" s="17" t="str">
        <f>IF(TRIM(B1411)="","",IF(ISNUMBER(SEARCH(" - ",B1411)),TRIM(RIGHT(B1411,LEN(B1411)-FIND(" - ",B1411)-2)),IFERROR(VLOOKUP(UPPER(TRIM(B1411)), SETUP!$B$4:$C$11, 2, FALSE), UPPER(TRIM(B1411)))))</f>
        <v/>
      </c>
      <c r="K1411" s="23" t="str">
        <f t="shared" si="2"/>
        <v/>
      </c>
      <c r="L1411" s="17" t="str">
        <f t="shared" si="3"/>
        <v/>
      </c>
      <c r="M1411" s="17" t="str">
        <f t="shared" si="4"/>
        <v/>
      </c>
    </row>
    <row r="1412" ht="15.75" customHeight="1">
      <c r="A1412" s="12"/>
      <c r="B1412" s="11"/>
      <c r="C1412" s="11"/>
      <c r="D1412" s="11"/>
      <c r="E1412" s="11" t="str">
        <f>IF(J1412="","", C1412 * IFERROR(VLOOKUP(J1412, SETUP!$A:$D, 3, FALSE), 0))</f>
        <v/>
      </c>
      <c r="F1412" s="11" t="str">
        <f>IF(J1412="","", C1412 * IFERROR(VLOOKUP(J1412, SETUP!$A:$D, 4, FALSE), 0))</f>
        <v/>
      </c>
      <c r="G1412" s="11" t="str">
        <f t="shared" si="1"/>
        <v/>
      </c>
      <c r="H1412" s="22"/>
      <c r="I1412" s="11"/>
      <c r="J1412" s="17" t="str">
        <f>IF(TRIM(B1412)="","",IF(ISNUMBER(SEARCH(" - ",B1412)),TRIM(RIGHT(B1412,LEN(B1412)-FIND(" - ",B1412)-2)),IFERROR(VLOOKUP(UPPER(TRIM(B1412)), SETUP!$B$4:$C$11, 2, FALSE), UPPER(TRIM(B1412)))))</f>
        <v/>
      </c>
      <c r="K1412" s="23" t="str">
        <f t="shared" si="2"/>
        <v/>
      </c>
      <c r="L1412" s="17" t="str">
        <f t="shared" si="3"/>
        <v/>
      </c>
      <c r="M1412" s="17" t="str">
        <f t="shared" si="4"/>
        <v/>
      </c>
    </row>
    <row r="1413" ht="15.75" customHeight="1">
      <c r="A1413" s="12"/>
      <c r="B1413" s="11"/>
      <c r="C1413" s="11"/>
      <c r="D1413" s="11"/>
      <c r="E1413" s="11" t="str">
        <f>IF(J1413="","", C1413 * IFERROR(VLOOKUP(J1413, SETUP!$A:$D, 3, FALSE), 0))</f>
        <v/>
      </c>
      <c r="F1413" s="11" t="str">
        <f>IF(J1413="","", C1413 * IFERROR(VLOOKUP(J1413, SETUP!$A:$D, 4, FALSE), 0))</f>
        <v/>
      </c>
      <c r="G1413" s="11" t="str">
        <f t="shared" si="1"/>
        <v/>
      </c>
      <c r="H1413" s="22"/>
      <c r="I1413" s="11"/>
      <c r="J1413" s="17" t="str">
        <f>IF(TRIM(B1413)="","",IF(ISNUMBER(SEARCH(" - ",B1413)),TRIM(RIGHT(B1413,LEN(B1413)-FIND(" - ",B1413)-2)),IFERROR(VLOOKUP(UPPER(TRIM(B1413)), SETUP!$B$4:$C$11, 2, FALSE), UPPER(TRIM(B1413)))))</f>
        <v/>
      </c>
      <c r="K1413" s="23" t="str">
        <f t="shared" si="2"/>
        <v/>
      </c>
      <c r="L1413" s="17" t="str">
        <f t="shared" si="3"/>
        <v/>
      </c>
      <c r="M1413" s="17" t="str">
        <f t="shared" si="4"/>
        <v/>
      </c>
    </row>
    <row r="1414" ht="15.75" customHeight="1">
      <c r="A1414" s="12"/>
      <c r="B1414" s="11"/>
      <c r="C1414" s="11"/>
      <c r="D1414" s="11"/>
      <c r="E1414" s="11" t="str">
        <f>IF(J1414="","", C1414 * IFERROR(VLOOKUP(J1414, SETUP!$A:$D, 3, FALSE), 0))</f>
        <v/>
      </c>
      <c r="F1414" s="11" t="str">
        <f>IF(J1414="","", C1414 * IFERROR(VLOOKUP(J1414, SETUP!$A:$D, 4, FALSE), 0))</f>
        <v/>
      </c>
      <c r="G1414" s="11" t="str">
        <f t="shared" si="1"/>
        <v/>
      </c>
      <c r="H1414" s="22"/>
      <c r="I1414" s="11"/>
      <c r="J1414" s="17" t="str">
        <f>IF(TRIM(B1414)="","",IF(ISNUMBER(SEARCH(" - ",B1414)),TRIM(RIGHT(B1414,LEN(B1414)-FIND(" - ",B1414)-2)),IFERROR(VLOOKUP(UPPER(TRIM(B1414)), SETUP!$B$4:$C$11, 2, FALSE), UPPER(TRIM(B1414)))))</f>
        <v/>
      </c>
      <c r="K1414" s="23" t="str">
        <f t="shared" si="2"/>
        <v/>
      </c>
      <c r="L1414" s="17" t="str">
        <f t="shared" si="3"/>
        <v/>
      </c>
      <c r="M1414" s="17" t="str">
        <f t="shared" si="4"/>
        <v/>
      </c>
    </row>
    <row r="1415" ht="15.75" customHeight="1">
      <c r="A1415" s="12"/>
      <c r="B1415" s="11"/>
      <c r="C1415" s="11"/>
      <c r="D1415" s="11"/>
      <c r="E1415" s="11" t="str">
        <f>IF(J1415="","", C1415 * IFERROR(VLOOKUP(J1415, SETUP!$A:$D, 3, FALSE), 0))</f>
        <v/>
      </c>
      <c r="F1415" s="11" t="str">
        <f>IF(J1415="","", C1415 * IFERROR(VLOOKUP(J1415, SETUP!$A:$D, 4, FALSE), 0))</f>
        <v/>
      </c>
      <c r="G1415" s="11" t="str">
        <f t="shared" si="1"/>
        <v/>
      </c>
      <c r="H1415" s="22"/>
      <c r="I1415" s="11"/>
      <c r="J1415" s="17" t="str">
        <f>IF(TRIM(B1415)="","",IF(ISNUMBER(SEARCH(" - ",B1415)),TRIM(RIGHT(B1415,LEN(B1415)-FIND(" - ",B1415)-2)),IFERROR(VLOOKUP(UPPER(TRIM(B1415)), SETUP!$B$4:$C$11, 2, FALSE), UPPER(TRIM(B1415)))))</f>
        <v/>
      </c>
      <c r="K1415" s="23" t="str">
        <f t="shared" si="2"/>
        <v/>
      </c>
      <c r="L1415" s="17" t="str">
        <f t="shared" si="3"/>
        <v/>
      </c>
      <c r="M1415" s="17" t="str">
        <f t="shared" si="4"/>
        <v/>
      </c>
    </row>
    <row r="1416" ht="15.75" customHeight="1">
      <c r="A1416" s="12"/>
      <c r="B1416" s="11"/>
      <c r="C1416" s="11"/>
      <c r="D1416" s="11"/>
      <c r="E1416" s="11" t="str">
        <f>IF(J1416="","", C1416 * IFERROR(VLOOKUP(J1416, SETUP!$A:$D, 3, FALSE), 0))</f>
        <v/>
      </c>
      <c r="F1416" s="11" t="str">
        <f>IF(J1416="","", C1416 * IFERROR(VLOOKUP(J1416, SETUP!$A:$D, 4, FALSE), 0))</f>
        <v/>
      </c>
      <c r="G1416" s="11" t="str">
        <f t="shared" si="1"/>
        <v/>
      </c>
      <c r="H1416" s="22"/>
      <c r="I1416" s="11"/>
      <c r="J1416" s="17" t="str">
        <f>IF(TRIM(B1416)="","",IF(ISNUMBER(SEARCH(" - ",B1416)),TRIM(RIGHT(B1416,LEN(B1416)-FIND(" - ",B1416)-2)),IFERROR(VLOOKUP(UPPER(TRIM(B1416)), SETUP!$B$4:$C$11, 2, FALSE), UPPER(TRIM(B1416)))))</f>
        <v/>
      </c>
      <c r="K1416" s="23" t="str">
        <f t="shared" si="2"/>
        <v/>
      </c>
      <c r="L1416" s="17" t="str">
        <f t="shared" si="3"/>
        <v/>
      </c>
      <c r="M1416" s="17" t="str">
        <f t="shared" si="4"/>
        <v/>
      </c>
    </row>
    <row r="1417" ht="15.75" customHeight="1">
      <c r="A1417" s="12"/>
      <c r="B1417" s="11"/>
      <c r="C1417" s="11"/>
      <c r="D1417" s="11"/>
      <c r="E1417" s="11" t="str">
        <f>IF(J1417="","", C1417 * IFERROR(VLOOKUP(J1417, SETUP!$A:$D, 3, FALSE), 0))</f>
        <v/>
      </c>
      <c r="F1417" s="11" t="str">
        <f>IF(J1417="","", C1417 * IFERROR(VLOOKUP(J1417, SETUP!$A:$D, 4, FALSE), 0))</f>
        <v/>
      </c>
      <c r="G1417" s="11" t="str">
        <f t="shared" si="1"/>
        <v/>
      </c>
      <c r="H1417" s="22"/>
      <c r="I1417" s="11"/>
      <c r="J1417" s="17" t="str">
        <f>IF(TRIM(B1417)="","",IF(ISNUMBER(SEARCH(" - ",B1417)),TRIM(RIGHT(B1417,LEN(B1417)-FIND(" - ",B1417)-2)),IFERROR(VLOOKUP(UPPER(TRIM(B1417)), SETUP!$B$4:$C$11, 2, FALSE), UPPER(TRIM(B1417)))))</f>
        <v/>
      </c>
      <c r="K1417" s="23" t="str">
        <f t="shared" si="2"/>
        <v/>
      </c>
      <c r="L1417" s="17" t="str">
        <f t="shared" si="3"/>
        <v/>
      </c>
      <c r="M1417" s="17" t="str">
        <f t="shared" si="4"/>
        <v/>
      </c>
    </row>
    <row r="1418" ht="15.75" customHeight="1">
      <c r="A1418" s="12"/>
      <c r="B1418" s="11"/>
      <c r="C1418" s="11"/>
      <c r="D1418" s="11"/>
      <c r="E1418" s="11" t="str">
        <f>IF(J1418="","", C1418 * IFERROR(VLOOKUP(J1418, SETUP!$A:$D, 3, FALSE), 0))</f>
        <v/>
      </c>
      <c r="F1418" s="11" t="str">
        <f>IF(J1418="","", C1418 * IFERROR(VLOOKUP(J1418, SETUP!$A:$D, 4, FALSE), 0))</f>
        <v/>
      </c>
      <c r="G1418" s="11" t="str">
        <f t="shared" si="1"/>
        <v/>
      </c>
      <c r="H1418" s="22"/>
      <c r="I1418" s="11"/>
      <c r="J1418" s="17" t="str">
        <f>IF(TRIM(B1418)="","",IF(ISNUMBER(SEARCH(" - ",B1418)),TRIM(RIGHT(B1418,LEN(B1418)-FIND(" - ",B1418)-2)),IFERROR(VLOOKUP(UPPER(TRIM(B1418)), SETUP!$B$4:$C$11, 2, FALSE), UPPER(TRIM(B1418)))))</f>
        <v/>
      </c>
      <c r="K1418" s="23" t="str">
        <f t="shared" si="2"/>
        <v/>
      </c>
      <c r="L1418" s="17" t="str">
        <f t="shared" si="3"/>
        <v/>
      </c>
      <c r="M1418" s="17" t="str">
        <f t="shared" si="4"/>
        <v/>
      </c>
    </row>
    <row r="1419" ht="15.75" customHeight="1">
      <c r="A1419" s="12"/>
      <c r="B1419" s="11"/>
      <c r="C1419" s="11"/>
      <c r="D1419" s="11"/>
      <c r="E1419" s="11" t="str">
        <f>IF(J1419="","", C1419 * IFERROR(VLOOKUP(J1419, SETUP!$A:$D, 3, FALSE), 0))</f>
        <v/>
      </c>
      <c r="F1419" s="11" t="str">
        <f>IF(J1419="","", C1419 * IFERROR(VLOOKUP(J1419, SETUP!$A:$D, 4, FALSE), 0))</f>
        <v/>
      </c>
      <c r="G1419" s="11" t="str">
        <f t="shared" si="1"/>
        <v/>
      </c>
      <c r="H1419" s="22"/>
      <c r="I1419" s="11"/>
      <c r="J1419" s="17" t="str">
        <f>IF(TRIM(B1419)="","",IF(ISNUMBER(SEARCH(" - ",B1419)),TRIM(RIGHT(B1419,LEN(B1419)-FIND(" - ",B1419)-2)),IFERROR(VLOOKUP(UPPER(TRIM(B1419)), SETUP!$B$4:$C$11, 2, FALSE), UPPER(TRIM(B1419)))))</f>
        <v/>
      </c>
      <c r="K1419" s="23" t="str">
        <f t="shared" si="2"/>
        <v/>
      </c>
      <c r="L1419" s="17" t="str">
        <f t="shared" si="3"/>
        <v/>
      </c>
      <c r="M1419" s="17" t="str">
        <f t="shared" si="4"/>
        <v/>
      </c>
    </row>
    <row r="1420" ht="15.75" customHeight="1">
      <c r="A1420" s="12"/>
      <c r="B1420" s="11"/>
      <c r="C1420" s="11"/>
      <c r="D1420" s="11"/>
      <c r="E1420" s="11" t="str">
        <f>IF(J1420="","", C1420 * IFERROR(VLOOKUP(J1420, SETUP!$A:$D, 3, FALSE), 0))</f>
        <v/>
      </c>
      <c r="F1420" s="11" t="str">
        <f>IF(J1420="","", C1420 * IFERROR(VLOOKUP(J1420, SETUP!$A:$D, 4, FALSE), 0))</f>
        <v/>
      </c>
      <c r="G1420" s="11" t="str">
        <f t="shared" si="1"/>
        <v/>
      </c>
      <c r="H1420" s="22"/>
      <c r="I1420" s="11"/>
      <c r="J1420" s="17" t="str">
        <f>IF(TRIM(B1420)="","",IF(ISNUMBER(SEARCH(" - ",B1420)),TRIM(RIGHT(B1420,LEN(B1420)-FIND(" - ",B1420)-2)),IFERROR(VLOOKUP(UPPER(TRIM(B1420)), SETUP!$B$4:$C$11, 2, FALSE), UPPER(TRIM(B1420)))))</f>
        <v/>
      </c>
      <c r="K1420" s="23" t="str">
        <f t="shared" si="2"/>
        <v/>
      </c>
      <c r="L1420" s="17" t="str">
        <f t="shared" si="3"/>
        <v/>
      </c>
      <c r="M1420" s="17" t="str">
        <f t="shared" si="4"/>
        <v/>
      </c>
    </row>
    <row r="1421" ht="15.75" customHeight="1">
      <c r="A1421" s="12"/>
      <c r="B1421" s="11"/>
      <c r="C1421" s="11"/>
      <c r="D1421" s="11"/>
      <c r="E1421" s="11" t="str">
        <f>IF(J1421="","", C1421 * IFERROR(VLOOKUP(J1421, SETUP!$A:$D, 3, FALSE), 0))</f>
        <v/>
      </c>
      <c r="F1421" s="11" t="str">
        <f>IF(J1421="","", C1421 * IFERROR(VLOOKUP(J1421, SETUP!$A:$D, 4, FALSE), 0))</f>
        <v/>
      </c>
      <c r="G1421" s="11" t="str">
        <f t="shared" si="1"/>
        <v/>
      </c>
      <c r="H1421" s="22"/>
      <c r="I1421" s="11"/>
      <c r="J1421" s="17" t="str">
        <f>IF(TRIM(B1421)="","",IF(ISNUMBER(SEARCH(" - ",B1421)),TRIM(RIGHT(B1421,LEN(B1421)-FIND(" - ",B1421)-2)),IFERROR(VLOOKUP(UPPER(TRIM(B1421)), SETUP!$B$4:$C$11, 2, FALSE), UPPER(TRIM(B1421)))))</f>
        <v/>
      </c>
      <c r="K1421" s="23" t="str">
        <f t="shared" si="2"/>
        <v/>
      </c>
      <c r="L1421" s="17" t="str">
        <f t="shared" si="3"/>
        <v/>
      </c>
      <c r="M1421" s="17" t="str">
        <f t="shared" si="4"/>
        <v/>
      </c>
    </row>
    <row r="1422" ht="15.75" customHeight="1">
      <c r="A1422" s="12"/>
      <c r="B1422" s="11"/>
      <c r="C1422" s="11"/>
      <c r="D1422" s="11"/>
      <c r="E1422" s="11" t="str">
        <f>IF(J1422="","", C1422 * IFERROR(VLOOKUP(J1422, SETUP!$A:$D, 3, FALSE), 0))</f>
        <v/>
      </c>
      <c r="F1422" s="11" t="str">
        <f>IF(J1422="","", C1422 * IFERROR(VLOOKUP(J1422, SETUP!$A:$D, 4, FALSE), 0))</f>
        <v/>
      </c>
      <c r="G1422" s="11" t="str">
        <f t="shared" si="1"/>
        <v/>
      </c>
      <c r="H1422" s="22"/>
      <c r="I1422" s="11"/>
      <c r="J1422" s="17" t="str">
        <f>IF(TRIM(B1422)="","",IF(ISNUMBER(SEARCH(" - ",B1422)),TRIM(RIGHT(B1422,LEN(B1422)-FIND(" - ",B1422)-2)),IFERROR(VLOOKUP(UPPER(TRIM(B1422)), SETUP!$B$4:$C$11, 2, FALSE), UPPER(TRIM(B1422)))))</f>
        <v/>
      </c>
      <c r="K1422" s="23" t="str">
        <f t="shared" si="2"/>
        <v/>
      </c>
      <c r="L1422" s="17" t="str">
        <f t="shared" si="3"/>
        <v/>
      </c>
      <c r="M1422" s="17" t="str">
        <f t="shared" si="4"/>
        <v/>
      </c>
    </row>
    <row r="1423" ht="15.75" customHeight="1">
      <c r="A1423" s="12"/>
      <c r="B1423" s="11"/>
      <c r="C1423" s="11"/>
      <c r="D1423" s="11"/>
      <c r="E1423" s="11" t="str">
        <f>IF(J1423="","", C1423 * IFERROR(VLOOKUP(J1423, SETUP!$A:$D, 3, FALSE), 0))</f>
        <v/>
      </c>
      <c r="F1423" s="11" t="str">
        <f>IF(J1423="","", C1423 * IFERROR(VLOOKUP(J1423, SETUP!$A:$D, 4, FALSE), 0))</f>
        <v/>
      </c>
      <c r="G1423" s="11" t="str">
        <f t="shared" si="1"/>
        <v/>
      </c>
      <c r="H1423" s="22"/>
      <c r="I1423" s="11"/>
      <c r="J1423" s="17" t="str">
        <f>IF(TRIM(B1423)="","",IF(ISNUMBER(SEARCH(" - ",B1423)),TRIM(RIGHT(B1423,LEN(B1423)-FIND(" - ",B1423)-2)),IFERROR(VLOOKUP(UPPER(TRIM(B1423)), SETUP!$B$4:$C$11, 2, FALSE), UPPER(TRIM(B1423)))))</f>
        <v/>
      </c>
      <c r="K1423" s="23" t="str">
        <f t="shared" si="2"/>
        <v/>
      </c>
      <c r="L1423" s="17" t="str">
        <f t="shared" si="3"/>
        <v/>
      </c>
      <c r="M1423" s="17" t="str">
        <f t="shared" si="4"/>
        <v/>
      </c>
    </row>
    <row r="1424" ht="15.75" customHeight="1">
      <c r="A1424" s="12"/>
      <c r="B1424" s="11"/>
      <c r="C1424" s="11"/>
      <c r="D1424" s="11"/>
      <c r="E1424" s="11" t="str">
        <f>IF(J1424="","", C1424 * IFERROR(VLOOKUP(J1424, SETUP!$A:$D, 3, FALSE), 0))</f>
        <v/>
      </c>
      <c r="F1424" s="11" t="str">
        <f>IF(J1424="","", C1424 * IFERROR(VLOOKUP(J1424, SETUP!$A:$D, 4, FALSE), 0))</f>
        <v/>
      </c>
      <c r="G1424" s="11" t="str">
        <f t="shared" si="1"/>
        <v/>
      </c>
      <c r="H1424" s="22"/>
      <c r="I1424" s="11"/>
      <c r="J1424" s="17" t="str">
        <f>IF(TRIM(B1424)="","",IF(ISNUMBER(SEARCH(" - ",B1424)),TRIM(RIGHT(B1424,LEN(B1424)-FIND(" - ",B1424)-2)),IFERROR(VLOOKUP(UPPER(TRIM(B1424)), SETUP!$B$4:$C$11, 2, FALSE), UPPER(TRIM(B1424)))))</f>
        <v/>
      </c>
      <c r="K1424" s="23" t="str">
        <f t="shared" si="2"/>
        <v/>
      </c>
      <c r="L1424" s="17" t="str">
        <f t="shared" si="3"/>
        <v/>
      </c>
      <c r="M1424" s="17" t="str">
        <f t="shared" si="4"/>
        <v/>
      </c>
    </row>
    <row r="1425" ht="15.75" customHeight="1">
      <c r="A1425" s="12"/>
      <c r="B1425" s="11"/>
      <c r="C1425" s="11"/>
      <c r="D1425" s="11"/>
      <c r="E1425" s="11" t="str">
        <f>IF(J1425="","", C1425 * IFERROR(VLOOKUP(J1425, SETUP!$A:$D, 3, FALSE), 0))</f>
        <v/>
      </c>
      <c r="F1425" s="11" t="str">
        <f>IF(J1425="","", C1425 * IFERROR(VLOOKUP(J1425, SETUP!$A:$D, 4, FALSE), 0))</f>
        <v/>
      </c>
      <c r="G1425" s="11" t="str">
        <f t="shared" si="1"/>
        <v/>
      </c>
      <c r="H1425" s="22"/>
      <c r="I1425" s="11"/>
      <c r="J1425" s="17" t="str">
        <f>IF(TRIM(B1425)="","",IF(ISNUMBER(SEARCH(" - ",B1425)),TRIM(RIGHT(B1425,LEN(B1425)-FIND(" - ",B1425)-2)),IFERROR(VLOOKUP(UPPER(TRIM(B1425)), SETUP!$B$4:$C$11, 2, FALSE), UPPER(TRIM(B1425)))))</f>
        <v/>
      </c>
      <c r="K1425" s="23" t="str">
        <f t="shared" si="2"/>
        <v/>
      </c>
      <c r="L1425" s="17" t="str">
        <f t="shared" si="3"/>
        <v/>
      </c>
      <c r="M1425" s="17" t="str">
        <f t="shared" si="4"/>
        <v/>
      </c>
    </row>
    <row r="1426" ht="15.75" customHeight="1">
      <c r="A1426" s="12"/>
      <c r="B1426" s="11"/>
      <c r="C1426" s="11"/>
      <c r="D1426" s="11"/>
      <c r="E1426" s="11" t="str">
        <f>IF(J1426="","", C1426 * IFERROR(VLOOKUP(J1426, SETUP!$A:$D, 3, FALSE), 0))</f>
        <v/>
      </c>
      <c r="F1426" s="11" t="str">
        <f>IF(J1426="","", C1426 * IFERROR(VLOOKUP(J1426, SETUP!$A:$D, 4, FALSE), 0))</f>
        <v/>
      </c>
      <c r="G1426" s="11" t="str">
        <f t="shared" si="1"/>
        <v/>
      </c>
      <c r="H1426" s="22"/>
      <c r="I1426" s="11"/>
      <c r="J1426" s="17" t="str">
        <f>IF(TRIM(B1426)="","",IF(ISNUMBER(SEARCH(" - ",B1426)),TRIM(RIGHT(B1426,LEN(B1426)-FIND(" - ",B1426)-2)),IFERROR(VLOOKUP(UPPER(TRIM(B1426)), SETUP!$B$4:$C$11, 2, FALSE), UPPER(TRIM(B1426)))))</f>
        <v/>
      </c>
      <c r="K1426" s="23" t="str">
        <f t="shared" si="2"/>
        <v/>
      </c>
      <c r="L1426" s="17" t="str">
        <f t="shared" si="3"/>
        <v/>
      </c>
      <c r="M1426" s="17" t="str">
        <f t="shared" si="4"/>
        <v/>
      </c>
    </row>
    <row r="1427" ht="15.75" customHeight="1">
      <c r="A1427" s="12"/>
      <c r="B1427" s="11"/>
      <c r="C1427" s="11"/>
      <c r="D1427" s="11"/>
      <c r="E1427" s="11" t="str">
        <f>IF(J1427="","", C1427 * IFERROR(VLOOKUP(J1427, SETUP!$A:$D, 3, FALSE), 0))</f>
        <v/>
      </c>
      <c r="F1427" s="11" t="str">
        <f>IF(J1427="","", C1427 * IFERROR(VLOOKUP(J1427, SETUP!$A:$D, 4, FALSE), 0))</f>
        <v/>
      </c>
      <c r="G1427" s="11" t="str">
        <f t="shared" si="1"/>
        <v/>
      </c>
      <c r="H1427" s="22"/>
      <c r="I1427" s="11"/>
      <c r="J1427" s="17" t="str">
        <f>IF(TRIM(B1427)="","",IF(ISNUMBER(SEARCH(" - ",B1427)),TRIM(RIGHT(B1427,LEN(B1427)-FIND(" - ",B1427)-2)),IFERROR(VLOOKUP(UPPER(TRIM(B1427)), SETUP!$B$4:$C$11, 2, FALSE), UPPER(TRIM(B1427)))))</f>
        <v/>
      </c>
      <c r="K1427" s="23" t="str">
        <f t="shared" si="2"/>
        <v/>
      </c>
      <c r="L1427" s="17" t="str">
        <f t="shared" si="3"/>
        <v/>
      </c>
      <c r="M1427" s="17" t="str">
        <f t="shared" si="4"/>
        <v/>
      </c>
    </row>
    <row r="1428" ht="15.75" customHeight="1">
      <c r="A1428" s="12"/>
      <c r="B1428" s="11"/>
      <c r="C1428" s="11"/>
      <c r="D1428" s="11"/>
      <c r="E1428" s="11" t="str">
        <f>IF(J1428="","", C1428 * IFERROR(VLOOKUP(J1428, SETUP!$A:$D, 3, FALSE), 0))</f>
        <v/>
      </c>
      <c r="F1428" s="11" t="str">
        <f>IF(J1428="","", C1428 * IFERROR(VLOOKUP(J1428, SETUP!$A:$D, 4, FALSE), 0))</f>
        <v/>
      </c>
      <c r="G1428" s="11" t="str">
        <f t="shared" si="1"/>
        <v/>
      </c>
      <c r="H1428" s="22"/>
      <c r="I1428" s="11"/>
      <c r="J1428" s="17" t="str">
        <f>IF(TRIM(B1428)="","",IF(ISNUMBER(SEARCH(" - ",B1428)),TRIM(RIGHT(B1428,LEN(B1428)-FIND(" - ",B1428)-2)),IFERROR(VLOOKUP(UPPER(TRIM(B1428)), SETUP!$B$4:$C$11, 2, FALSE), UPPER(TRIM(B1428)))))</f>
        <v/>
      </c>
      <c r="K1428" s="23" t="str">
        <f t="shared" si="2"/>
        <v/>
      </c>
      <c r="L1428" s="17" t="str">
        <f t="shared" si="3"/>
        <v/>
      </c>
      <c r="M1428" s="17" t="str">
        <f t="shared" si="4"/>
        <v/>
      </c>
    </row>
    <row r="1429" ht="15.75" customHeight="1">
      <c r="A1429" s="12"/>
      <c r="B1429" s="11"/>
      <c r="C1429" s="11"/>
      <c r="D1429" s="11"/>
      <c r="E1429" s="11" t="str">
        <f>IF(J1429="","", C1429 * IFERROR(VLOOKUP(J1429, SETUP!$A:$D, 3, FALSE), 0))</f>
        <v/>
      </c>
      <c r="F1429" s="11" t="str">
        <f>IF(J1429="","", C1429 * IFERROR(VLOOKUP(J1429, SETUP!$A:$D, 4, FALSE), 0))</f>
        <v/>
      </c>
      <c r="G1429" s="11" t="str">
        <f t="shared" si="1"/>
        <v/>
      </c>
      <c r="H1429" s="22"/>
      <c r="I1429" s="11"/>
      <c r="J1429" s="17" t="str">
        <f>IF(TRIM(B1429)="","",IF(ISNUMBER(SEARCH(" - ",B1429)),TRIM(RIGHT(B1429,LEN(B1429)-FIND(" - ",B1429)-2)),IFERROR(VLOOKUP(UPPER(TRIM(B1429)), SETUP!$B$4:$C$11, 2, FALSE), UPPER(TRIM(B1429)))))</f>
        <v/>
      </c>
      <c r="K1429" s="23" t="str">
        <f t="shared" si="2"/>
        <v/>
      </c>
      <c r="L1429" s="17" t="str">
        <f t="shared" si="3"/>
        <v/>
      </c>
      <c r="M1429" s="17" t="str">
        <f t="shared" si="4"/>
        <v/>
      </c>
    </row>
    <row r="1430" ht="15.75" customHeight="1">
      <c r="A1430" s="12"/>
      <c r="B1430" s="11"/>
      <c r="C1430" s="11"/>
      <c r="D1430" s="11"/>
      <c r="E1430" s="11" t="str">
        <f>IF(J1430="","", C1430 * IFERROR(VLOOKUP(J1430, SETUP!$A:$D, 3, FALSE), 0))</f>
        <v/>
      </c>
      <c r="F1430" s="11" t="str">
        <f>IF(J1430="","", C1430 * IFERROR(VLOOKUP(J1430, SETUP!$A:$D, 4, FALSE), 0))</f>
        <v/>
      </c>
      <c r="G1430" s="11" t="str">
        <f t="shared" si="1"/>
        <v/>
      </c>
      <c r="H1430" s="22"/>
      <c r="I1430" s="11"/>
      <c r="J1430" s="17" t="str">
        <f>IF(TRIM(B1430)="","",IF(ISNUMBER(SEARCH(" - ",B1430)),TRIM(RIGHT(B1430,LEN(B1430)-FIND(" - ",B1430)-2)),IFERROR(VLOOKUP(UPPER(TRIM(B1430)), SETUP!$B$4:$C$11, 2, FALSE), UPPER(TRIM(B1430)))))</f>
        <v/>
      </c>
      <c r="K1430" s="23" t="str">
        <f t="shared" si="2"/>
        <v/>
      </c>
      <c r="L1430" s="17" t="str">
        <f t="shared" si="3"/>
        <v/>
      </c>
      <c r="M1430" s="17" t="str">
        <f t="shared" si="4"/>
        <v/>
      </c>
    </row>
    <row r="1431" ht="15.75" customHeight="1">
      <c r="A1431" s="12"/>
      <c r="B1431" s="11"/>
      <c r="C1431" s="11"/>
      <c r="D1431" s="11"/>
      <c r="E1431" s="11" t="str">
        <f>IF(J1431="","", C1431 * IFERROR(VLOOKUP(J1431, SETUP!$A:$D, 3, FALSE), 0))</f>
        <v/>
      </c>
      <c r="F1431" s="11" t="str">
        <f>IF(J1431="","", C1431 * IFERROR(VLOOKUP(J1431, SETUP!$A:$D, 4, FALSE), 0))</f>
        <v/>
      </c>
      <c r="G1431" s="11" t="str">
        <f t="shared" si="1"/>
        <v/>
      </c>
      <c r="H1431" s="22"/>
      <c r="I1431" s="11"/>
      <c r="J1431" s="17" t="str">
        <f>IF(TRIM(B1431)="","",IF(ISNUMBER(SEARCH(" - ",B1431)),TRIM(RIGHT(B1431,LEN(B1431)-FIND(" - ",B1431)-2)),IFERROR(VLOOKUP(UPPER(TRIM(B1431)), SETUP!$B$4:$C$11, 2, FALSE), UPPER(TRIM(B1431)))))</f>
        <v/>
      </c>
      <c r="K1431" s="23" t="str">
        <f t="shared" si="2"/>
        <v/>
      </c>
      <c r="L1431" s="17" t="str">
        <f t="shared" si="3"/>
        <v/>
      </c>
      <c r="M1431" s="17" t="str">
        <f t="shared" si="4"/>
        <v/>
      </c>
    </row>
    <row r="1432" ht="15.75" customHeight="1">
      <c r="A1432" s="12"/>
      <c r="B1432" s="11"/>
      <c r="C1432" s="11"/>
      <c r="D1432" s="11"/>
      <c r="E1432" s="11" t="str">
        <f>IF(J1432="","", C1432 * IFERROR(VLOOKUP(J1432, SETUP!$A:$D, 3, FALSE), 0))</f>
        <v/>
      </c>
      <c r="F1432" s="11" t="str">
        <f>IF(J1432="","", C1432 * IFERROR(VLOOKUP(J1432, SETUP!$A:$D, 4, FALSE), 0))</f>
        <v/>
      </c>
      <c r="G1432" s="11" t="str">
        <f t="shared" si="1"/>
        <v/>
      </c>
      <c r="H1432" s="22"/>
      <c r="I1432" s="11"/>
      <c r="J1432" s="17" t="str">
        <f>IF(TRIM(B1432)="","",IF(ISNUMBER(SEARCH(" - ",B1432)),TRIM(RIGHT(B1432,LEN(B1432)-FIND(" - ",B1432)-2)),IFERROR(VLOOKUP(UPPER(TRIM(B1432)), SETUP!$B$4:$C$11, 2, FALSE), UPPER(TRIM(B1432)))))</f>
        <v/>
      </c>
      <c r="K1432" s="23" t="str">
        <f t="shared" si="2"/>
        <v/>
      </c>
      <c r="L1432" s="17" t="str">
        <f t="shared" si="3"/>
        <v/>
      </c>
      <c r="M1432" s="17" t="str">
        <f t="shared" si="4"/>
        <v/>
      </c>
    </row>
    <row r="1433" ht="15.75" customHeight="1">
      <c r="A1433" s="12"/>
      <c r="B1433" s="11"/>
      <c r="C1433" s="11"/>
      <c r="D1433" s="11"/>
      <c r="E1433" s="11" t="str">
        <f>IF(J1433="","", C1433 * IFERROR(VLOOKUP(J1433, SETUP!$A:$D, 3, FALSE), 0))</f>
        <v/>
      </c>
      <c r="F1433" s="11" t="str">
        <f>IF(J1433="","", C1433 * IFERROR(VLOOKUP(J1433, SETUP!$A:$D, 4, FALSE), 0))</f>
        <v/>
      </c>
      <c r="G1433" s="11" t="str">
        <f t="shared" si="1"/>
        <v/>
      </c>
      <c r="H1433" s="22"/>
      <c r="I1433" s="11"/>
      <c r="J1433" s="17" t="str">
        <f>IF(TRIM(B1433)="","",IF(ISNUMBER(SEARCH(" - ",B1433)),TRIM(RIGHT(B1433,LEN(B1433)-FIND(" - ",B1433)-2)),IFERROR(VLOOKUP(UPPER(TRIM(B1433)), SETUP!$B$4:$C$11, 2, FALSE), UPPER(TRIM(B1433)))))</f>
        <v/>
      </c>
      <c r="K1433" s="23" t="str">
        <f t="shared" si="2"/>
        <v/>
      </c>
      <c r="L1433" s="17" t="str">
        <f t="shared" si="3"/>
        <v/>
      </c>
      <c r="M1433" s="17" t="str">
        <f t="shared" si="4"/>
        <v/>
      </c>
    </row>
    <row r="1434" ht="15.75" customHeight="1">
      <c r="A1434" s="12"/>
      <c r="B1434" s="11"/>
      <c r="C1434" s="11"/>
      <c r="D1434" s="11"/>
      <c r="E1434" s="11" t="str">
        <f>IF(J1434="","", C1434 * IFERROR(VLOOKUP(J1434, SETUP!$A:$D, 3, FALSE), 0))</f>
        <v/>
      </c>
      <c r="F1434" s="11" t="str">
        <f>IF(J1434="","", C1434 * IFERROR(VLOOKUP(J1434, SETUP!$A:$D, 4, FALSE), 0))</f>
        <v/>
      </c>
      <c r="G1434" s="11" t="str">
        <f t="shared" si="1"/>
        <v/>
      </c>
      <c r="H1434" s="22"/>
      <c r="I1434" s="11"/>
      <c r="J1434" s="17" t="str">
        <f>IF(TRIM(B1434)="","",IF(ISNUMBER(SEARCH(" - ",B1434)),TRIM(RIGHT(B1434,LEN(B1434)-FIND(" - ",B1434)-2)),IFERROR(VLOOKUP(UPPER(TRIM(B1434)), SETUP!$B$4:$C$11, 2, FALSE), UPPER(TRIM(B1434)))))</f>
        <v/>
      </c>
      <c r="K1434" s="23" t="str">
        <f t="shared" si="2"/>
        <v/>
      </c>
      <c r="L1434" s="17" t="str">
        <f t="shared" si="3"/>
        <v/>
      </c>
      <c r="M1434" s="17" t="str">
        <f t="shared" si="4"/>
        <v/>
      </c>
    </row>
    <row r="1435" ht="15.75" customHeight="1">
      <c r="A1435" s="12"/>
      <c r="B1435" s="11"/>
      <c r="C1435" s="11"/>
      <c r="D1435" s="11"/>
      <c r="E1435" s="11" t="str">
        <f>IF(J1435="","", C1435 * IFERROR(VLOOKUP(J1435, SETUP!$A:$D, 3, FALSE), 0))</f>
        <v/>
      </c>
      <c r="F1435" s="11" t="str">
        <f>IF(J1435="","", C1435 * IFERROR(VLOOKUP(J1435, SETUP!$A:$D, 4, FALSE), 0))</f>
        <v/>
      </c>
      <c r="G1435" s="11" t="str">
        <f t="shared" si="1"/>
        <v/>
      </c>
      <c r="H1435" s="22"/>
      <c r="I1435" s="11"/>
      <c r="J1435" s="17" t="str">
        <f>IF(TRIM(B1435)="","",IF(ISNUMBER(SEARCH(" - ",B1435)),TRIM(RIGHT(B1435,LEN(B1435)-FIND(" - ",B1435)-2)),IFERROR(VLOOKUP(UPPER(TRIM(B1435)), SETUP!$B$4:$C$11, 2, FALSE), UPPER(TRIM(B1435)))))</f>
        <v/>
      </c>
      <c r="K1435" s="23" t="str">
        <f t="shared" si="2"/>
        <v/>
      </c>
      <c r="L1435" s="17" t="str">
        <f t="shared" si="3"/>
        <v/>
      </c>
      <c r="M1435" s="17" t="str">
        <f t="shared" si="4"/>
        <v/>
      </c>
    </row>
    <row r="1436" ht="15.75" customHeight="1">
      <c r="A1436" s="12"/>
      <c r="B1436" s="11"/>
      <c r="C1436" s="11"/>
      <c r="D1436" s="11"/>
      <c r="E1436" s="11" t="str">
        <f>IF(J1436="","", C1436 * IFERROR(VLOOKUP(J1436, SETUP!$A:$D, 3, FALSE), 0))</f>
        <v/>
      </c>
      <c r="F1436" s="11" t="str">
        <f>IF(J1436="","", C1436 * IFERROR(VLOOKUP(J1436, SETUP!$A:$D, 4, FALSE), 0))</f>
        <v/>
      </c>
      <c r="G1436" s="11" t="str">
        <f t="shared" si="1"/>
        <v/>
      </c>
      <c r="H1436" s="22"/>
      <c r="I1436" s="11"/>
      <c r="J1436" s="17" t="str">
        <f>IF(TRIM(B1436)="","",IF(ISNUMBER(SEARCH(" - ",B1436)),TRIM(RIGHT(B1436,LEN(B1436)-FIND(" - ",B1436)-2)),IFERROR(VLOOKUP(UPPER(TRIM(B1436)), SETUP!$B$4:$C$11, 2, FALSE), UPPER(TRIM(B1436)))))</f>
        <v/>
      </c>
      <c r="K1436" s="23" t="str">
        <f t="shared" si="2"/>
        <v/>
      </c>
      <c r="L1436" s="17" t="str">
        <f t="shared" si="3"/>
        <v/>
      </c>
      <c r="M1436" s="17" t="str">
        <f t="shared" si="4"/>
        <v/>
      </c>
    </row>
    <row r="1437" ht="15.75" customHeight="1">
      <c r="A1437" s="12"/>
      <c r="B1437" s="11"/>
      <c r="C1437" s="11"/>
      <c r="D1437" s="11"/>
      <c r="E1437" s="11" t="str">
        <f>IF(J1437="","", C1437 * IFERROR(VLOOKUP(J1437, SETUP!$A:$D, 3, FALSE), 0))</f>
        <v/>
      </c>
      <c r="F1437" s="11" t="str">
        <f>IF(J1437="","", C1437 * IFERROR(VLOOKUP(J1437, SETUP!$A:$D, 4, FALSE), 0))</f>
        <v/>
      </c>
      <c r="G1437" s="11" t="str">
        <f t="shared" si="1"/>
        <v/>
      </c>
      <c r="H1437" s="22"/>
      <c r="I1437" s="11"/>
      <c r="J1437" s="17" t="str">
        <f>IF(TRIM(B1437)="","",IF(ISNUMBER(SEARCH(" - ",B1437)),TRIM(RIGHT(B1437,LEN(B1437)-FIND(" - ",B1437)-2)),IFERROR(VLOOKUP(UPPER(TRIM(B1437)), SETUP!$B$4:$C$11, 2, FALSE), UPPER(TRIM(B1437)))))</f>
        <v/>
      </c>
      <c r="K1437" s="23" t="str">
        <f t="shared" si="2"/>
        <v/>
      </c>
      <c r="L1437" s="17" t="str">
        <f t="shared" si="3"/>
        <v/>
      </c>
      <c r="M1437" s="17" t="str">
        <f t="shared" si="4"/>
        <v/>
      </c>
    </row>
    <row r="1438" ht="15.75" customHeight="1">
      <c r="A1438" s="12"/>
      <c r="B1438" s="11"/>
      <c r="C1438" s="11"/>
      <c r="D1438" s="11"/>
      <c r="E1438" s="11" t="str">
        <f>IF(J1438="","", C1438 * IFERROR(VLOOKUP(J1438, SETUP!$A:$D, 3, FALSE), 0))</f>
        <v/>
      </c>
      <c r="F1438" s="11" t="str">
        <f>IF(J1438="","", C1438 * IFERROR(VLOOKUP(J1438, SETUP!$A:$D, 4, FALSE), 0))</f>
        <v/>
      </c>
      <c r="G1438" s="11" t="str">
        <f t="shared" si="1"/>
        <v/>
      </c>
      <c r="H1438" s="22"/>
      <c r="I1438" s="11"/>
      <c r="J1438" s="17" t="str">
        <f>IF(TRIM(B1438)="","",IF(ISNUMBER(SEARCH(" - ",B1438)),TRIM(RIGHT(B1438,LEN(B1438)-FIND(" - ",B1438)-2)),IFERROR(VLOOKUP(UPPER(TRIM(B1438)), SETUP!$B$4:$C$11, 2, FALSE), UPPER(TRIM(B1438)))))</f>
        <v/>
      </c>
      <c r="K1438" s="23" t="str">
        <f t="shared" si="2"/>
        <v/>
      </c>
      <c r="L1438" s="17" t="str">
        <f t="shared" si="3"/>
        <v/>
      </c>
      <c r="M1438" s="17" t="str">
        <f t="shared" si="4"/>
        <v/>
      </c>
    </row>
    <row r="1439" ht="15.75" customHeight="1">
      <c r="A1439" s="12"/>
      <c r="B1439" s="11"/>
      <c r="C1439" s="11"/>
      <c r="D1439" s="11"/>
      <c r="E1439" s="11" t="str">
        <f>IF(J1439="","", C1439 * IFERROR(VLOOKUP(J1439, SETUP!$A:$D, 3, FALSE), 0))</f>
        <v/>
      </c>
      <c r="F1439" s="11" t="str">
        <f>IF(J1439="","", C1439 * IFERROR(VLOOKUP(J1439, SETUP!$A:$D, 4, FALSE), 0))</f>
        <v/>
      </c>
      <c r="G1439" s="11" t="str">
        <f t="shared" si="1"/>
        <v/>
      </c>
      <c r="H1439" s="22"/>
      <c r="I1439" s="11"/>
      <c r="J1439" s="17" t="str">
        <f>IF(TRIM(B1439)="","",IF(ISNUMBER(SEARCH(" - ",B1439)),TRIM(RIGHT(B1439,LEN(B1439)-FIND(" - ",B1439)-2)),IFERROR(VLOOKUP(UPPER(TRIM(B1439)), SETUP!$B$4:$C$11, 2, FALSE), UPPER(TRIM(B1439)))))</f>
        <v/>
      </c>
      <c r="K1439" s="23" t="str">
        <f t="shared" si="2"/>
        <v/>
      </c>
      <c r="L1439" s="17" t="str">
        <f t="shared" si="3"/>
        <v/>
      </c>
      <c r="M1439" s="17" t="str">
        <f t="shared" si="4"/>
        <v/>
      </c>
    </row>
    <row r="1440" ht="15.75" customHeight="1">
      <c r="A1440" s="12"/>
      <c r="B1440" s="11"/>
      <c r="C1440" s="11"/>
      <c r="D1440" s="11"/>
      <c r="E1440" s="11" t="str">
        <f>IF(J1440="","", C1440 * IFERROR(VLOOKUP(J1440, SETUP!$A:$D, 3, FALSE), 0))</f>
        <v/>
      </c>
      <c r="F1440" s="11" t="str">
        <f>IF(J1440="","", C1440 * IFERROR(VLOOKUP(J1440, SETUP!$A:$D, 4, FALSE), 0))</f>
        <v/>
      </c>
      <c r="G1440" s="11" t="str">
        <f t="shared" si="1"/>
        <v/>
      </c>
      <c r="H1440" s="22"/>
      <c r="I1440" s="11"/>
      <c r="J1440" s="17" t="str">
        <f>IF(TRIM(B1440)="","",IF(ISNUMBER(SEARCH(" - ",B1440)),TRIM(RIGHT(B1440,LEN(B1440)-FIND(" - ",B1440)-2)),IFERROR(VLOOKUP(UPPER(TRIM(B1440)), SETUP!$B$4:$C$11, 2, FALSE), UPPER(TRIM(B1440)))))</f>
        <v/>
      </c>
      <c r="K1440" s="23" t="str">
        <f t="shared" si="2"/>
        <v/>
      </c>
      <c r="L1440" s="17" t="str">
        <f t="shared" si="3"/>
        <v/>
      </c>
      <c r="M1440" s="17" t="str">
        <f t="shared" si="4"/>
        <v/>
      </c>
    </row>
    <row r="1441" ht="15.75" customHeight="1">
      <c r="A1441" s="12"/>
      <c r="B1441" s="11"/>
      <c r="C1441" s="11"/>
      <c r="D1441" s="11"/>
      <c r="E1441" s="11" t="str">
        <f>IF(J1441="","", C1441 * IFERROR(VLOOKUP(J1441, SETUP!$A:$D, 3, FALSE), 0))</f>
        <v/>
      </c>
      <c r="F1441" s="11" t="str">
        <f>IF(J1441="","", C1441 * IFERROR(VLOOKUP(J1441, SETUP!$A:$D, 4, FALSE), 0))</f>
        <v/>
      </c>
      <c r="G1441" s="11" t="str">
        <f t="shared" si="1"/>
        <v/>
      </c>
      <c r="H1441" s="22"/>
      <c r="I1441" s="11"/>
      <c r="J1441" s="17" t="str">
        <f>IF(TRIM(B1441)="","",IF(ISNUMBER(SEARCH(" - ",B1441)),TRIM(RIGHT(B1441,LEN(B1441)-FIND(" - ",B1441)-2)),IFERROR(VLOOKUP(UPPER(TRIM(B1441)), SETUP!$B$4:$C$11, 2, FALSE), UPPER(TRIM(B1441)))))</f>
        <v/>
      </c>
      <c r="K1441" s="23" t="str">
        <f t="shared" si="2"/>
        <v/>
      </c>
      <c r="L1441" s="17" t="str">
        <f t="shared" si="3"/>
        <v/>
      </c>
      <c r="M1441" s="17" t="str">
        <f t="shared" si="4"/>
        <v/>
      </c>
    </row>
    <row r="1442" ht="15.75" customHeight="1">
      <c r="A1442" s="12"/>
      <c r="B1442" s="11"/>
      <c r="C1442" s="11"/>
      <c r="D1442" s="11"/>
      <c r="E1442" s="11" t="str">
        <f>IF(J1442="","", C1442 * IFERROR(VLOOKUP(J1442, SETUP!$A:$D, 3, FALSE), 0))</f>
        <v/>
      </c>
      <c r="F1442" s="11" t="str">
        <f>IF(J1442="","", C1442 * IFERROR(VLOOKUP(J1442, SETUP!$A:$D, 4, FALSE), 0))</f>
        <v/>
      </c>
      <c r="G1442" s="11" t="str">
        <f t="shared" si="1"/>
        <v/>
      </c>
      <c r="H1442" s="22"/>
      <c r="I1442" s="11"/>
      <c r="J1442" s="17" t="str">
        <f>IF(TRIM(B1442)="","",IF(ISNUMBER(SEARCH(" - ",B1442)),TRIM(RIGHT(B1442,LEN(B1442)-FIND(" - ",B1442)-2)),IFERROR(VLOOKUP(UPPER(TRIM(B1442)), SETUP!$B$4:$C$11, 2, FALSE), UPPER(TRIM(B1442)))))</f>
        <v/>
      </c>
      <c r="K1442" s="23" t="str">
        <f t="shared" si="2"/>
        <v/>
      </c>
      <c r="L1442" s="17" t="str">
        <f t="shared" si="3"/>
        <v/>
      </c>
      <c r="M1442" s="17" t="str">
        <f t="shared" si="4"/>
        <v/>
      </c>
    </row>
    <row r="1443" ht="15.75" customHeight="1">
      <c r="A1443" s="12"/>
      <c r="B1443" s="11"/>
      <c r="C1443" s="11"/>
      <c r="D1443" s="11"/>
      <c r="E1443" s="11" t="str">
        <f>IF(J1443="","", C1443 * IFERROR(VLOOKUP(J1443, SETUP!$A:$D, 3, FALSE), 0))</f>
        <v/>
      </c>
      <c r="F1443" s="11" t="str">
        <f>IF(J1443="","", C1443 * IFERROR(VLOOKUP(J1443, SETUP!$A:$D, 4, FALSE), 0))</f>
        <v/>
      </c>
      <c r="G1443" s="11" t="str">
        <f t="shared" si="1"/>
        <v/>
      </c>
      <c r="H1443" s="22"/>
      <c r="I1443" s="11"/>
      <c r="J1443" s="17" t="str">
        <f>IF(TRIM(B1443)="","",IF(ISNUMBER(SEARCH(" - ",B1443)),TRIM(RIGHT(B1443,LEN(B1443)-FIND(" - ",B1443)-2)),IFERROR(VLOOKUP(UPPER(TRIM(B1443)), SETUP!$B$4:$C$11, 2, FALSE), UPPER(TRIM(B1443)))))</f>
        <v/>
      </c>
      <c r="K1443" s="23" t="str">
        <f t="shared" si="2"/>
        <v/>
      </c>
      <c r="L1443" s="17" t="str">
        <f t="shared" si="3"/>
        <v/>
      </c>
      <c r="M1443" s="17" t="str">
        <f t="shared" si="4"/>
        <v/>
      </c>
    </row>
    <row r="1444" ht="15.75" customHeight="1">
      <c r="A1444" s="12"/>
      <c r="B1444" s="11"/>
      <c r="C1444" s="11"/>
      <c r="D1444" s="11"/>
      <c r="E1444" s="11" t="str">
        <f>IF(J1444="","", C1444 * IFERROR(VLOOKUP(J1444, SETUP!$A:$D, 3, FALSE), 0))</f>
        <v/>
      </c>
      <c r="F1444" s="11" t="str">
        <f>IF(J1444="","", C1444 * IFERROR(VLOOKUP(J1444, SETUP!$A:$D, 4, FALSE), 0))</f>
        <v/>
      </c>
      <c r="G1444" s="11" t="str">
        <f t="shared" si="1"/>
        <v/>
      </c>
      <c r="H1444" s="22"/>
      <c r="I1444" s="11"/>
      <c r="J1444" s="17" t="str">
        <f>IF(TRIM(B1444)="","",IF(ISNUMBER(SEARCH(" - ",B1444)),TRIM(RIGHT(B1444,LEN(B1444)-FIND(" - ",B1444)-2)),IFERROR(VLOOKUP(UPPER(TRIM(B1444)), SETUP!$B$4:$C$11, 2, FALSE), UPPER(TRIM(B1444)))))</f>
        <v/>
      </c>
      <c r="K1444" s="23" t="str">
        <f t="shared" si="2"/>
        <v/>
      </c>
      <c r="L1444" s="17" t="str">
        <f t="shared" si="3"/>
        <v/>
      </c>
      <c r="M1444" s="17" t="str">
        <f t="shared" si="4"/>
        <v/>
      </c>
    </row>
    <row r="1445" ht="15.75" customHeight="1">
      <c r="A1445" s="12"/>
      <c r="B1445" s="11"/>
      <c r="C1445" s="11"/>
      <c r="D1445" s="11"/>
      <c r="E1445" s="11" t="str">
        <f>IF(J1445="","", C1445 * IFERROR(VLOOKUP(J1445, SETUP!$A:$D, 3, FALSE), 0))</f>
        <v/>
      </c>
      <c r="F1445" s="11" t="str">
        <f>IF(J1445="","", C1445 * IFERROR(VLOOKUP(J1445, SETUP!$A:$D, 4, FALSE), 0))</f>
        <v/>
      </c>
      <c r="G1445" s="11" t="str">
        <f t="shared" si="1"/>
        <v/>
      </c>
      <c r="H1445" s="22"/>
      <c r="I1445" s="11"/>
      <c r="J1445" s="17" t="str">
        <f>IF(TRIM(B1445)="","",IF(ISNUMBER(SEARCH(" - ",B1445)),TRIM(RIGHT(B1445,LEN(B1445)-FIND(" - ",B1445)-2)),IFERROR(VLOOKUP(UPPER(TRIM(B1445)), SETUP!$B$4:$C$11, 2, FALSE), UPPER(TRIM(B1445)))))</f>
        <v/>
      </c>
      <c r="K1445" s="23" t="str">
        <f t="shared" si="2"/>
        <v/>
      </c>
      <c r="L1445" s="17" t="str">
        <f t="shared" si="3"/>
        <v/>
      </c>
      <c r="M1445" s="17" t="str">
        <f t="shared" si="4"/>
        <v/>
      </c>
    </row>
    <row r="1446" ht="15.75" customHeight="1">
      <c r="A1446" s="12"/>
      <c r="B1446" s="11"/>
      <c r="C1446" s="11"/>
      <c r="D1446" s="11"/>
      <c r="E1446" s="11" t="str">
        <f>IF(J1446="","", C1446 * IFERROR(VLOOKUP(J1446, SETUP!$A:$D, 3, FALSE), 0))</f>
        <v/>
      </c>
      <c r="F1446" s="11" t="str">
        <f>IF(J1446="","", C1446 * IFERROR(VLOOKUP(J1446, SETUP!$A:$D, 4, FALSE), 0))</f>
        <v/>
      </c>
      <c r="G1446" s="11" t="str">
        <f t="shared" si="1"/>
        <v/>
      </c>
      <c r="H1446" s="22"/>
      <c r="I1446" s="11"/>
      <c r="J1446" s="17" t="str">
        <f>IF(TRIM(B1446)="","",IF(ISNUMBER(SEARCH(" - ",B1446)),TRIM(RIGHT(B1446,LEN(B1446)-FIND(" - ",B1446)-2)),IFERROR(VLOOKUP(UPPER(TRIM(B1446)), SETUP!$B$4:$C$11, 2, FALSE), UPPER(TRIM(B1446)))))</f>
        <v/>
      </c>
      <c r="K1446" s="23" t="str">
        <f t="shared" si="2"/>
        <v/>
      </c>
      <c r="L1446" s="17" t="str">
        <f t="shared" si="3"/>
        <v/>
      </c>
      <c r="M1446" s="17" t="str">
        <f t="shared" si="4"/>
        <v/>
      </c>
    </row>
    <row r="1447" ht="15.75" customHeight="1">
      <c r="A1447" s="12"/>
      <c r="B1447" s="11"/>
      <c r="C1447" s="11"/>
      <c r="D1447" s="11"/>
      <c r="E1447" s="11" t="str">
        <f>IF(J1447="","", C1447 * IFERROR(VLOOKUP(J1447, SETUP!$A:$D, 3, FALSE), 0))</f>
        <v/>
      </c>
      <c r="F1447" s="11" t="str">
        <f>IF(J1447="","", C1447 * IFERROR(VLOOKUP(J1447, SETUP!$A:$D, 4, FALSE), 0))</f>
        <v/>
      </c>
      <c r="G1447" s="11" t="str">
        <f t="shared" si="1"/>
        <v/>
      </c>
      <c r="H1447" s="22"/>
      <c r="I1447" s="11"/>
      <c r="J1447" s="17" t="str">
        <f>IF(TRIM(B1447)="","",IF(ISNUMBER(SEARCH(" - ",B1447)),TRIM(RIGHT(B1447,LEN(B1447)-FIND(" - ",B1447)-2)),IFERROR(VLOOKUP(UPPER(TRIM(B1447)), SETUP!$B$4:$C$11, 2, FALSE), UPPER(TRIM(B1447)))))</f>
        <v/>
      </c>
      <c r="K1447" s="23" t="str">
        <f t="shared" si="2"/>
        <v/>
      </c>
      <c r="L1447" s="17" t="str">
        <f t="shared" si="3"/>
        <v/>
      </c>
      <c r="M1447" s="17" t="str">
        <f t="shared" si="4"/>
        <v/>
      </c>
    </row>
    <row r="1448" ht="15.75" customHeight="1">
      <c r="A1448" s="12"/>
      <c r="B1448" s="11"/>
      <c r="C1448" s="11"/>
      <c r="D1448" s="11"/>
      <c r="E1448" s="11" t="str">
        <f>IF(J1448="","", C1448 * IFERROR(VLOOKUP(J1448, SETUP!$A:$D, 3, FALSE), 0))</f>
        <v/>
      </c>
      <c r="F1448" s="11" t="str">
        <f>IF(J1448="","", C1448 * IFERROR(VLOOKUP(J1448, SETUP!$A:$D, 4, FALSE), 0))</f>
        <v/>
      </c>
      <c r="G1448" s="11" t="str">
        <f t="shared" si="1"/>
        <v/>
      </c>
      <c r="H1448" s="22"/>
      <c r="I1448" s="11"/>
      <c r="J1448" s="17" t="str">
        <f>IF(TRIM(B1448)="","",IF(ISNUMBER(SEARCH(" - ",B1448)),TRIM(RIGHT(B1448,LEN(B1448)-FIND(" - ",B1448)-2)),IFERROR(VLOOKUP(UPPER(TRIM(B1448)), SETUP!$B$4:$C$11, 2, FALSE), UPPER(TRIM(B1448)))))</f>
        <v/>
      </c>
      <c r="K1448" s="23" t="str">
        <f t="shared" si="2"/>
        <v/>
      </c>
      <c r="L1448" s="17" t="str">
        <f t="shared" si="3"/>
        <v/>
      </c>
      <c r="M1448" s="17" t="str">
        <f t="shared" si="4"/>
        <v/>
      </c>
    </row>
    <row r="1449" ht="15.75" customHeight="1">
      <c r="A1449" s="12"/>
      <c r="B1449" s="11"/>
      <c r="C1449" s="11"/>
      <c r="D1449" s="11"/>
      <c r="E1449" s="11" t="str">
        <f>IF(J1449="","", C1449 * IFERROR(VLOOKUP(J1449, SETUP!$A:$D, 3, FALSE), 0))</f>
        <v/>
      </c>
      <c r="F1449" s="11" t="str">
        <f>IF(J1449="","", C1449 * IFERROR(VLOOKUP(J1449, SETUP!$A:$D, 4, FALSE), 0))</f>
        <v/>
      </c>
      <c r="G1449" s="11" t="str">
        <f t="shared" si="1"/>
        <v/>
      </c>
      <c r="H1449" s="22"/>
      <c r="I1449" s="11"/>
      <c r="J1449" s="17" t="str">
        <f>IF(TRIM(B1449)="","",IF(ISNUMBER(SEARCH(" - ",B1449)),TRIM(RIGHT(B1449,LEN(B1449)-FIND(" - ",B1449)-2)),IFERROR(VLOOKUP(UPPER(TRIM(B1449)), SETUP!$B$4:$C$11, 2, FALSE), UPPER(TRIM(B1449)))))</f>
        <v/>
      </c>
      <c r="K1449" s="23" t="str">
        <f t="shared" si="2"/>
        <v/>
      </c>
      <c r="L1449" s="17" t="str">
        <f t="shared" si="3"/>
        <v/>
      </c>
      <c r="M1449" s="17" t="str">
        <f t="shared" si="4"/>
        <v/>
      </c>
    </row>
    <row r="1450" ht="15.75" customHeight="1">
      <c r="A1450" s="12"/>
      <c r="B1450" s="11"/>
      <c r="C1450" s="11"/>
      <c r="D1450" s="11"/>
      <c r="E1450" s="11" t="str">
        <f>IF(J1450="","", C1450 * IFERROR(VLOOKUP(J1450, SETUP!$A:$D, 3, FALSE), 0))</f>
        <v/>
      </c>
      <c r="F1450" s="11" t="str">
        <f>IF(J1450="","", C1450 * IFERROR(VLOOKUP(J1450, SETUP!$A:$D, 4, FALSE), 0))</f>
        <v/>
      </c>
      <c r="G1450" s="11" t="str">
        <f t="shared" si="1"/>
        <v/>
      </c>
      <c r="H1450" s="22"/>
      <c r="I1450" s="11"/>
      <c r="J1450" s="17" t="str">
        <f>IF(TRIM(B1450)="","",IF(ISNUMBER(SEARCH(" - ",B1450)),TRIM(RIGHT(B1450,LEN(B1450)-FIND(" - ",B1450)-2)),IFERROR(VLOOKUP(UPPER(TRIM(B1450)), SETUP!$B$4:$C$11, 2, FALSE), UPPER(TRIM(B1450)))))</f>
        <v/>
      </c>
      <c r="K1450" s="23" t="str">
        <f t="shared" si="2"/>
        <v/>
      </c>
      <c r="L1450" s="17" t="str">
        <f t="shared" si="3"/>
        <v/>
      </c>
      <c r="M1450" s="17" t="str">
        <f t="shared" si="4"/>
        <v/>
      </c>
    </row>
    <row r="1451" ht="15.75" customHeight="1">
      <c r="A1451" s="12"/>
      <c r="B1451" s="11"/>
      <c r="C1451" s="11"/>
      <c r="D1451" s="11"/>
      <c r="E1451" s="11" t="str">
        <f>IF(J1451="","", C1451 * IFERROR(VLOOKUP(J1451, SETUP!$A:$D, 3, FALSE), 0))</f>
        <v/>
      </c>
      <c r="F1451" s="11" t="str">
        <f>IF(J1451="","", C1451 * IFERROR(VLOOKUP(J1451, SETUP!$A:$D, 4, FALSE), 0))</f>
        <v/>
      </c>
      <c r="G1451" s="11" t="str">
        <f t="shared" si="1"/>
        <v/>
      </c>
      <c r="H1451" s="22"/>
      <c r="I1451" s="11"/>
      <c r="J1451" s="17" t="str">
        <f>IF(TRIM(B1451)="","",IF(ISNUMBER(SEARCH(" - ",B1451)),TRIM(RIGHT(B1451,LEN(B1451)-FIND(" - ",B1451)-2)),IFERROR(VLOOKUP(UPPER(TRIM(B1451)), SETUP!$B$4:$C$11, 2, FALSE), UPPER(TRIM(B1451)))))</f>
        <v/>
      </c>
      <c r="K1451" s="23" t="str">
        <f t="shared" si="2"/>
        <v/>
      </c>
      <c r="L1451" s="17" t="str">
        <f t="shared" si="3"/>
        <v/>
      </c>
      <c r="M1451" s="17" t="str">
        <f t="shared" si="4"/>
        <v/>
      </c>
    </row>
    <row r="1452" ht="15.75" customHeight="1">
      <c r="A1452" s="12"/>
      <c r="B1452" s="11"/>
      <c r="C1452" s="11"/>
      <c r="D1452" s="11"/>
      <c r="E1452" s="11" t="str">
        <f>IF(J1452="","", C1452 * IFERROR(VLOOKUP(J1452, SETUP!$A:$D, 3, FALSE), 0))</f>
        <v/>
      </c>
      <c r="F1452" s="11" t="str">
        <f>IF(J1452="","", C1452 * IFERROR(VLOOKUP(J1452, SETUP!$A:$D, 4, FALSE), 0))</f>
        <v/>
      </c>
      <c r="G1452" s="11" t="str">
        <f t="shared" si="1"/>
        <v/>
      </c>
      <c r="H1452" s="22"/>
      <c r="I1452" s="11"/>
      <c r="J1452" s="17" t="str">
        <f>IF(TRIM(B1452)="","",IF(ISNUMBER(SEARCH(" - ",B1452)),TRIM(RIGHT(B1452,LEN(B1452)-FIND(" - ",B1452)-2)),IFERROR(VLOOKUP(UPPER(TRIM(B1452)), SETUP!$B$4:$C$11, 2, FALSE), UPPER(TRIM(B1452)))))</f>
        <v/>
      </c>
      <c r="K1452" s="23" t="str">
        <f t="shared" si="2"/>
        <v/>
      </c>
      <c r="L1452" s="17" t="str">
        <f t="shared" si="3"/>
        <v/>
      </c>
      <c r="M1452" s="17" t="str">
        <f t="shared" si="4"/>
        <v/>
      </c>
    </row>
    <row r="1453" ht="15.75" customHeight="1">
      <c r="A1453" s="12"/>
      <c r="B1453" s="11"/>
      <c r="C1453" s="11"/>
      <c r="D1453" s="11"/>
      <c r="E1453" s="11" t="str">
        <f>IF(J1453="","", C1453 * IFERROR(VLOOKUP(J1453, SETUP!$A:$D, 3, FALSE), 0))</f>
        <v/>
      </c>
      <c r="F1453" s="11" t="str">
        <f>IF(J1453="","", C1453 * IFERROR(VLOOKUP(J1453, SETUP!$A:$D, 4, FALSE), 0))</f>
        <v/>
      </c>
      <c r="G1453" s="11" t="str">
        <f t="shared" si="1"/>
        <v/>
      </c>
      <c r="H1453" s="22"/>
      <c r="I1453" s="11"/>
      <c r="J1453" s="17" t="str">
        <f>IF(TRIM(B1453)="","",IF(ISNUMBER(SEARCH(" - ",B1453)),TRIM(RIGHT(B1453,LEN(B1453)-FIND(" - ",B1453)-2)),IFERROR(VLOOKUP(UPPER(TRIM(B1453)), SETUP!$B$4:$C$11, 2, FALSE), UPPER(TRIM(B1453)))))</f>
        <v/>
      </c>
      <c r="K1453" s="23" t="str">
        <f t="shared" si="2"/>
        <v/>
      </c>
      <c r="L1453" s="17" t="str">
        <f t="shared" si="3"/>
        <v/>
      </c>
      <c r="M1453" s="17" t="str">
        <f t="shared" si="4"/>
        <v/>
      </c>
    </row>
    <row r="1454" ht="15.75" customHeight="1">
      <c r="A1454" s="12"/>
      <c r="B1454" s="11"/>
      <c r="C1454" s="11"/>
      <c r="D1454" s="11"/>
      <c r="E1454" s="11" t="str">
        <f>IF(J1454="","", C1454 * IFERROR(VLOOKUP(J1454, SETUP!$A:$D, 3, FALSE), 0))</f>
        <v/>
      </c>
      <c r="F1454" s="11" t="str">
        <f>IF(J1454="","", C1454 * IFERROR(VLOOKUP(J1454, SETUP!$A:$D, 4, FALSE), 0))</f>
        <v/>
      </c>
      <c r="G1454" s="11" t="str">
        <f t="shared" si="1"/>
        <v/>
      </c>
      <c r="H1454" s="22"/>
      <c r="I1454" s="11"/>
      <c r="J1454" s="17" t="str">
        <f>IF(TRIM(B1454)="","",IF(ISNUMBER(SEARCH(" - ",B1454)),TRIM(RIGHT(B1454,LEN(B1454)-FIND(" - ",B1454)-2)),IFERROR(VLOOKUP(UPPER(TRIM(B1454)), SETUP!$B$4:$C$11, 2, FALSE), UPPER(TRIM(B1454)))))</f>
        <v/>
      </c>
      <c r="K1454" s="23" t="str">
        <f t="shared" si="2"/>
        <v/>
      </c>
      <c r="L1454" s="17" t="str">
        <f t="shared" si="3"/>
        <v/>
      </c>
      <c r="M1454" s="17" t="str">
        <f t="shared" si="4"/>
        <v/>
      </c>
    </row>
    <row r="1455" ht="15.75" customHeight="1">
      <c r="A1455" s="12"/>
      <c r="B1455" s="11"/>
      <c r="C1455" s="11"/>
      <c r="D1455" s="11"/>
      <c r="E1455" s="11" t="str">
        <f>IF(J1455="","", C1455 * IFERROR(VLOOKUP(J1455, SETUP!$A:$D, 3, FALSE), 0))</f>
        <v/>
      </c>
      <c r="F1455" s="11" t="str">
        <f>IF(J1455="","", C1455 * IFERROR(VLOOKUP(J1455, SETUP!$A:$D, 4, FALSE), 0))</f>
        <v/>
      </c>
      <c r="G1455" s="11" t="str">
        <f t="shared" si="1"/>
        <v/>
      </c>
      <c r="H1455" s="22"/>
      <c r="I1455" s="11"/>
      <c r="J1455" s="17" t="str">
        <f>IF(TRIM(B1455)="","",IF(ISNUMBER(SEARCH(" - ",B1455)),TRIM(RIGHT(B1455,LEN(B1455)-FIND(" - ",B1455)-2)),IFERROR(VLOOKUP(UPPER(TRIM(B1455)), SETUP!$B$4:$C$11, 2, FALSE), UPPER(TRIM(B1455)))))</f>
        <v/>
      </c>
      <c r="K1455" s="23" t="str">
        <f t="shared" si="2"/>
        <v/>
      </c>
      <c r="L1455" s="17" t="str">
        <f t="shared" si="3"/>
        <v/>
      </c>
      <c r="M1455" s="17" t="str">
        <f t="shared" si="4"/>
        <v/>
      </c>
    </row>
    <row r="1456" ht="15.75" customHeight="1">
      <c r="A1456" s="12"/>
      <c r="B1456" s="11"/>
      <c r="C1456" s="11"/>
      <c r="D1456" s="11"/>
      <c r="E1456" s="11" t="str">
        <f>IF(J1456="","", C1456 * IFERROR(VLOOKUP(J1456, SETUP!$A:$D, 3, FALSE), 0))</f>
        <v/>
      </c>
      <c r="F1456" s="11" t="str">
        <f>IF(J1456="","", C1456 * IFERROR(VLOOKUP(J1456, SETUP!$A:$D, 4, FALSE), 0))</f>
        <v/>
      </c>
      <c r="G1456" s="11" t="str">
        <f t="shared" si="1"/>
        <v/>
      </c>
      <c r="H1456" s="22"/>
      <c r="I1456" s="11"/>
      <c r="J1456" s="17" t="str">
        <f>IF(TRIM(B1456)="","",IF(ISNUMBER(SEARCH(" - ",B1456)),TRIM(RIGHT(B1456,LEN(B1456)-FIND(" - ",B1456)-2)),IFERROR(VLOOKUP(UPPER(TRIM(B1456)), SETUP!$B$4:$C$11, 2, FALSE), UPPER(TRIM(B1456)))))</f>
        <v/>
      </c>
      <c r="K1456" s="23" t="str">
        <f t="shared" si="2"/>
        <v/>
      </c>
      <c r="L1456" s="17" t="str">
        <f t="shared" si="3"/>
        <v/>
      </c>
      <c r="M1456" s="17" t="str">
        <f t="shared" si="4"/>
        <v/>
      </c>
    </row>
    <row r="1457" ht="15.75" customHeight="1">
      <c r="A1457" s="12"/>
      <c r="B1457" s="11"/>
      <c r="C1457" s="11"/>
      <c r="D1457" s="11"/>
      <c r="E1457" s="11" t="str">
        <f>IF(J1457="","", C1457 * IFERROR(VLOOKUP(J1457, SETUP!$A:$D, 3, FALSE), 0))</f>
        <v/>
      </c>
      <c r="F1457" s="11" t="str">
        <f>IF(J1457="","", C1457 * IFERROR(VLOOKUP(J1457, SETUP!$A:$D, 4, FALSE), 0))</f>
        <v/>
      </c>
      <c r="G1457" s="11" t="str">
        <f t="shared" si="1"/>
        <v/>
      </c>
      <c r="H1457" s="22"/>
      <c r="I1457" s="11"/>
      <c r="J1457" s="17" t="str">
        <f>IF(TRIM(B1457)="","",IF(ISNUMBER(SEARCH(" - ",B1457)),TRIM(RIGHT(B1457,LEN(B1457)-FIND(" - ",B1457)-2)),IFERROR(VLOOKUP(UPPER(TRIM(B1457)), SETUP!$B$4:$C$11, 2, FALSE), UPPER(TRIM(B1457)))))</f>
        <v/>
      </c>
      <c r="K1457" s="23" t="str">
        <f t="shared" si="2"/>
        <v/>
      </c>
      <c r="L1457" s="17" t="str">
        <f t="shared" si="3"/>
        <v/>
      </c>
      <c r="M1457" s="17" t="str">
        <f t="shared" si="4"/>
        <v/>
      </c>
    </row>
    <row r="1458" ht="15.75" customHeight="1">
      <c r="A1458" s="12"/>
      <c r="B1458" s="11"/>
      <c r="C1458" s="11"/>
      <c r="D1458" s="11"/>
      <c r="E1458" s="11" t="str">
        <f>IF(J1458="","", C1458 * IFERROR(VLOOKUP(J1458, SETUP!$A:$D, 3, FALSE), 0))</f>
        <v/>
      </c>
      <c r="F1458" s="11" t="str">
        <f>IF(J1458="","", C1458 * IFERROR(VLOOKUP(J1458, SETUP!$A:$D, 4, FALSE), 0))</f>
        <v/>
      </c>
      <c r="G1458" s="11" t="str">
        <f t="shared" si="1"/>
        <v/>
      </c>
      <c r="H1458" s="22"/>
      <c r="I1458" s="11"/>
      <c r="J1458" s="17" t="str">
        <f>IF(TRIM(B1458)="","",IF(ISNUMBER(SEARCH(" - ",B1458)),TRIM(RIGHT(B1458,LEN(B1458)-FIND(" - ",B1458)-2)),IFERROR(VLOOKUP(UPPER(TRIM(B1458)), SETUP!$B$4:$C$11, 2, FALSE), UPPER(TRIM(B1458)))))</f>
        <v/>
      </c>
      <c r="K1458" s="23" t="str">
        <f t="shared" si="2"/>
        <v/>
      </c>
      <c r="L1458" s="17" t="str">
        <f t="shared" si="3"/>
        <v/>
      </c>
      <c r="M1458" s="17" t="str">
        <f t="shared" si="4"/>
        <v/>
      </c>
    </row>
    <row r="1459" ht="15.75" customHeight="1">
      <c r="A1459" s="12"/>
      <c r="B1459" s="11"/>
      <c r="C1459" s="11"/>
      <c r="D1459" s="11"/>
      <c r="E1459" s="11" t="str">
        <f>IF(J1459="","", C1459 * IFERROR(VLOOKUP(J1459, SETUP!$A:$D, 3, FALSE), 0))</f>
        <v/>
      </c>
      <c r="F1459" s="11" t="str">
        <f>IF(J1459="","", C1459 * IFERROR(VLOOKUP(J1459, SETUP!$A:$D, 4, FALSE), 0))</f>
        <v/>
      </c>
      <c r="G1459" s="11" t="str">
        <f t="shared" si="1"/>
        <v/>
      </c>
      <c r="H1459" s="22"/>
      <c r="I1459" s="11"/>
      <c r="J1459" s="17" t="str">
        <f>IF(TRIM(B1459)="","",IF(ISNUMBER(SEARCH(" - ",B1459)),TRIM(RIGHT(B1459,LEN(B1459)-FIND(" - ",B1459)-2)),IFERROR(VLOOKUP(UPPER(TRIM(B1459)), SETUP!$B$4:$C$11, 2, FALSE), UPPER(TRIM(B1459)))))</f>
        <v/>
      </c>
      <c r="K1459" s="23" t="str">
        <f t="shared" si="2"/>
        <v/>
      </c>
      <c r="L1459" s="17" t="str">
        <f t="shared" si="3"/>
        <v/>
      </c>
      <c r="M1459" s="17" t="str">
        <f t="shared" si="4"/>
        <v/>
      </c>
    </row>
    <row r="1460" ht="15.75" customHeight="1">
      <c r="A1460" s="12"/>
      <c r="B1460" s="11"/>
      <c r="C1460" s="11"/>
      <c r="D1460" s="11"/>
      <c r="E1460" s="11" t="str">
        <f>IF(J1460="","", C1460 * IFERROR(VLOOKUP(J1460, SETUP!$A:$D, 3, FALSE), 0))</f>
        <v/>
      </c>
      <c r="F1460" s="11" t="str">
        <f>IF(J1460="","", C1460 * IFERROR(VLOOKUP(J1460, SETUP!$A:$D, 4, FALSE), 0))</f>
        <v/>
      </c>
      <c r="G1460" s="11" t="str">
        <f t="shared" si="1"/>
        <v/>
      </c>
      <c r="H1460" s="22"/>
      <c r="I1460" s="11"/>
      <c r="J1460" s="17" t="str">
        <f>IF(TRIM(B1460)="","",IF(ISNUMBER(SEARCH(" - ",B1460)),TRIM(RIGHT(B1460,LEN(B1460)-FIND(" - ",B1460)-2)),IFERROR(VLOOKUP(UPPER(TRIM(B1460)), SETUP!$B$4:$C$11, 2, FALSE), UPPER(TRIM(B1460)))))</f>
        <v/>
      </c>
      <c r="K1460" s="23" t="str">
        <f t="shared" si="2"/>
        <v/>
      </c>
      <c r="L1460" s="17" t="str">
        <f t="shared" si="3"/>
        <v/>
      </c>
      <c r="M1460" s="17" t="str">
        <f t="shared" si="4"/>
        <v/>
      </c>
    </row>
    <row r="1461" ht="15.75" customHeight="1">
      <c r="A1461" s="12"/>
      <c r="B1461" s="11"/>
      <c r="C1461" s="11"/>
      <c r="D1461" s="11"/>
      <c r="E1461" s="11" t="str">
        <f>IF(J1461="","", C1461 * IFERROR(VLOOKUP(J1461, SETUP!$A:$D, 3, FALSE), 0))</f>
        <v/>
      </c>
      <c r="F1461" s="11" t="str">
        <f>IF(J1461="","", C1461 * IFERROR(VLOOKUP(J1461, SETUP!$A:$D, 4, FALSE), 0))</f>
        <v/>
      </c>
      <c r="G1461" s="11" t="str">
        <f t="shared" si="1"/>
        <v/>
      </c>
      <c r="H1461" s="22"/>
      <c r="I1461" s="11"/>
      <c r="J1461" s="17" t="str">
        <f>IF(TRIM(B1461)="","",IF(ISNUMBER(SEARCH(" - ",B1461)),TRIM(RIGHT(B1461,LEN(B1461)-FIND(" - ",B1461)-2)),IFERROR(VLOOKUP(UPPER(TRIM(B1461)), SETUP!$B$4:$C$11, 2, FALSE), UPPER(TRIM(B1461)))))</f>
        <v/>
      </c>
      <c r="K1461" s="23" t="str">
        <f t="shared" si="2"/>
        <v/>
      </c>
      <c r="L1461" s="17" t="str">
        <f t="shared" si="3"/>
        <v/>
      </c>
      <c r="M1461" s="17" t="str">
        <f t="shared" si="4"/>
        <v/>
      </c>
    </row>
    <row r="1462" ht="15.75" customHeight="1">
      <c r="A1462" s="12"/>
      <c r="B1462" s="11"/>
      <c r="C1462" s="11"/>
      <c r="D1462" s="11"/>
      <c r="E1462" s="11" t="str">
        <f>IF(J1462="","", C1462 * IFERROR(VLOOKUP(J1462, SETUP!$A:$D, 3, FALSE), 0))</f>
        <v/>
      </c>
      <c r="F1462" s="11" t="str">
        <f>IF(J1462="","", C1462 * IFERROR(VLOOKUP(J1462, SETUP!$A:$D, 4, FALSE), 0))</f>
        <v/>
      </c>
      <c r="G1462" s="11" t="str">
        <f t="shared" si="1"/>
        <v/>
      </c>
      <c r="H1462" s="22"/>
      <c r="I1462" s="11"/>
      <c r="J1462" s="17" t="str">
        <f>IF(TRIM(B1462)="","",IF(ISNUMBER(SEARCH(" - ",B1462)),TRIM(RIGHT(B1462,LEN(B1462)-FIND(" - ",B1462)-2)),IFERROR(VLOOKUP(UPPER(TRIM(B1462)), SETUP!$B$4:$C$11, 2, FALSE), UPPER(TRIM(B1462)))))</f>
        <v/>
      </c>
      <c r="K1462" s="23" t="str">
        <f t="shared" si="2"/>
        <v/>
      </c>
      <c r="L1462" s="17" t="str">
        <f t="shared" si="3"/>
        <v/>
      </c>
      <c r="M1462" s="17" t="str">
        <f t="shared" si="4"/>
        <v/>
      </c>
    </row>
    <row r="1463" ht="15.75" customHeight="1">
      <c r="A1463" s="12"/>
      <c r="B1463" s="11"/>
      <c r="C1463" s="11"/>
      <c r="D1463" s="11"/>
      <c r="E1463" s="11" t="str">
        <f>IF(J1463="","", C1463 * IFERROR(VLOOKUP(J1463, SETUP!$A:$D, 3, FALSE), 0))</f>
        <v/>
      </c>
      <c r="F1463" s="11" t="str">
        <f>IF(J1463="","", C1463 * IFERROR(VLOOKUP(J1463, SETUP!$A:$D, 4, FALSE), 0))</f>
        <v/>
      </c>
      <c r="G1463" s="11" t="str">
        <f t="shared" si="1"/>
        <v/>
      </c>
      <c r="H1463" s="22"/>
      <c r="I1463" s="11"/>
      <c r="J1463" s="17" t="str">
        <f>IF(TRIM(B1463)="","",IF(ISNUMBER(SEARCH(" - ",B1463)),TRIM(RIGHT(B1463,LEN(B1463)-FIND(" - ",B1463)-2)),IFERROR(VLOOKUP(UPPER(TRIM(B1463)), SETUP!$B$4:$C$11, 2, FALSE), UPPER(TRIM(B1463)))))</f>
        <v/>
      </c>
      <c r="K1463" s="23" t="str">
        <f t="shared" si="2"/>
        <v/>
      </c>
      <c r="L1463" s="17" t="str">
        <f t="shared" si="3"/>
        <v/>
      </c>
      <c r="M1463" s="17" t="str">
        <f t="shared" si="4"/>
        <v/>
      </c>
    </row>
    <row r="1464" ht="15.75" customHeight="1">
      <c r="A1464" s="12"/>
      <c r="B1464" s="11"/>
      <c r="C1464" s="11"/>
      <c r="D1464" s="11"/>
      <c r="E1464" s="11" t="str">
        <f>IF(J1464="","", C1464 * IFERROR(VLOOKUP(J1464, SETUP!$A:$D, 3, FALSE), 0))</f>
        <v/>
      </c>
      <c r="F1464" s="11" t="str">
        <f>IF(J1464="","", C1464 * IFERROR(VLOOKUP(J1464, SETUP!$A:$D, 4, FALSE), 0))</f>
        <v/>
      </c>
      <c r="G1464" s="11" t="str">
        <f t="shared" si="1"/>
        <v/>
      </c>
      <c r="H1464" s="22"/>
      <c r="I1464" s="11"/>
      <c r="J1464" s="17" t="str">
        <f>IF(TRIM(B1464)="","",IF(ISNUMBER(SEARCH(" - ",B1464)),TRIM(RIGHT(B1464,LEN(B1464)-FIND(" - ",B1464)-2)),IFERROR(VLOOKUP(UPPER(TRIM(B1464)), SETUP!$B$4:$C$11, 2, FALSE), UPPER(TRIM(B1464)))))</f>
        <v/>
      </c>
      <c r="K1464" s="23" t="str">
        <f t="shared" si="2"/>
        <v/>
      </c>
      <c r="L1464" s="17" t="str">
        <f t="shared" si="3"/>
        <v/>
      </c>
      <c r="M1464" s="17" t="str">
        <f t="shared" si="4"/>
        <v/>
      </c>
    </row>
    <row r="1465" ht="15.75" customHeight="1">
      <c r="A1465" s="12"/>
      <c r="B1465" s="11"/>
      <c r="C1465" s="11"/>
      <c r="D1465" s="11"/>
      <c r="E1465" s="11" t="str">
        <f>IF(J1465="","", C1465 * IFERROR(VLOOKUP(J1465, SETUP!$A:$D, 3, FALSE), 0))</f>
        <v/>
      </c>
      <c r="F1465" s="11" t="str">
        <f>IF(J1465="","", C1465 * IFERROR(VLOOKUP(J1465, SETUP!$A:$D, 4, FALSE), 0))</f>
        <v/>
      </c>
      <c r="G1465" s="11" t="str">
        <f t="shared" si="1"/>
        <v/>
      </c>
      <c r="H1465" s="22"/>
      <c r="I1465" s="11"/>
      <c r="J1465" s="17" t="str">
        <f>IF(TRIM(B1465)="","",IF(ISNUMBER(SEARCH(" - ",B1465)),TRIM(RIGHT(B1465,LEN(B1465)-FIND(" - ",B1465)-2)),IFERROR(VLOOKUP(UPPER(TRIM(B1465)), SETUP!$B$4:$C$11, 2, FALSE), UPPER(TRIM(B1465)))))</f>
        <v/>
      </c>
      <c r="K1465" s="23" t="str">
        <f t="shared" si="2"/>
        <v/>
      </c>
      <c r="L1465" s="17" t="str">
        <f t="shared" si="3"/>
        <v/>
      </c>
      <c r="M1465" s="17" t="str">
        <f t="shared" si="4"/>
        <v/>
      </c>
    </row>
    <row r="1466" ht="15.75" customHeight="1">
      <c r="A1466" s="12"/>
      <c r="B1466" s="11"/>
      <c r="C1466" s="11"/>
      <c r="D1466" s="11"/>
      <c r="E1466" s="11" t="str">
        <f>IF(J1466="","", C1466 * IFERROR(VLOOKUP(J1466, SETUP!$A:$D, 3, FALSE), 0))</f>
        <v/>
      </c>
      <c r="F1466" s="11" t="str">
        <f>IF(J1466="","", C1466 * IFERROR(VLOOKUP(J1466, SETUP!$A:$D, 4, FALSE), 0))</f>
        <v/>
      </c>
      <c r="G1466" s="11" t="str">
        <f t="shared" si="1"/>
        <v/>
      </c>
      <c r="H1466" s="22"/>
      <c r="I1466" s="11"/>
      <c r="J1466" s="17" t="str">
        <f>IF(TRIM(B1466)="","",IF(ISNUMBER(SEARCH(" - ",B1466)),TRIM(RIGHT(B1466,LEN(B1466)-FIND(" - ",B1466)-2)),IFERROR(VLOOKUP(UPPER(TRIM(B1466)), SETUP!$B$4:$C$11, 2, FALSE), UPPER(TRIM(B1466)))))</f>
        <v/>
      </c>
      <c r="K1466" s="23" t="str">
        <f t="shared" si="2"/>
        <v/>
      </c>
      <c r="L1466" s="17" t="str">
        <f t="shared" si="3"/>
        <v/>
      </c>
      <c r="M1466" s="17" t="str">
        <f t="shared" si="4"/>
        <v/>
      </c>
    </row>
    <row r="1467" ht="15.75" customHeight="1">
      <c r="A1467" s="12"/>
      <c r="B1467" s="11"/>
      <c r="C1467" s="11"/>
      <c r="D1467" s="11"/>
      <c r="E1467" s="11" t="str">
        <f>IF(J1467="","", C1467 * IFERROR(VLOOKUP(J1467, SETUP!$A:$D, 3, FALSE), 0))</f>
        <v/>
      </c>
      <c r="F1467" s="11" t="str">
        <f>IF(J1467="","", C1467 * IFERROR(VLOOKUP(J1467, SETUP!$A:$D, 4, FALSE), 0))</f>
        <v/>
      </c>
      <c r="G1467" s="11" t="str">
        <f t="shared" si="1"/>
        <v/>
      </c>
      <c r="H1467" s="22"/>
      <c r="I1467" s="11"/>
      <c r="J1467" s="17" t="str">
        <f>IF(TRIM(B1467)="","",IF(ISNUMBER(SEARCH(" - ",B1467)),TRIM(RIGHT(B1467,LEN(B1467)-FIND(" - ",B1467)-2)),IFERROR(VLOOKUP(UPPER(TRIM(B1467)), SETUP!$B$4:$C$11, 2, FALSE), UPPER(TRIM(B1467)))))</f>
        <v/>
      </c>
      <c r="K1467" s="23" t="str">
        <f t="shared" si="2"/>
        <v/>
      </c>
      <c r="L1467" s="17" t="str">
        <f t="shared" si="3"/>
        <v/>
      </c>
      <c r="M1467" s="17" t="str">
        <f t="shared" si="4"/>
        <v/>
      </c>
    </row>
    <row r="1468" ht="15.75" customHeight="1">
      <c r="A1468" s="12"/>
      <c r="B1468" s="11"/>
      <c r="C1468" s="11"/>
      <c r="D1468" s="11"/>
      <c r="E1468" s="11" t="str">
        <f>IF(J1468="","", C1468 * IFERROR(VLOOKUP(J1468, SETUP!$A:$D, 3, FALSE), 0))</f>
        <v/>
      </c>
      <c r="F1468" s="11" t="str">
        <f>IF(J1468="","", C1468 * IFERROR(VLOOKUP(J1468, SETUP!$A:$D, 4, FALSE), 0))</f>
        <v/>
      </c>
      <c r="G1468" s="11" t="str">
        <f t="shared" si="1"/>
        <v/>
      </c>
      <c r="H1468" s="22"/>
      <c r="I1468" s="11"/>
      <c r="J1468" s="17" t="str">
        <f>IF(TRIM(B1468)="","",IF(ISNUMBER(SEARCH(" - ",B1468)),TRIM(RIGHT(B1468,LEN(B1468)-FIND(" - ",B1468)-2)),IFERROR(VLOOKUP(UPPER(TRIM(B1468)), SETUP!$B$4:$C$11, 2, FALSE), UPPER(TRIM(B1468)))))</f>
        <v/>
      </c>
      <c r="K1468" s="23" t="str">
        <f t="shared" si="2"/>
        <v/>
      </c>
      <c r="L1468" s="17" t="str">
        <f t="shared" si="3"/>
        <v/>
      </c>
      <c r="M1468" s="17" t="str">
        <f t="shared" si="4"/>
        <v/>
      </c>
    </row>
    <row r="1469" ht="15.75" customHeight="1">
      <c r="A1469" s="12"/>
      <c r="B1469" s="11"/>
      <c r="C1469" s="11"/>
      <c r="D1469" s="11"/>
      <c r="E1469" s="11" t="str">
        <f>IF(J1469="","", C1469 * IFERROR(VLOOKUP(J1469, SETUP!$A:$D, 3, FALSE), 0))</f>
        <v/>
      </c>
      <c r="F1469" s="11" t="str">
        <f>IF(J1469="","", C1469 * IFERROR(VLOOKUP(J1469, SETUP!$A:$D, 4, FALSE), 0))</f>
        <v/>
      </c>
      <c r="G1469" s="11" t="str">
        <f t="shared" si="1"/>
        <v/>
      </c>
      <c r="H1469" s="22"/>
      <c r="I1469" s="11"/>
      <c r="J1469" s="17" t="str">
        <f>IF(TRIM(B1469)="","",IF(ISNUMBER(SEARCH(" - ",B1469)),TRIM(RIGHT(B1469,LEN(B1469)-FIND(" - ",B1469)-2)),IFERROR(VLOOKUP(UPPER(TRIM(B1469)), SETUP!$B$4:$C$11, 2, FALSE), UPPER(TRIM(B1469)))))</f>
        <v/>
      </c>
      <c r="K1469" s="23" t="str">
        <f t="shared" si="2"/>
        <v/>
      </c>
      <c r="L1469" s="17" t="str">
        <f t="shared" si="3"/>
        <v/>
      </c>
      <c r="M1469" s="17" t="str">
        <f t="shared" si="4"/>
        <v/>
      </c>
    </row>
    <row r="1470" ht="15.75" customHeight="1">
      <c r="A1470" s="12"/>
      <c r="B1470" s="11"/>
      <c r="C1470" s="11"/>
      <c r="D1470" s="11"/>
      <c r="E1470" s="11" t="str">
        <f>IF(J1470="","", C1470 * IFERROR(VLOOKUP(J1470, SETUP!$A:$D, 3, FALSE), 0))</f>
        <v/>
      </c>
      <c r="F1470" s="11" t="str">
        <f>IF(J1470="","", C1470 * IFERROR(VLOOKUP(J1470, SETUP!$A:$D, 4, FALSE), 0))</f>
        <v/>
      </c>
      <c r="G1470" s="11" t="str">
        <f t="shared" si="1"/>
        <v/>
      </c>
      <c r="H1470" s="22"/>
      <c r="I1470" s="11"/>
      <c r="J1470" s="17" t="str">
        <f>IF(TRIM(B1470)="","",IF(ISNUMBER(SEARCH(" - ",B1470)),TRIM(RIGHT(B1470,LEN(B1470)-FIND(" - ",B1470)-2)),IFERROR(VLOOKUP(UPPER(TRIM(B1470)), SETUP!$B$4:$C$11, 2, FALSE), UPPER(TRIM(B1470)))))</f>
        <v/>
      </c>
      <c r="K1470" s="23" t="str">
        <f t="shared" si="2"/>
        <v/>
      </c>
      <c r="L1470" s="17" t="str">
        <f t="shared" si="3"/>
        <v/>
      </c>
      <c r="M1470" s="17" t="str">
        <f t="shared" si="4"/>
        <v/>
      </c>
    </row>
    <row r="1471" ht="15.75" customHeight="1">
      <c r="A1471" s="12"/>
      <c r="B1471" s="11"/>
      <c r="C1471" s="11"/>
      <c r="D1471" s="11"/>
      <c r="E1471" s="11" t="str">
        <f>IF(J1471="","", C1471 * IFERROR(VLOOKUP(J1471, SETUP!$A:$D, 3, FALSE), 0))</f>
        <v/>
      </c>
      <c r="F1471" s="11" t="str">
        <f>IF(J1471="","", C1471 * IFERROR(VLOOKUP(J1471, SETUP!$A:$D, 4, FALSE), 0))</f>
        <v/>
      </c>
      <c r="G1471" s="11" t="str">
        <f t="shared" si="1"/>
        <v/>
      </c>
      <c r="H1471" s="22"/>
      <c r="I1471" s="11"/>
      <c r="J1471" s="17" t="str">
        <f>IF(TRIM(B1471)="","",IF(ISNUMBER(SEARCH(" - ",B1471)),TRIM(RIGHT(B1471,LEN(B1471)-FIND(" - ",B1471)-2)),IFERROR(VLOOKUP(UPPER(TRIM(B1471)), SETUP!$B$4:$C$11, 2, FALSE), UPPER(TRIM(B1471)))))</f>
        <v/>
      </c>
      <c r="K1471" s="23" t="str">
        <f t="shared" si="2"/>
        <v/>
      </c>
      <c r="L1471" s="17" t="str">
        <f t="shared" si="3"/>
        <v/>
      </c>
      <c r="M1471" s="17" t="str">
        <f t="shared" si="4"/>
        <v/>
      </c>
    </row>
    <row r="1472" ht="15.75" customHeight="1">
      <c r="A1472" s="12"/>
      <c r="B1472" s="11"/>
      <c r="C1472" s="11"/>
      <c r="D1472" s="11"/>
      <c r="E1472" s="11" t="str">
        <f>IF(J1472="","", C1472 * IFERROR(VLOOKUP(J1472, SETUP!$A:$D, 3, FALSE), 0))</f>
        <v/>
      </c>
      <c r="F1472" s="11" t="str">
        <f>IF(J1472="","", C1472 * IFERROR(VLOOKUP(J1472, SETUP!$A:$D, 4, FALSE), 0))</f>
        <v/>
      </c>
      <c r="G1472" s="11" t="str">
        <f t="shared" si="1"/>
        <v/>
      </c>
      <c r="H1472" s="22"/>
      <c r="I1472" s="11"/>
      <c r="J1472" s="17" t="str">
        <f>IF(TRIM(B1472)="","",IF(ISNUMBER(SEARCH(" - ",B1472)),TRIM(RIGHT(B1472,LEN(B1472)-FIND(" - ",B1472)-2)),IFERROR(VLOOKUP(UPPER(TRIM(B1472)), SETUP!$B$4:$C$11, 2, FALSE), UPPER(TRIM(B1472)))))</f>
        <v/>
      </c>
      <c r="K1472" s="23" t="str">
        <f t="shared" si="2"/>
        <v/>
      </c>
      <c r="L1472" s="17" t="str">
        <f t="shared" si="3"/>
        <v/>
      </c>
      <c r="M1472" s="17" t="str">
        <f t="shared" si="4"/>
        <v/>
      </c>
    </row>
    <row r="1473" ht="15.75" customHeight="1">
      <c r="A1473" s="12"/>
      <c r="B1473" s="11"/>
      <c r="C1473" s="11"/>
      <c r="D1473" s="11"/>
      <c r="E1473" s="11" t="str">
        <f>IF(J1473="","", C1473 * IFERROR(VLOOKUP(J1473, SETUP!$A:$D, 3, FALSE), 0))</f>
        <v/>
      </c>
      <c r="F1473" s="11" t="str">
        <f>IF(J1473="","", C1473 * IFERROR(VLOOKUP(J1473, SETUP!$A:$D, 4, FALSE), 0))</f>
        <v/>
      </c>
      <c r="G1473" s="11" t="str">
        <f t="shared" si="1"/>
        <v/>
      </c>
      <c r="H1473" s="22"/>
      <c r="I1473" s="11"/>
      <c r="J1473" s="17" t="str">
        <f>IF(TRIM(B1473)="","",IF(ISNUMBER(SEARCH(" - ",B1473)),TRIM(RIGHT(B1473,LEN(B1473)-FIND(" - ",B1473)-2)),IFERROR(VLOOKUP(UPPER(TRIM(B1473)), SETUP!$B$4:$C$11, 2, FALSE), UPPER(TRIM(B1473)))))</f>
        <v/>
      </c>
      <c r="K1473" s="23" t="str">
        <f t="shared" si="2"/>
        <v/>
      </c>
      <c r="L1473" s="17" t="str">
        <f t="shared" si="3"/>
        <v/>
      </c>
      <c r="M1473" s="17" t="str">
        <f t="shared" si="4"/>
        <v/>
      </c>
    </row>
    <row r="1474" ht="15.75" customHeight="1">
      <c r="A1474" s="12"/>
      <c r="B1474" s="11"/>
      <c r="C1474" s="11"/>
      <c r="D1474" s="11"/>
      <c r="E1474" s="11" t="str">
        <f>IF(J1474="","", C1474 * IFERROR(VLOOKUP(J1474, SETUP!$A:$D, 3, FALSE), 0))</f>
        <v/>
      </c>
      <c r="F1474" s="11" t="str">
        <f>IF(J1474="","", C1474 * IFERROR(VLOOKUP(J1474, SETUP!$A:$D, 4, FALSE), 0))</f>
        <v/>
      </c>
      <c r="G1474" s="11" t="str">
        <f t="shared" si="1"/>
        <v/>
      </c>
      <c r="H1474" s="22"/>
      <c r="I1474" s="11"/>
      <c r="J1474" s="17" t="str">
        <f>IF(TRIM(B1474)="","",IF(ISNUMBER(SEARCH(" - ",B1474)),TRIM(RIGHT(B1474,LEN(B1474)-FIND(" - ",B1474)-2)),IFERROR(VLOOKUP(UPPER(TRIM(B1474)), SETUP!$B$4:$C$11, 2, FALSE), UPPER(TRIM(B1474)))))</f>
        <v/>
      </c>
      <c r="K1474" s="23" t="str">
        <f t="shared" si="2"/>
        <v/>
      </c>
      <c r="L1474" s="17" t="str">
        <f t="shared" si="3"/>
        <v/>
      </c>
      <c r="M1474" s="17" t="str">
        <f t="shared" si="4"/>
        <v/>
      </c>
    </row>
    <row r="1475" ht="15.75" customHeight="1">
      <c r="A1475" s="12"/>
      <c r="B1475" s="11"/>
      <c r="C1475" s="11"/>
      <c r="D1475" s="11"/>
      <c r="E1475" s="11" t="str">
        <f>IF(J1475="","", C1475 * IFERROR(VLOOKUP(J1475, SETUP!$A:$D, 3, FALSE), 0))</f>
        <v/>
      </c>
      <c r="F1475" s="11" t="str">
        <f>IF(J1475="","", C1475 * IFERROR(VLOOKUP(J1475, SETUP!$A:$D, 4, FALSE), 0))</f>
        <v/>
      </c>
      <c r="G1475" s="11" t="str">
        <f t="shared" si="1"/>
        <v/>
      </c>
      <c r="H1475" s="22"/>
      <c r="I1475" s="11"/>
      <c r="J1475" s="17" t="str">
        <f>IF(TRIM(B1475)="","",IF(ISNUMBER(SEARCH(" - ",B1475)),TRIM(RIGHT(B1475,LEN(B1475)-FIND(" - ",B1475)-2)),IFERROR(VLOOKUP(UPPER(TRIM(B1475)), SETUP!$B$4:$C$11, 2, FALSE), UPPER(TRIM(B1475)))))</f>
        <v/>
      </c>
      <c r="K1475" s="23" t="str">
        <f t="shared" si="2"/>
        <v/>
      </c>
      <c r="L1475" s="17" t="str">
        <f t="shared" si="3"/>
        <v/>
      </c>
      <c r="M1475" s="17" t="str">
        <f t="shared" si="4"/>
        <v/>
      </c>
    </row>
    <row r="1476" ht="15.75" customHeight="1">
      <c r="A1476" s="12"/>
      <c r="B1476" s="11"/>
      <c r="C1476" s="11"/>
      <c r="D1476" s="11"/>
      <c r="E1476" s="11" t="str">
        <f>IF(J1476="","", C1476 * IFERROR(VLOOKUP(J1476, SETUP!$A:$D, 3, FALSE), 0))</f>
        <v/>
      </c>
      <c r="F1476" s="11" t="str">
        <f>IF(J1476="","", C1476 * IFERROR(VLOOKUP(J1476, SETUP!$A:$D, 4, FALSE), 0))</f>
        <v/>
      </c>
      <c r="G1476" s="11" t="str">
        <f t="shared" si="1"/>
        <v/>
      </c>
      <c r="H1476" s="22"/>
      <c r="I1476" s="11"/>
      <c r="J1476" s="17" t="str">
        <f>IF(TRIM(B1476)="","",IF(ISNUMBER(SEARCH(" - ",B1476)),TRIM(RIGHT(B1476,LEN(B1476)-FIND(" - ",B1476)-2)),IFERROR(VLOOKUP(UPPER(TRIM(B1476)), SETUP!$B$4:$C$11, 2, FALSE), UPPER(TRIM(B1476)))))</f>
        <v/>
      </c>
      <c r="K1476" s="23" t="str">
        <f t="shared" si="2"/>
        <v/>
      </c>
      <c r="L1476" s="17" t="str">
        <f t="shared" si="3"/>
        <v/>
      </c>
      <c r="M1476" s="17" t="str">
        <f t="shared" si="4"/>
        <v/>
      </c>
    </row>
    <row r="1477" ht="15.75" customHeight="1">
      <c r="A1477" s="12"/>
      <c r="B1477" s="11"/>
      <c r="C1477" s="11"/>
      <c r="D1477" s="11"/>
      <c r="E1477" s="11" t="str">
        <f>IF(J1477="","", C1477 * IFERROR(VLOOKUP(J1477, SETUP!$A:$D, 3, FALSE), 0))</f>
        <v/>
      </c>
      <c r="F1477" s="11" t="str">
        <f>IF(J1477="","", C1477 * IFERROR(VLOOKUP(J1477, SETUP!$A:$D, 4, FALSE), 0))</f>
        <v/>
      </c>
      <c r="G1477" s="11" t="str">
        <f t="shared" si="1"/>
        <v/>
      </c>
      <c r="H1477" s="22"/>
      <c r="I1477" s="11"/>
      <c r="J1477" s="17" t="str">
        <f>IF(TRIM(B1477)="","",IF(ISNUMBER(SEARCH(" - ",B1477)),TRIM(RIGHT(B1477,LEN(B1477)-FIND(" - ",B1477)-2)),IFERROR(VLOOKUP(UPPER(TRIM(B1477)), SETUP!$B$4:$C$11, 2, FALSE), UPPER(TRIM(B1477)))))</f>
        <v/>
      </c>
      <c r="K1477" s="23" t="str">
        <f t="shared" si="2"/>
        <v/>
      </c>
      <c r="L1477" s="17" t="str">
        <f t="shared" si="3"/>
        <v/>
      </c>
      <c r="M1477" s="17" t="str">
        <f t="shared" si="4"/>
        <v/>
      </c>
    </row>
    <row r="1478" ht="15.75" customHeight="1">
      <c r="A1478" s="12"/>
      <c r="B1478" s="11"/>
      <c r="C1478" s="11"/>
      <c r="D1478" s="11"/>
      <c r="E1478" s="11" t="str">
        <f>IF(J1478="","", C1478 * IFERROR(VLOOKUP(J1478, SETUP!$A:$D, 3, FALSE), 0))</f>
        <v/>
      </c>
      <c r="F1478" s="11" t="str">
        <f>IF(J1478="","", C1478 * IFERROR(VLOOKUP(J1478, SETUP!$A:$D, 4, FALSE), 0))</f>
        <v/>
      </c>
      <c r="G1478" s="11" t="str">
        <f t="shared" si="1"/>
        <v/>
      </c>
      <c r="H1478" s="22"/>
      <c r="I1478" s="11"/>
      <c r="J1478" s="17" t="str">
        <f>IF(TRIM(B1478)="","",IF(ISNUMBER(SEARCH(" - ",B1478)),TRIM(RIGHT(B1478,LEN(B1478)-FIND(" - ",B1478)-2)),IFERROR(VLOOKUP(UPPER(TRIM(B1478)), SETUP!$B$4:$C$11, 2, FALSE), UPPER(TRIM(B1478)))))</f>
        <v/>
      </c>
      <c r="K1478" s="23" t="str">
        <f t="shared" si="2"/>
        <v/>
      </c>
      <c r="L1478" s="17" t="str">
        <f t="shared" si="3"/>
        <v/>
      </c>
      <c r="M1478" s="17" t="str">
        <f t="shared" si="4"/>
        <v/>
      </c>
    </row>
    <row r="1479" ht="15.75" customHeight="1">
      <c r="A1479" s="12"/>
      <c r="B1479" s="11"/>
      <c r="C1479" s="11"/>
      <c r="D1479" s="11"/>
      <c r="E1479" s="11" t="str">
        <f>IF(J1479="","", C1479 * IFERROR(VLOOKUP(J1479, SETUP!$A:$D, 3, FALSE), 0))</f>
        <v/>
      </c>
      <c r="F1479" s="11" t="str">
        <f>IF(J1479="","", C1479 * IFERROR(VLOOKUP(J1479, SETUP!$A:$D, 4, FALSE), 0))</f>
        <v/>
      </c>
      <c r="G1479" s="11" t="str">
        <f t="shared" si="1"/>
        <v/>
      </c>
      <c r="H1479" s="22"/>
      <c r="I1479" s="11"/>
      <c r="J1479" s="17" t="str">
        <f>IF(TRIM(B1479)="","",IF(ISNUMBER(SEARCH(" - ",B1479)),TRIM(RIGHT(B1479,LEN(B1479)-FIND(" - ",B1479)-2)),IFERROR(VLOOKUP(UPPER(TRIM(B1479)), SETUP!$B$4:$C$11, 2, FALSE), UPPER(TRIM(B1479)))))</f>
        <v/>
      </c>
      <c r="K1479" s="23" t="str">
        <f t="shared" si="2"/>
        <v/>
      </c>
      <c r="L1479" s="17" t="str">
        <f t="shared" si="3"/>
        <v/>
      </c>
      <c r="M1479" s="17" t="str">
        <f t="shared" si="4"/>
        <v/>
      </c>
    </row>
    <row r="1480" ht="15.75" customHeight="1">
      <c r="A1480" s="12"/>
      <c r="B1480" s="11"/>
      <c r="C1480" s="11"/>
      <c r="D1480" s="11"/>
      <c r="E1480" s="11" t="str">
        <f>IF(J1480="","", C1480 * IFERROR(VLOOKUP(J1480, SETUP!$A:$D, 3, FALSE), 0))</f>
        <v/>
      </c>
      <c r="F1480" s="11" t="str">
        <f>IF(J1480="","", C1480 * IFERROR(VLOOKUP(J1480, SETUP!$A:$D, 4, FALSE), 0))</f>
        <v/>
      </c>
      <c r="G1480" s="11" t="str">
        <f t="shared" si="1"/>
        <v/>
      </c>
      <c r="H1480" s="22"/>
      <c r="I1480" s="11"/>
      <c r="J1480" s="17" t="str">
        <f>IF(TRIM(B1480)="","",IF(ISNUMBER(SEARCH(" - ",B1480)),TRIM(RIGHT(B1480,LEN(B1480)-FIND(" - ",B1480)-2)),IFERROR(VLOOKUP(UPPER(TRIM(B1480)), SETUP!$B$4:$C$11, 2, FALSE), UPPER(TRIM(B1480)))))</f>
        <v/>
      </c>
      <c r="K1480" s="23" t="str">
        <f t="shared" si="2"/>
        <v/>
      </c>
      <c r="L1480" s="17" t="str">
        <f t="shared" si="3"/>
        <v/>
      </c>
      <c r="M1480" s="17" t="str">
        <f t="shared" si="4"/>
        <v/>
      </c>
    </row>
    <row r="1481" ht="15.75" customHeight="1">
      <c r="A1481" s="12"/>
      <c r="B1481" s="11"/>
      <c r="C1481" s="11"/>
      <c r="D1481" s="11"/>
      <c r="E1481" s="11" t="str">
        <f>IF(J1481="","", C1481 * IFERROR(VLOOKUP(J1481, SETUP!$A:$D, 3, FALSE), 0))</f>
        <v/>
      </c>
      <c r="F1481" s="11" t="str">
        <f>IF(J1481="","", C1481 * IFERROR(VLOOKUP(J1481, SETUP!$A:$D, 4, FALSE), 0))</f>
        <v/>
      </c>
      <c r="G1481" s="11" t="str">
        <f t="shared" si="1"/>
        <v/>
      </c>
      <c r="H1481" s="22"/>
      <c r="I1481" s="11"/>
      <c r="J1481" s="17" t="str">
        <f>IF(TRIM(B1481)="","",IF(ISNUMBER(SEARCH(" - ",B1481)),TRIM(RIGHT(B1481,LEN(B1481)-FIND(" - ",B1481)-2)),IFERROR(VLOOKUP(UPPER(TRIM(B1481)), SETUP!$B$4:$C$11, 2, FALSE), UPPER(TRIM(B1481)))))</f>
        <v/>
      </c>
      <c r="K1481" s="23" t="str">
        <f t="shared" si="2"/>
        <v/>
      </c>
      <c r="L1481" s="17" t="str">
        <f t="shared" si="3"/>
        <v/>
      </c>
      <c r="M1481" s="17" t="str">
        <f t="shared" si="4"/>
        <v/>
      </c>
    </row>
    <row r="1482" ht="15.75" customHeight="1">
      <c r="A1482" s="12"/>
      <c r="B1482" s="11"/>
      <c r="C1482" s="11"/>
      <c r="D1482" s="11"/>
      <c r="E1482" s="11" t="str">
        <f>IF(J1482="","", C1482 * IFERROR(VLOOKUP(J1482, SETUP!$A:$D, 3, FALSE), 0))</f>
        <v/>
      </c>
      <c r="F1482" s="11" t="str">
        <f>IF(J1482="","", C1482 * IFERROR(VLOOKUP(J1482, SETUP!$A:$D, 4, FALSE), 0))</f>
        <v/>
      </c>
      <c r="G1482" s="11" t="str">
        <f t="shared" si="1"/>
        <v/>
      </c>
      <c r="H1482" s="22"/>
      <c r="I1482" s="11"/>
      <c r="J1482" s="17" t="str">
        <f>IF(TRIM(B1482)="","",IF(ISNUMBER(SEARCH(" - ",B1482)),TRIM(RIGHT(B1482,LEN(B1482)-FIND(" - ",B1482)-2)),IFERROR(VLOOKUP(UPPER(TRIM(B1482)), SETUP!$B$4:$C$11, 2, FALSE), UPPER(TRIM(B1482)))))</f>
        <v/>
      </c>
      <c r="K1482" s="23" t="str">
        <f t="shared" si="2"/>
        <v/>
      </c>
      <c r="L1482" s="17" t="str">
        <f t="shared" si="3"/>
        <v/>
      </c>
      <c r="M1482" s="17" t="str">
        <f t="shared" si="4"/>
        <v/>
      </c>
    </row>
    <row r="1483" ht="15.75" customHeight="1">
      <c r="A1483" s="12"/>
      <c r="B1483" s="11"/>
      <c r="C1483" s="11"/>
      <c r="D1483" s="11"/>
      <c r="E1483" s="11" t="str">
        <f>IF(J1483="","", C1483 * IFERROR(VLOOKUP(J1483, SETUP!$A:$D, 3, FALSE), 0))</f>
        <v/>
      </c>
      <c r="F1483" s="11" t="str">
        <f>IF(J1483="","", C1483 * IFERROR(VLOOKUP(J1483, SETUP!$A:$D, 4, FALSE), 0))</f>
        <v/>
      </c>
      <c r="G1483" s="11" t="str">
        <f t="shared" si="1"/>
        <v/>
      </c>
      <c r="H1483" s="22"/>
      <c r="I1483" s="11"/>
      <c r="J1483" s="17" t="str">
        <f>IF(TRIM(B1483)="","",IF(ISNUMBER(SEARCH(" - ",B1483)),TRIM(RIGHT(B1483,LEN(B1483)-FIND(" - ",B1483)-2)),IFERROR(VLOOKUP(UPPER(TRIM(B1483)), SETUP!$B$4:$C$11, 2, FALSE), UPPER(TRIM(B1483)))))</f>
        <v/>
      </c>
      <c r="K1483" s="23" t="str">
        <f t="shared" si="2"/>
        <v/>
      </c>
      <c r="L1483" s="17" t="str">
        <f t="shared" si="3"/>
        <v/>
      </c>
      <c r="M1483" s="17" t="str">
        <f t="shared" si="4"/>
        <v/>
      </c>
    </row>
    <row r="1484" ht="15.75" customHeight="1">
      <c r="A1484" s="12"/>
      <c r="B1484" s="11"/>
      <c r="C1484" s="11"/>
      <c r="D1484" s="11"/>
      <c r="E1484" s="11" t="str">
        <f>IF(J1484="","", C1484 * IFERROR(VLOOKUP(J1484, SETUP!$A:$D, 3, FALSE), 0))</f>
        <v/>
      </c>
      <c r="F1484" s="11" t="str">
        <f>IF(J1484="","", C1484 * IFERROR(VLOOKUP(J1484, SETUP!$A:$D, 4, FALSE), 0))</f>
        <v/>
      </c>
      <c r="G1484" s="11" t="str">
        <f t="shared" si="1"/>
        <v/>
      </c>
      <c r="H1484" s="22"/>
      <c r="I1484" s="11"/>
      <c r="J1484" s="17" t="str">
        <f>IF(TRIM(B1484)="","",IF(ISNUMBER(SEARCH(" - ",B1484)),TRIM(RIGHT(B1484,LEN(B1484)-FIND(" - ",B1484)-2)),IFERROR(VLOOKUP(UPPER(TRIM(B1484)), SETUP!$B$4:$C$11, 2, FALSE), UPPER(TRIM(B1484)))))</f>
        <v/>
      </c>
      <c r="K1484" s="23" t="str">
        <f t="shared" si="2"/>
        <v/>
      </c>
      <c r="L1484" s="17" t="str">
        <f t="shared" si="3"/>
        <v/>
      </c>
      <c r="M1484" s="17" t="str">
        <f t="shared" si="4"/>
        <v/>
      </c>
    </row>
    <row r="1485" ht="15.75" customHeight="1">
      <c r="A1485" s="12"/>
      <c r="B1485" s="11"/>
      <c r="C1485" s="11"/>
      <c r="D1485" s="11"/>
      <c r="E1485" s="11" t="str">
        <f>IF(J1485="","", C1485 * IFERROR(VLOOKUP(J1485, SETUP!$A:$D, 3, FALSE), 0))</f>
        <v/>
      </c>
      <c r="F1485" s="11" t="str">
        <f>IF(J1485="","", C1485 * IFERROR(VLOOKUP(J1485, SETUP!$A:$D, 4, FALSE), 0))</f>
        <v/>
      </c>
      <c r="G1485" s="11" t="str">
        <f t="shared" si="1"/>
        <v/>
      </c>
      <c r="H1485" s="22"/>
      <c r="I1485" s="11"/>
      <c r="J1485" s="17" t="str">
        <f>IF(TRIM(B1485)="","",IF(ISNUMBER(SEARCH(" - ",B1485)),TRIM(RIGHT(B1485,LEN(B1485)-FIND(" - ",B1485)-2)),IFERROR(VLOOKUP(UPPER(TRIM(B1485)), SETUP!$B$4:$C$11, 2, FALSE), UPPER(TRIM(B1485)))))</f>
        <v/>
      </c>
      <c r="K1485" s="23" t="str">
        <f t="shared" si="2"/>
        <v/>
      </c>
      <c r="L1485" s="17" t="str">
        <f t="shared" si="3"/>
        <v/>
      </c>
      <c r="M1485" s="17" t="str">
        <f t="shared" si="4"/>
        <v/>
      </c>
    </row>
    <row r="1486" ht="15.75" customHeight="1">
      <c r="A1486" s="12"/>
      <c r="B1486" s="11"/>
      <c r="C1486" s="11"/>
      <c r="D1486" s="11"/>
      <c r="E1486" s="11" t="str">
        <f>IF(J1486="","", C1486 * IFERROR(VLOOKUP(J1486, SETUP!$A:$D, 3, FALSE), 0))</f>
        <v/>
      </c>
      <c r="F1486" s="11" t="str">
        <f>IF(J1486="","", C1486 * IFERROR(VLOOKUP(J1486, SETUP!$A:$D, 4, FALSE), 0))</f>
        <v/>
      </c>
      <c r="G1486" s="11" t="str">
        <f t="shared" si="1"/>
        <v/>
      </c>
      <c r="H1486" s="22"/>
      <c r="I1486" s="11"/>
      <c r="J1486" s="17" t="str">
        <f>IF(TRIM(B1486)="","",IF(ISNUMBER(SEARCH(" - ",B1486)),TRIM(RIGHT(B1486,LEN(B1486)-FIND(" - ",B1486)-2)),IFERROR(VLOOKUP(UPPER(TRIM(B1486)), SETUP!$B$4:$C$11, 2, FALSE), UPPER(TRIM(B1486)))))</f>
        <v/>
      </c>
      <c r="K1486" s="23" t="str">
        <f t="shared" si="2"/>
        <v/>
      </c>
      <c r="L1486" s="17" t="str">
        <f t="shared" si="3"/>
        <v/>
      </c>
      <c r="M1486" s="17" t="str">
        <f t="shared" si="4"/>
        <v/>
      </c>
    </row>
    <row r="1487" ht="15.75" customHeight="1">
      <c r="A1487" s="12"/>
      <c r="B1487" s="11"/>
      <c r="C1487" s="11"/>
      <c r="D1487" s="11"/>
      <c r="E1487" s="11" t="str">
        <f>IF(J1487="","", C1487 * IFERROR(VLOOKUP(J1487, SETUP!$A:$D, 3, FALSE), 0))</f>
        <v/>
      </c>
      <c r="F1487" s="11" t="str">
        <f>IF(J1487="","", C1487 * IFERROR(VLOOKUP(J1487, SETUP!$A:$D, 4, FALSE), 0))</f>
        <v/>
      </c>
      <c r="G1487" s="11" t="str">
        <f t="shared" si="1"/>
        <v/>
      </c>
      <c r="H1487" s="22"/>
      <c r="I1487" s="11"/>
      <c r="J1487" s="17" t="str">
        <f>IF(TRIM(B1487)="","",IF(ISNUMBER(SEARCH(" - ",B1487)),TRIM(RIGHT(B1487,LEN(B1487)-FIND(" - ",B1487)-2)),IFERROR(VLOOKUP(UPPER(TRIM(B1487)), SETUP!$B$4:$C$11, 2, FALSE), UPPER(TRIM(B1487)))))</f>
        <v/>
      </c>
      <c r="K1487" s="23" t="str">
        <f t="shared" si="2"/>
        <v/>
      </c>
      <c r="L1487" s="17" t="str">
        <f t="shared" si="3"/>
        <v/>
      </c>
      <c r="M1487" s="17" t="str">
        <f t="shared" si="4"/>
        <v/>
      </c>
    </row>
    <row r="1488" ht="15.75" customHeight="1">
      <c r="A1488" s="12"/>
      <c r="B1488" s="11"/>
      <c r="C1488" s="11"/>
      <c r="D1488" s="11"/>
      <c r="E1488" s="11" t="str">
        <f>IF(J1488="","", C1488 * IFERROR(VLOOKUP(J1488, SETUP!$A:$D, 3, FALSE), 0))</f>
        <v/>
      </c>
      <c r="F1488" s="11" t="str">
        <f>IF(J1488="","", C1488 * IFERROR(VLOOKUP(J1488, SETUP!$A:$D, 4, FALSE), 0))</f>
        <v/>
      </c>
      <c r="G1488" s="11" t="str">
        <f t="shared" si="1"/>
        <v/>
      </c>
      <c r="H1488" s="22"/>
      <c r="I1488" s="11"/>
      <c r="J1488" s="17" t="str">
        <f>IF(TRIM(B1488)="","",IF(ISNUMBER(SEARCH(" - ",B1488)),TRIM(RIGHT(B1488,LEN(B1488)-FIND(" - ",B1488)-2)),IFERROR(VLOOKUP(UPPER(TRIM(B1488)), SETUP!$B$4:$C$11, 2, FALSE), UPPER(TRIM(B1488)))))</f>
        <v/>
      </c>
      <c r="K1488" s="23" t="str">
        <f t="shared" si="2"/>
        <v/>
      </c>
      <c r="L1488" s="17" t="str">
        <f t="shared" si="3"/>
        <v/>
      </c>
      <c r="M1488" s="17" t="str">
        <f t="shared" si="4"/>
        <v/>
      </c>
    </row>
    <row r="1489" ht="15.75" customHeight="1">
      <c r="A1489" s="12"/>
      <c r="B1489" s="11"/>
      <c r="C1489" s="11"/>
      <c r="D1489" s="11"/>
      <c r="E1489" s="11" t="str">
        <f>IF(J1489="","", C1489 * IFERROR(VLOOKUP(J1489, SETUP!$A:$D, 3, FALSE), 0))</f>
        <v/>
      </c>
      <c r="F1489" s="11" t="str">
        <f>IF(J1489="","", C1489 * IFERROR(VLOOKUP(J1489, SETUP!$A:$D, 4, FALSE), 0))</f>
        <v/>
      </c>
      <c r="G1489" s="11" t="str">
        <f t="shared" si="1"/>
        <v/>
      </c>
      <c r="H1489" s="22"/>
      <c r="I1489" s="11"/>
      <c r="J1489" s="17" t="str">
        <f>IF(TRIM(B1489)="","",IF(ISNUMBER(SEARCH(" - ",B1489)),TRIM(RIGHT(B1489,LEN(B1489)-FIND(" - ",B1489)-2)),IFERROR(VLOOKUP(UPPER(TRIM(B1489)), SETUP!$B$4:$C$11, 2, FALSE), UPPER(TRIM(B1489)))))</f>
        <v/>
      </c>
      <c r="K1489" s="23" t="str">
        <f t="shared" si="2"/>
        <v/>
      </c>
      <c r="L1489" s="17" t="str">
        <f t="shared" si="3"/>
        <v/>
      </c>
      <c r="M1489" s="17" t="str">
        <f t="shared" si="4"/>
        <v/>
      </c>
    </row>
    <row r="1490" ht="15.75" customHeight="1">
      <c r="A1490" s="12"/>
      <c r="B1490" s="11"/>
      <c r="C1490" s="11"/>
      <c r="D1490" s="11"/>
      <c r="E1490" s="11" t="str">
        <f>IF(J1490="","", C1490 * IFERROR(VLOOKUP(J1490, SETUP!$A:$D, 3, FALSE), 0))</f>
        <v/>
      </c>
      <c r="F1490" s="11" t="str">
        <f>IF(J1490="","", C1490 * IFERROR(VLOOKUP(J1490, SETUP!$A:$D, 4, FALSE), 0))</f>
        <v/>
      </c>
      <c r="G1490" s="11" t="str">
        <f t="shared" si="1"/>
        <v/>
      </c>
      <c r="H1490" s="22"/>
      <c r="I1490" s="11"/>
      <c r="J1490" s="17" t="str">
        <f>IF(TRIM(B1490)="","",IF(ISNUMBER(SEARCH(" - ",B1490)),TRIM(RIGHT(B1490,LEN(B1490)-FIND(" - ",B1490)-2)),IFERROR(VLOOKUP(UPPER(TRIM(B1490)), SETUP!$B$4:$C$11, 2, FALSE), UPPER(TRIM(B1490)))))</f>
        <v/>
      </c>
      <c r="K1490" s="23" t="str">
        <f t="shared" si="2"/>
        <v/>
      </c>
      <c r="L1490" s="17" t="str">
        <f t="shared" si="3"/>
        <v/>
      </c>
      <c r="M1490" s="17" t="str">
        <f t="shared" si="4"/>
        <v/>
      </c>
    </row>
    <row r="1491" ht="15.75" customHeight="1">
      <c r="A1491" s="12"/>
      <c r="B1491" s="11"/>
      <c r="C1491" s="11"/>
      <c r="D1491" s="11"/>
      <c r="E1491" s="11" t="str">
        <f>IF(J1491="","", C1491 * IFERROR(VLOOKUP(J1491, SETUP!$A:$D, 3, FALSE), 0))</f>
        <v/>
      </c>
      <c r="F1491" s="11" t="str">
        <f>IF(J1491="","", C1491 * IFERROR(VLOOKUP(J1491, SETUP!$A:$D, 4, FALSE), 0))</f>
        <v/>
      </c>
      <c r="G1491" s="11" t="str">
        <f t="shared" si="1"/>
        <v/>
      </c>
      <c r="H1491" s="22"/>
      <c r="I1491" s="11"/>
      <c r="J1491" s="17" t="str">
        <f>IF(TRIM(B1491)="","",IF(ISNUMBER(SEARCH(" - ",B1491)),TRIM(RIGHT(B1491,LEN(B1491)-FIND(" - ",B1491)-2)),IFERROR(VLOOKUP(UPPER(TRIM(B1491)), SETUP!$B$4:$C$11, 2, FALSE), UPPER(TRIM(B1491)))))</f>
        <v/>
      </c>
      <c r="K1491" s="23" t="str">
        <f t="shared" si="2"/>
        <v/>
      </c>
      <c r="L1491" s="17" t="str">
        <f t="shared" si="3"/>
        <v/>
      </c>
      <c r="M1491" s="17" t="str">
        <f t="shared" si="4"/>
        <v/>
      </c>
    </row>
    <row r="1492" ht="15.75" customHeight="1">
      <c r="A1492" s="12"/>
      <c r="B1492" s="11"/>
      <c r="C1492" s="11"/>
      <c r="D1492" s="11"/>
      <c r="E1492" s="11" t="str">
        <f>IF(J1492="","", C1492 * IFERROR(VLOOKUP(J1492, SETUP!$A:$D, 3, FALSE), 0))</f>
        <v/>
      </c>
      <c r="F1492" s="11" t="str">
        <f>IF(J1492="","", C1492 * IFERROR(VLOOKUP(J1492, SETUP!$A:$D, 4, FALSE), 0))</f>
        <v/>
      </c>
      <c r="G1492" s="11" t="str">
        <f t="shared" si="1"/>
        <v/>
      </c>
      <c r="H1492" s="22"/>
      <c r="I1492" s="11"/>
      <c r="J1492" s="17" t="str">
        <f>IF(TRIM(B1492)="","",IF(ISNUMBER(SEARCH(" - ",B1492)),TRIM(RIGHT(B1492,LEN(B1492)-FIND(" - ",B1492)-2)),IFERROR(VLOOKUP(UPPER(TRIM(B1492)), SETUP!$B$4:$C$11, 2, FALSE), UPPER(TRIM(B1492)))))</f>
        <v/>
      </c>
      <c r="K1492" s="23" t="str">
        <f t="shared" si="2"/>
        <v/>
      </c>
      <c r="L1492" s="17" t="str">
        <f t="shared" si="3"/>
        <v/>
      </c>
      <c r="M1492" s="17" t="str">
        <f t="shared" si="4"/>
        <v/>
      </c>
    </row>
    <row r="1493" ht="15.75" customHeight="1">
      <c r="A1493" s="12"/>
      <c r="B1493" s="11"/>
      <c r="C1493" s="11"/>
      <c r="D1493" s="11"/>
      <c r="E1493" s="11" t="str">
        <f>IF(J1493="","", C1493 * IFERROR(VLOOKUP(J1493, SETUP!$A:$D, 3, FALSE), 0))</f>
        <v/>
      </c>
      <c r="F1493" s="11" t="str">
        <f>IF(J1493="","", C1493 * IFERROR(VLOOKUP(J1493, SETUP!$A:$D, 4, FALSE), 0))</f>
        <v/>
      </c>
      <c r="G1493" s="11" t="str">
        <f t="shared" si="1"/>
        <v/>
      </c>
      <c r="H1493" s="22"/>
      <c r="I1493" s="11"/>
      <c r="J1493" s="17" t="str">
        <f>IF(TRIM(B1493)="","",IF(ISNUMBER(SEARCH(" - ",B1493)),TRIM(RIGHT(B1493,LEN(B1493)-FIND(" - ",B1493)-2)),IFERROR(VLOOKUP(UPPER(TRIM(B1493)), SETUP!$B$4:$C$11, 2, FALSE), UPPER(TRIM(B1493)))))</f>
        <v/>
      </c>
      <c r="K1493" s="23" t="str">
        <f t="shared" si="2"/>
        <v/>
      </c>
      <c r="L1493" s="17" t="str">
        <f t="shared" si="3"/>
        <v/>
      </c>
      <c r="M1493" s="17" t="str">
        <f t="shared" si="4"/>
        <v/>
      </c>
    </row>
    <row r="1494" ht="15.75" customHeight="1">
      <c r="A1494" s="12"/>
      <c r="B1494" s="11"/>
      <c r="C1494" s="11"/>
      <c r="D1494" s="11"/>
      <c r="E1494" s="11" t="str">
        <f>IF(J1494="","", C1494 * IFERROR(VLOOKUP(J1494, SETUP!$A:$D, 3, FALSE), 0))</f>
        <v/>
      </c>
      <c r="F1494" s="11" t="str">
        <f>IF(J1494="","", C1494 * IFERROR(VLOOKUP(J1494, SETUP!$A:$D, 4, FALSE), 0))</f>
        <v/>
      </c>
      <c r="G1494" s="11" t="str">
        <f t="shared" si="1"/>
        <v/>
      </c>
      <c r="H1494" s="22"/>
      <c r="I1494" s="11"/>
      <c r="J1494" s="17" t="str">
        <f>IF(TRIM(B1494)="","",IF(ISNUMBER(SEARCH(" - ",B1494)),TRIM(RIGHT(B1494,LEN(B1494)-FIND(" - ",B1494)-2)),IFERROR(VLOOKUP(UPPER(TRIM(B1494)), SETUP!$B$4:$C$11, 2, FALSE), UPPER(TRIM(B1494)))))</f>
        <v/>
      </c>
      <c r="K1494" s="23" t="str">
        <f t="shared" si="2"/>
        <v/>
      </c>
      <c r="L1494" s="17" t="str">
        <f t="shared" si="3"/>
        <v/>
      </c>
      <c r="M1494" s="17" t="str">
        <f t="shared" si="4"/>
        <v/>
      </c>
    </row>
    <row r="1495" ht="15.75" customHeight="1">
      <c r="A1495" s="12"/>
      <c r="B1495" s="11"/>
      <c r="C1495" s="11"/>
      <c r="D1495" s="11"/>
      <c r="E1495" s="11" t="str">
        <f>IF(J1495="","", C1495 * IFERROR(VLOOKUP(J1495, SETUP!$A:$D, 3, FALSE), 0))</f>
        <v/>
      </c>
      <c r="F1495" s="11" t="str">
        <f>IF(J1495="","", C1495 * IFERROR(VLOOKUP(J1495, SETUP!$A:$D, 4, FALSE), 0))</f>
        <v/>
      </c>
      <c r="G1495" s="11" t="str">
        <f t="shared" si="1"/>
        <v/>
      </c>
      <c r="H1495" s="22"/>
      <c r="I1495" s="11"/>
      <c r="J1495" s="17" t="str">
        <f>IF(TRIM(B1495)="","",IF(ISNUMBER(SEARCH(" - ",B1495)),TRIM(RIGHT(B1495,LEN(B1495)-FIND(" - ",B1495)-2)),IFERROR(VLOOKUP(UPPER(TRIM(B1495)), SETUP!$B$4:$C$11, 2, FALSE), UPPER(TRIM(B1495)))))</f>
        <v/>
      </c>
      <c r="K1495" s="23" t="str">
        <f t="shared" si="2"/>
        <v/>
      </c>
      <c r="L1495" s="17" t="str">
        <f t="shared" si="3"/>
        <v/>
      </c>
      <c r="M1495" s="17" t="str">
        <f t="shared" si="4"/>
        <v/>
      </c>
    </row>
    <row r="1496" ht="15.75" customHeight="1">
      <c r="A1496" s="12"/>
      <c r="B1496" s="11"/>
      <c r="C1496" s="11"/>
      <c r="D1496" s="11"/>
      <c r="E1496" s="11" t="str">
        <f>IF(J1496="","", C1496 * IFERROR(VLOOKUP(J1496, SETUP!$A:$D, 3, FALSE), 0))</f>
        <v/>
      </c>
      <c r="F1496" s="11" t="str">
        <f>IF(J1496="","", C1496 * IFERROR(VLOOKUP(J1496, SETUP!$A:$D, 4, FALSE), 0))</f>
        <v/>
      </c>
      <c r="G1496" s="11" t="str">
        <f t="shared" si="1"/>
        <v/>
      </c>
      <c r="H1496" s="22"/>
      <c r="I1496" s="11"/>
      <c r="J1496" s="17" t="str">
        <f>IF(TRIM(B1496)="","",IF(ISNUMBER(SEARCH(" - ",B1496)),TRIM(RIGHT(B1496,LEN(B1496)-FIND(" - ",B1496)-2)),IFERROR(VLOOKUP(UPPER(TRIM(B1496)), SETUP!$B$4:$C$11, 2, FALSE), UPPER(TRIM(B1496)))))</f>
        <v/>
      </c>
      <c r="K1496" s="23" t="str">
        <f t="shared" si="2"/>
        <v/>
      </c>
      <c r="L1496" s="17" t="str">
        <f t="shared" si="3"/>
        <v/>
      </c>
      <c r="M1496" s="17" t="str">
        <f t="shared" si="4"/>
        <v/>
      </c>
    </row>
    <row r="1497" ht="15.75" customHeight="1">
      <c r="A1497" s="12"/>
      <c r="B1497" s="11"/>
      <c r="C1497" s="11"/>
      <c r="D1497" s="11"/>
      <c r="E1497" s="11" t="str">
        <f>IF(J1497="","", C1497 * IFERROR(VLOOKUP(J1497, SETUP!$A:$D, 3, FALSE), 0))</f>
        <v/>
      </c>
      <c r="F1497" s="11" t="str">
        <f>IF(J1497="","", C1497 * IFERROR(VLOOKUP(J1497, SETUP!$A:$D, 4, FALSE), 0))</f>
        <v/>
      </c>
      <c r="G1497" s="11" t="str">
        <f t="shared" si="1"/>
        <v/>
      </c>
      <c r="H1497" s="22"/>
      <c r="I1497" s="11"/>
      <c r="J1497" s="17" t="str">
        <f>IF(TRIM(B1497)="","",IF(ISNUMBER(SEARCH(" - ",B1497)),TRIM(RIGHT(B1497,LEN(B1497)-FIND(" - ",B1497)-2)),IFERROR(VLOOKUP(UPPER(TRIM(B1497)), SETUP!$B$4:$C$11, 2, FALSE), UPPER(TRIM(B1497)))))</f>
        <v/>
      </c>
      <c r="K1497" s="23" t="str">
        <f t="shared" si="2"/>
        <v/>
      </c>
      <c r="L1497" s="17" t="str">
        <f t="shared" si="3"/>
        <v/>
      </c>
      <c r="M1497" s="17" t="str">
        <f t="shared" si="4"/>
        <v/>
      </c>
    </row>
    <row r="1498" ht="15.75" customHeight="1">
      <c r="A1498" s="12"/>
      <c r="B1498" s="11"/>
      <c r="C1498" s="11"/>
      <c r="D1498" s="11"/>
      <c r="E1498" s="11" t="str">
        <f>IF(J1498="","", C1498 * IFERROR(VLOOKUP(J1498, SETUP!$A:$D, 3, FALSE), 0))</f>
        <v/>
      </c>
      <c r="F1498" s="11" t="str">
        <f>IF(J1498="","", C1498 * IFERROR(VLOOKUP(J1498, SETUP!$A:$D, 4, FALSE), 0))</f>
        <v/>
      </c>
      <c r="G1498" s="11" t="str">
        <f t="shared" si="1"/>
        <v/>
      </c>
      <c r="H1498" s="22"/>
      <c r="I1498" s="11"/>
      <c r="J1498" s="17" t="str">
        <f>IF(TRIM(B1498)="","",IF(ISNUMBER(SEARCH(" - ",B1498)),TRIM(RIGHT(B1498,LEN(B1498)-FIND(" - ",B1498)-2)),IFERROR(VLOOKUP(UPPER(TRIM(B1498)), SETUP!$B$4:$C$11, 2, FALSE), UPPER(TRIM(B1498)))))</f>
        <v/>
      </c>
      <c r="K1498" s="23" t="str">
        <f t="shared" si="2"/>
        <v/>
      </c>
      <c r="L1498" s="17" t="str">
        <f t="shared" si="3"/>
        <v/>
      </c>
      <c r="M1498" s="17" t="str">
        <f t="shared" si="4"/>
        <v/>
      </c>
    </row>
    <row r="1499" ht="15.75" customHeight="1">
      <c r="A1499" s="12"/>
      <c r="B1499" s="11"/>
      <c r="C1499" s="11"/>
      <c r="D1499" s="11"/>
      <c r="E1499" s="11" t="str">
        <f>IF(J1499="","", C1499 * IFERROR(VLOOKUP(J1499, SETUP!$A:$D, 3, FALSE), 0))</f>
        <v/>
      </c>
      <c r="F1499" s="11" t="str">
        <f>IF(J1499="","", C1499 * IFERROR(VLOOKUP(J1499, SETUP!$A:$D, 4, FALSE), 0))</f>
        <v/>
      </c>
      <c r="G1499" s="11" t="str">
        <f t="shared" si="1"/>
        <v/>
      </c>
      <c r="H1499" s="22"/>
      <c r="I1499" s="11"/>
      <c r="J1499" s="17" t="str">
        <f>IF(TRIM(B1499)="","",IF(ISNUMBER(SEARCH(" - ",B1499)),TRIM(RIGHT(B1499,LEN(B1499)-FIND(" - ",B1499)-2)),IFERROR(VLOOKUP(UPPER(TRIM(B1499)), SETUP!$B$4:$C$11, 2, FALSE), UPPER(TRIM(B1499)))))</f>
        <v/>
      </c>
      <c r="K1499" s="23" t="str">
        <f t="shared" si="2"/>
        <v/>
      </c>
      <c r="L1499" s="17" t="str">
        <f t="shared" si="3"/>
        <v/>
      </c>
      <c r="M1499" s="17" t="str">
        <f t="shared" si="4"/>
        <v/>
      </c>
    </row>
    <row r="1500" ht="15.75" customHeight="1">
      <c r="A1500" s="12"/>
      <c r="B1500" s="11"/>
      <c r="C1500" s="11"/>
      <c r="D1500" s="11"/>
      <c r="E1500" s="11" t="str">
        <f>IF(J1500="","", C1500 * IFERROR(VLOOKUP(J1500, SETUP!$A:$D, 3, FALSE), 0))</f>
        <v/>
      </c>
      <c r="F1500" s="11" t="str">
        <f>IF(J1500="","", C1500 * IFERROR(VLOOKUP(J1500, SETUP!$A:$D, 4, FALSE), 0))</f>
        <v/>
      </c>
      <c r="G1500" s="11" t="str">
        <f t="shared" si="1"/>
        <v/>
      </c>
      <c r="H1500" s="22"/>
      <c r="I1500" s="11"/>
      <c r="J1500" s="17" t="str">
        <f>IF(TRIM(B1500)="","",IF(ISNUMBER(SEARCH(" - ",B1500)),TRIM(RIGHT(B1500,LEN(B1500)-FIND(" - ",B1500)-2)),IFERROR(VLOOKUP(UPPER(TRIM(B1500)), SETUP!$B$4:$C$11, 2, FALSE), UPPER(TRIM(B1500)))))</f>
        <v/>
      </c>
      <c r="K1500" s="23" t="str">
        <f t="shared" si="2"/>
        <v/>
      </c>
      <c r="L1500" s="17" t="str">
        <f t="shared" si="3"/>
        <v/>
      </c>
      <c r="M1500" s="17" t="str">
        <f t="shared" si="4"/>
        <v/>
      </c>
    </row>
    <row r="1501" ht="15.75" customHeight="1">
      <c r="A1501" s="12"/>
      <c r="B1501" s="11"/>
      <c r="C1501" s="11"/>
      <c r="D1501" s="11"/>
      <c r="E1501" s="11" t="str">
        <f>IF(J1501="","", C1501 * IFERROR(VLOOKUP(J1501, SETUP!$A:$D, 3, FALSE), 0))</f>
        <v/>
      </c>
      <c r="F1501" s="11" t="str">
        <f>IF(J1501="","", C1501 * IFERROR(VLOOKUP(J1501, SETUP!$A:$D, 4, FALSE), 0))</f>
        <v/>
      </c>
      <c r="G1501" s="11" t="str">
        <f t="shared" si="1"/>
        <v/>
      </c>
      <c r="H1501" s="22"/>
      <c r="I1501" s="11"/>
      <c r="J1501" s="17" t="str">
        <f>IF(TRIM(B1501)="","",IF(ISNUMBER(SEARCH(" - ",B1501)),TRIM(RIGHT(B1501,LEN(B1501)-FIND(" - ",B1501)-2)),IFERROR(VLOOKUP(UPPER(TRIM(B1501)), SETUP!$B$4:$C$11, 2, FALSE), UPPER(TRIM(B1501)))))</f>
        <v/>
      </c>
      <c r="K1501" s="23" t="str">
        <f t="shared" si="2"/>
        <v/>
      </c>
      <c r="L1501" s="17" t="str">
        <f t="shared" si="3"/>
        <v/>
      </c>
      <c r="M1501" s="17" t="str">
        <f t="shared" si="4"/>
        <v/>
      </c>
    </row>
    <row r="1502" ht="15.75" customHeight="1">
      <c r="A1502" s="12"/>
      <c r="B1502" s="11"/>
      <c r="C1502" s="11"/>
      <c r="D1502" s="11"/>
      <c r="E1502" s="11" t="str">
        <f>IF(J1502="","", C1502 * IFERROR(VLOOKUP(J1502, SETUP!$A:$D, 3, FALSE), 0))</f>
        <v/>
      </c>
      <c r="F1502" s="11" t="str">
        <f>IF(J1502="","", C1502 * IFERROR(VLOOKUP(J1502, SETUP!$A:$D, 4, FALSE), 0))</f>
        <v/>
      </c>
      <c r="G1502" s="11" t="str">
        <f t="shared" si="1"/>
        <v/>
      </c>
      <c r="H1502" s="22"/>
      <c r="I1502" s="11"/>
      <c r="J1502" s="17" t="str">
        <f>IF(TRIM(B1502)="","",IF(ISNUMBER(SEARCH(" - ",B1502)),TRIM(RIGHT(B1502,LEN(B1502)-FIND(" - ",B1502)-2)),IFERROR(VLOOKUP(UPPER(TRIM(B1502)), SETUP!$B$4:$C$11, 2, FALSE), UPPER(TRIM(B1502)))))</f>
        <v/>
      </c>
      <c r="K1502" s="23" t="str">
        <f t="shared" si="2"/>
        <v/>
      </c>
      <c r="L1502" s="17" t="str">
        <f t="shared" si="3"/>
        <v/>
      </c>
      <c r="M1502" s="17" t="str">
        <f t="shared" si="4"/>
        <v/>
      </c>
    </row>
    <row r="1503" ht="15.75" customHeight="1">
      <c r="A1503" s="12"/>
      <c r="B1503" s="11"/>
      <c r="C1503" s="11"/>
      <c r="D1503" s="11"/>
      <c r="E1503" s="11" t="str">
        <f>IF(J1503="","", C1503 * IFERROR(VLOOKUP(J1503, SETUP!$A:$D, 3, FALSE), 0))</f>
        <v/>
      </c>
      <c r="F1503" s="11" t="str">
        <f>IF(J1503="","", C1503 * IFERROR(VLOOKUP(J1503, SETUP!$A:$D, 4, FALSE), 0))</f>
        <v/>
      </c>
      <c r="G1503" s="11" t="str">
        <f t="shared" si="1"/>
        <v/>
      </c>
      <c r="H1503" s="22"/>
      <c r="I1503" s="11"/>
      <c r="J1503" s="17" t="str">
        <f>IF(TRIM(B1503)="","",IF(ISNUMBER(SEARCH(" - ",B1503)),TRIM(RIGHT(B1503,LEN(B1503)-FIND(" - ",B1503)-2)),IFERROR(VLOOKUP(UPPER(TRIM(B1503)), SETUP!$B$4:$C$11, 2, FALSE), UPPER(TRIM(B1503)))))</f>
        <v/>
      </c>
      <c r="K1503" s="23" t="str">
        <f t="shared" si="2"/>
        <v/>
      </c>
      <c r="L1503" s="17" t="str">
        <f t="shared" si="3"/>
        <v/>
      </c>
      <c r="M1503" s="17" t="str">
        <f t="shared" si="4"/>
        <v/>
      </c>
    </row>
    <row r="1504" ht="15.75" customHeight="1">
      <c r="A1504" s="12"/>
      <c r="B1504" s="11"/>
      <c r="C1504" s="11"/>
      <c r="D1504" s="11"/>
      <c r="E1504" s="11" t="str">
        <f>IF(J1504="","", C1504 * IFERROR(VLOOKUP(J1504, SETUP!$A:$D, 3, FALSE), 0))</f>
        <v/>
      </c>
      <c r="F1504" s="11" t="str">
        <f>IF(J1504="","", C1504 * IFERROR(VLOOKUP(J1504, SETUP!$A:$D, 4, FALSE), 0))</f>
        <v/>
      </c>
      <c r="G1504" s="11" t="str">
        <f t="shared" si="1"/>
        <v/>
      </c>
      <c r="H1504" s="22"/>
      <c r="I1504" s="11"/>
      <c r="J1504" s="17" t="str">
        <f>IF(TRIM(B1504)="","",IF(ISNUMBER(SEARCH(" - ",B1504)),TRIM(RIGHT(B1504,LEN(B1504)-FIND(" - ",B1504)-2)),IFERROR(VLOOKUP(UPPER(TRIM(B1504)), SETUP!$B$4:$C$11, 2, FALSE), UPPER(TRIM(B1504)))))</f>
        <v/>
      </c>
      <c r="K1504" s="23" t="str">
        <f t="shared" si="2"/>
        <v/>
      </c>
      <c r="L1504" s="17" t="str">
        <f t="shared" si="3"/>
        <v/>
      </c>
      <c r="M1504" s="17" t="str">
        <f t="shared" si="4"/>
        <v/>
      </c>
    </row>
    <row r="1505" ht="15.75" customHeight="1">
      <c r="A1505" s="12"/>
      <c r="B1505" s="11"/>
      <c r="C1505" s="11"/>
      <c r="D1505" s="11"/>
      <c r="E1505" s="11" t="str">
        <f>IF(J1505="","", C1505 * IFERROR(VLOOKUP(J1505, SETUP!$A:$D, 3, FALSE), 0))</f>
        <v/>
      </c>
      <c r="F1505" s="11" t="str">
        <f>IF(J1505="","", C1505 * IFERROR(VLOOKUP(J1505, SETUP!$A:$D, 4, FALSE), 0))</f>
        <v/>
      </c>
      <c r="G1505" s="11" t="str">
        <f t="shared" si="1"/>
        <v/>
      </c>
      <c r="H1505" s="22"/>
      <c r="I1505" s="11"/>
      <c r="J1505" s="17" t="str">
        <f>IF(TRIM(B1505)="","",IF(ISNUMBER(SEARCH(" - ",B1505)),TRIM(RIGHT(B1505,LEN(B1505)-FIND(" - ",B1505)-2)),IFERROR(VLOOKUP(UPPER(TRIM(B1505)), SETUP!$B$4:$C$11, 2, FALSE), UPPER(TRIM(B1505)))))</f>
        <v/>
      </c>
      <c r="K1505" s="23" t="str">
        <f t="shared" si="2"/>
        <v/>
      </c>
      <c r="L1505" s="17" t="str">
        <f t="shared" si="3"/>
        <v/>
      </c>
      <c r="M1505" s="17" t="str">
        <f t="shared" si="4"/>
        <v/>
      </c>
    </row>
    <row r="1506" ht="15.75" customHeight="1">
      <c r="A1506" s="12"/>
      <c r="B1506" s="11"/>
      <c r="C1506" s="11"/>
      <c r="D1506" s="11"/>
      <c r="E1506" s="11" t="str">
        <f>IF(J1506="","", C1506 * IFERROR(VLOOKUP(J1506, SETUP!$A:$D, 3, FALSE), 0))</f>
        <v/>
      </c>
      <c r="F1506" s="11" t="str">
        <f>IF(J1506="","", C1506 * IFERROR(VLOOKUP(J1506, SETUP!$A:$D, 4, FALSE), 0))</f>
        <v/>
      </c>
      <c r="G1506" s="11" t="str">
        <f t="shared" si="1"/>
        <v/>
      </c>
      <c r="H1506" s="22"/>
      <c r="I1506" s="11"/>
      <c r="J1506" s="17" t="str">
        <f>IF(TRIM(B1506)="","",IF(ISNUMBER(SEARCH(" - ",B1506)),TRIM(RIGHT(B1506,LEN(B1506)-FIND(" - ",B1506)-2)),IFERROR(VLOOKUP(UPPER(TRIM(B1506)), SETUP!$B$4:$C$11, 2, FALSE), UPPER(TRIM(B1506)))))</f>
        <v/>
      </c>
      <c r="K1506" s="23" t="str">
        <f t="shared" si="2"/>
        <v/>
      </c>
      <c r="L1506" s="17" t="str">
        <f t="shared" si="3"/>
        <v/>
      </c>
      <c r="M1506" s="17" t="str">
        <f t="shared" si="4"/>
        <v/>
      </c>
    </row>
    <row r="1507" ht="15.75" customHeight="1">
      <c r="A1507" s="12"/>
      <c r="B1507" s="11"/>
      <c r="C1507" s="11"/>
      <c r="D1507" s="11"/>
      <c r="E1507" s="11" t="str">
        <f>IF(J1507="","", C1507 * IFERROR(VLOOKUP(J1507, SETUP!$A:$D, 3, FALSE), 0))</f>
        <v/>
      </c>
      <c r="F1507" s="11" t="str">
        <f>IF(J1507="","", C1507 * IFERROR(VLOOKUP(J1507, SETUP!$A:$D, 4, FALSE), 0))</f>
        <v/>
      </c>
      <c r="G1507" s="11" t="str">
        <f t="shared" si="1"/>
        <v/>
      </c>
      <c r="H1507" s="22"/>
      <c r="I1507" s="11"/>
      <c r="J1507" s="17" t="str">
        <f>IF(TRIM(B1507)="","",IF(ISNUMBER(SEARCH(" - ",B1507)),TRIM(RIGHT(B1507,LEN(B1507)-FIND(" - ",B1507)-2)),IFERROR(VLOOKUP(UPPER(TRIM(B1507)), SETUP!$B$4:$C$11, 2, FALSE), UPPER(TRIM(B1507)))))</f>
        <v/>
      </c>
      <c r="K1507" s="23" t="str">
        <f t="shared" si="2"/>
        <v/>
      </c>
      <c r="L1507" s="17" t="str">
        <f t="shared" si="3"/>
        <v/>
      </c>
      <c r="M1507" s="17" t="str">
        <f t="shared" si="4"/>
        <v/>
      </c>
    </row>
    <row r="1508" ht="15.75" customHeight="1">
      <c r="A1508" s="12"/>
      <c r="B1508" s="11"/>
      <c r="C1508" s="11"/>
      <c r="D1508" s="11"/>
      <c r="E1508" s="11" t="str">
        <f>IF(J1508="","", C1508 * IFERROR(VLOOKUP(J1508, SETUP!$A:$D, 3, FALSE), 0))</f>
        <v/>
      </c>
      <c r="F1508" s="11" t="str">
        <f>IF(J1508="","", C1508 * IFERROR(VLOOKUP(J1508, SETUP!$A:$D, 4, FALSE), 0))</f>
        <v/>
      </c>
      <c r="G1508" s="11" t="str">
        <f t="shared" si="1"/>
        <v/>
      </c>
      <c r="H1508" s="22"/>
      <c r="I1508" s="11"/>
      <c r="J1508" s="17" t="str">
        <f>IF(TRIM(B1508)="","",IF(ISNUMBER(SEARCH(" - ",B1508)),TRIM(RIGHT(B1508,LEN(B1508)-FIND(" - ",B1508)-2)),IFERROR(VLOOKUP(UPPER(TRIM(B1508)), SETUP!$B$4:$C$11, 2, FALSE), UPPER(TRIM(B1508)))))</f>
        <v/>
      </c>
      <c r="K1508" s="23" t="str">
        <f t="shared" si="2"/>
        <v/>
      </c>
      <c r="L1508" s="17" t="str">
        <f t="shared" si="3"/>
        <v/>
      </c>
      <c r="M1508" s="17" t="str">
        <f t="shared" si="4"/>
        <v/>
      </c>
    </row>
    <row r="1509" ht="15.75" customHeight="1">
      <c r="A1509" s="12"/>
      <c r="B1509" s="11"/>
      <c r="C1509" s="11"/>
      <c r="D1509" s="11"/>
      <c r="E1509" s="11" t="str">
        <f>IF(J1509="","", C1509 * IFERROR(VLOOKUP(J1509, SETUP!$A:$D, 3, FALSE), 0))</f>
        <v/>
      </c>
      <c r="F1509" s="11" t="str">
        <f>IF(J1509="","", C1509 * IFERROR(VLOOKUP(J1509, SETUP!$A:$D, 4, FALSE), 0))</f>
        <v/>
      </c>
      <c r="G1509" s="11" t="str">
        <f t="shared" si="1"/>
        <v/>
      </c>
      <c r="H1509" s="22"/>
      <c r="I1509" s="11"/>
      <c r="J1509" s="17" t="str">
        <f>IF(TRIM(B1509)="","",IF(ISNUMBER(SEARCH(" - ",B1509)),TRIM(RIGHT(B1509,LEN(B1509)-FIND(" - ",B1509)-2)),IFERROR(VLOOKUP(UPPER(TRIM(B1509)), SETUP!$B$4:$C$11, 2, FALSE), UPPER(TRIM(B1509)))))</f>
        <v/>
      </c>
      <c r="K1509" s="23" t="str">
        <f t="shared" si="2"/>
        <v/>
      </c>
      <c r="L1509" s="17" t="str">
        <f t="shared" si="3"/>
        <v/>
      </c>
      <c r="M1509" s="17" t="str">
        <f t="shared" si="4"/>
        <v/>
      </c>
    </row>
    <row r="1510" ht="15.75" customHeight="1">
      <c r="A1510" s="12"/>
      <c r="B1510" s="11"/>
      <c r="C1510" s="11"/>
      <c r="D1510" s="11"/>
      <c r="E1510" s="11" t="str">
        <f>IF(J1510="","", C1510 * IFERROR(VLOOKUP(J1510, SETUP!$A:$D, 3, FALSE), 0))</f>
        <v/>
      </c>
      <c r="F1510" s="11" t="str">
        <f>IF(J1510="","", C1510 * IFERROR(VLOOKUP(J1510, SETUP!$A:$D, 4, FALSE), 0))</f>
        <v/>
      </c>
      <c r="G1510" s="11" t="str">
        <f t="shared" si="1"/>
        <v/>
      </c>
      <c r="H1510" s="22"/>
      <c r="I1510" s="11"/>
      <c r="J1510" s="17" t="str">
        <f>IF(TRIM(B1510)="","",IF(ISNUMBER(SEARCH(" - ",B1510)),TRIM(RIGHT(B1510,LEN(B1510)-FIND(" - ",B1510)-2)),IFERROR(VLOOKUP(UPPER(TRIM(B1510)), SETUP!$B$4:$C$11, 2, FALSE), UPPER(TRIM(B1510)))))</f>
        <v/>
      </c>
      <c r="K1510" s="23" t="str">
        <f t="shared" si="2"/>
        <v/>
      </c>
      <c r="L1510" s="17" t="str">
        <f t="shared" si="3"/>
        <v/>
      </c>
      <c r="M1510" s="17" t="str">
        <f t="shared" si="4"/>
        <v/>
      </c>
    </row>
    <row r="1511" ht="15.75" customHeight="1">
      <c r="A1511" s="12"/>
      <c r="B1511" s="11"/>
      <c r="C1511" s="11"/>
      <c r="D1511" s="11"/>
      <c r="E1511" s="11" t="str">
        <f>IF(J1511="","", C1511 * IFERROR(VLOOKUP(J1511, SETUP!$A:$D, 3, FALSE), 0))</f>
        <v/>
      </c>
      <c r="F1511" s="11" t="str">
        <f>IF(J1511="","", C1511 * IFERROR(VLOOKUP(J1511, SETUP!$A:$D, 4, FALSE), 0))</f>
        <v/>
      </c>
      <c r="G1511" s="11" t="str">
        <f t="shared" si="1"/>
        <v/>
      </c>
      <c r="H1511" s="22"/>
      <c r="I1511" s="11"/>
      <c r="J1511" s="17" t="str">
        <f>IF(TRIM(B1511)="","",IF(ISNUMBER(SEARCH(" - ",B1511)),TRIM(RIGHT(B1511,LEN(B1511)-FIND(" - ",B1511)-2)),IFERROR(VLOOKUP(UPPER(TRIM(B1511)), SETUP!$B$4:$C$11, 2, FALSE), UPPER(TRIM(B1511)))))</f>
        <v/>
      </c>
      <c r="K1511" s="23" t="str">
        <f t="shared" si="2"/>
        <v/>
      </c>
      <c r="L1511" s="17" t="str">
        <f t="shared" si="3"/>
        <v/>
      </c>
      <c r="M1511" s="17" t="str">
        <f t="shared" si="4"/>
        <v/>
      </c>
    </row>
    <row r="1512" ht="15.75" customHeight="1">
      <c r="A1512" s="12"/>
      <c r="B1512" s="11"/>
      <c r="C1512" s="11"/>
      <c r="D1512" s="11"/>
      <c r="E1512" s="11" t="str">
        <f>IF(J1512="","", C1512 * IFERROR(VLOOKUP(J1512, SETUP!$A:$D, 3, FALSE), 0))</f>
        <v/>
      </c>
      <c r="F1512" s="11" t="str">
        <f>IF(J1512="","", C1512 * IFERROR(VLOOKUP(J1512, SETUP!$A:$D, 4, FALSE), 0))</f>
        <v/>
      </c>
      <c r="G1512" s="11" t="str">
        <f t="shared" si="1"/>
        <v/>
      </c>
      <c r="H1512" s="22"/>
      <c r="I1512" s="11"/>
      <c r="J1512" s="17" t="str">
        <f>IF(TRIM(B1512)="","",IF(ISNUMBER(SEARCH(" - ",B1512)),TRIM(RIGHT(B1512,LEN(B1512)-FIND(" - ",B1512)-2)),IFERROR(VLOOKUP(UPPER(TRIM(B1512)), SETUP!$B$4:$C$11, 2, FALSE), UPPER(TRIM(B1512)))))</f>
        <v/>
      </c>
      <c r="K1512" s="23" t="str">
        <f t="shared" si="2"/>
        <v/>
      </c>
      <c r="L1512" s="17" t="str">
        <f t="shared" si="3"/>
        <v/>
      </c>
      <c r="M1512" s="17" t="str">
        <f t="shared" si="4"/>
        <v/>
      </c>
    </row>
    <row r="1513" ht="15.75" customHeight="1">
      <c r="A1513" s="12"/>
      <c r="B1513" s="11"/>
      <c r="C1513" s="11"/>
      <c r="D1513" s="11"/>
      <c r="E1513" s="11" t="str">
        <f>IF(J1513="","", C1513 * IFERROR(VLOOKUP(J1513, SETUP!$A:$D, 3, FALSE), 0))</f>
        <v/>
      </c>
      <c r="F1513" s="11" t="str">
        <f>IF(J1513="","", C1513 * IFERROR(VLOOKUP(J1513, SETUP!$A:$D, 4, FALSE), 0))</f>
        <v/>
      </c>
      <c r="G1513" s="11" t="str">
        <f t="shared" si="1"/>
        <v/>
      </c>
      <c r="H1513" s="22"/>
      <c r="I1513" s="11"/>
      <c r="J1513" s="17" t="str">
        <f>IF(TRIM(B1513)="","",IF(ISNUMBER(SEARCH(" - ",B1513)),TRIM(RIGHT(B1513,LEN(B1513)-FIND(" - ",B1513)-2)),IFERROR(VLOOKUP(UPPER(TRIM(B1513)), SETUP!$B$4:$C$11, 2, FALSE), UPPER(TRIM(B1513)))))</f>
        <v/>
      </c>
      <c r="K1513" s="23" t="str">
        <f t="shared" si="2"/>
        <v/>
      </c>
      <c r="L1513" s="17" t="str">
        <f t="shared" si="3"/>
        <v/>
      </c>
      <c r="M1513" s="17" t="str">
        <f t="shared" si="4"/>
        <v/>
      </c>
    </row>
    <row r="1514" ht="15.75" customHeight="1">
      <c r="A1514" s="12"/>
      <c r="B1514" s="11"/>
      <c r="C1514" s="11"/>
      <c r="D1514" s="11"/>
      <c r="E1514" s="11" t="str">
        <f>IF(J1514="","", C1514 * IFERROR(VLOOKUP(J1514, SETUP!$A:$D, 3, FALSE), 0))</f>
        <v/>
      </c>
      <c r="F1514" s="11" t="str">
        <f>IF(J1514="","", C1514 * IFERROR(VLOOKUP(J1514, SETUP!$A:$D, 4, FALSE), 0))</f>
        <v/>
      </c>
      <c r="G1514" s="11" t="str">
        <f t="shared" si="1"/>
        <v/>
      </c>
      <c r="H1514" s="22"/>
      <c r="I1514" s="11"/>
      <c r="J1514" s="17" t="str">
        <f>IF(TRIM(B1514)="","",IF(ISNUMBER(SEARCH(" - ",B1514)),TRIM(RIGHT(B1514,LEN(B1514)-FIND(" - ",B1514)-2)),IFERROR(VLOOKUP(UPPER(TRIM(B1514)), SETUP!$B$4:$C$11, 2, FALSE), UPPER(TRIM(B1514)))))</f>
        <v/>
      </c>
      <c r="K1514" s="23" t="str">
        <f t="shared" si="2"/>
        <v/>
      </c>
      <c r="L1514" s="17" t="str">
        <f t="shared" si="3"/>
        <v/>
      </c>
      <c r="M1514" s="17" t="str">
        <f t="shared" si="4"/>
        <v/>
      </c>
    </row>
    <row r="1515" ht="15.75" customHeight="1">
      <c r="A1515" s="12"/>
      <c r="B1515" s="11"/>
      <c r="C1515" s="11"/>
      <c r="D1515" s="11"/>
      <c r="E1515" s="11" t="str">
        <f>IF(J1515="","", C1515 * IFERROR(VLOOKUP(J1515, SETUP!$A:$D, 3, FALSE), 0))</f>
        <v/>
      </c>
      <c r="F1515" s="11" t="str">
        <f>IF(J1515="","", C1515 * IFERROR(VLOOKUP(J1515, SETUP!$A:$D, 4, FALSE), 0))</f>
        <v/>
      </c>
      <c r="G1515" s="11" t="str">
        <f t="shared" si="1"/>
        <v/>
      </c>
      <c r="H1515" s="22"/>
      <c r="I1515" s="11"/>
      <c r="J1515" s="17" t="str">
        <f>IF(TRIM(B1515)="","",IF(ISNUMBER(SEARCH(" - ",B1515)),TRIM(RIGHT(B1515,LEN(B1515)-FIND(" - ",B1515)-2)),IFERROR(VLOOKUP(UPPER(TRIM(B1515)), SETUP!$B$4:$C$11, 2, FALSE), UPPER(TRIM(B1515)))))</f>
        <v/>
      </c>
      <c r="K1515" s="23" t="str">
        <f t="shared" si="2"/>
        <v/>
      </c>
      <c r="L1515" s="17" t="str">
        <f t="shared" si="3"/>
        <v/>
      </c>
      <c r="M1515" s="17" t="str">
        <f t="shared" si="4"/>
        <v/>
      </c>
    </row>
    <row r="1516" ht="15.75" customHeight="1">
      <c r="A1516" s="12"/>
      <c r="B1516" s="11"/>
      <c r="C1516" s="11"/>
      <c r="D1516" s="11"/>
      <c r="E1516" s="11" t="str">
        <f>IF(J1516="","", C1516 * IFERROR(VLOOKUP(J1516, SETUP!$A:$D, 3, FALSE), 0))</f>
        <v/>
      </c>
      <c r="F1516" s="11" t="str">
        <f>IF(J1516="","", C1516 * IFERROR(VLOOKUP(J1516, SETUP!$A:$D, 4, FALSE), 0))</f>
        <v/>
      </c>
      <c r="G1516" s="11" t="str">
        <f t="shared" si="1"/>
        <v/>
      </c>
      <c r="H1516" s="22"/>
      <c r="I1516" s="11"/>
      <c r="J1516" s="17" t="str">
        <f>IF(TRIM(B1516)="","",IF(ISNUMBER(SEARCH(" - ",B1516)),TRIM(RIGHT(B1516,LEN(B1516)-FIND(" - ",B1516)-2)),IFERROR(VLOOKUP(UPPER(TRIM(B1516)), SETUP!$B$4:$C$11, 2, FALSE), UPPER(TRIM(B1516)))))</f>
        <v/>
      </c>
      <c r="K1516" s="23" t="str">
        <f t="shared" si="2"/>
        <v/>
      </c>
      <c r="L1516" s="17" t="str">
        <f t="shared" si="3"/>
        <v/>
      </c>
      <c r="M1516" s="17" t="str">
        <f t="shared" si="4"/>
        <v/>
      </c>
    </row>
    <row r="1517" ht="15.75" customHeight="1">
      <c r="A1517" s="12"/>
      <c r="B1517" s="11"/>
      <c r="C1517" s="11"/>
      <c r="D1517" s="11"/>
      <c r="E1517" s="11" t="str">
        <f>IF(J1517="","", C1517 * IFERROR(VLOOKUP(J1517, SETUP!$A:$D, 3, FALSE), 0))</f>
        <v/>
      </c>
      <c r="F1517" s="11" t="str">
        <f>IF(J1517="","", C1517 * IFERROR(VLOOKUP(J1517, SETUP!$A:$D, 4, FALSE), 0))</f>
        <v/>
      </c>
      <c r="G1517" s="11" t="str">
        <f t="shared" si="1"/>
        <v/>
      </c>
      <c r="H1517" s="22"/>
      <c r="I1517" s="11"/>
      <c r="J1517" s="17" t="str">
        <f>IF(TRIM(B1517)="","",IF(ISNUMBER(SEARCH(" - ",B1517)),TRIM(RIGHT(B1517,LEN(B1517)-FIND(" - ",B1517)-2)),IFERROR(VLOOKUP(UPPER(TRIM(B1517)), SETUP!$B$4:$C$11, 2, FALSE), UPPER(TRIM(B1517)))))</f>
        <v/>
      </c>
      <c r="K1517" s="23" t="str">
        <f t="shared" si="2"/>
        <v/>
      </c>
      <c r="L1517" s="17" t="str">
        <f t="shared" si="3"/>
        <v/>
      </c>
      <c r="M1517" s="17" t="str">
        <f t="shared" si="4"/>
        <v/>
      </c>
    </row>
    <row r="1518" ht="15.75" customHeight="1">
      <c r="A1518" s="12"/>
      <c r="B1518" s="11"/>
      <c r="C1518" s="11"/>
      <c r="D1518" s="11"/>
      <c r="E1518" s="11" t="str">
        <f>IF(J1518="","", C1518 * IFERROR(VLOOKUP(J1518, SETUP!$A:$D, 3, FALSE), 0))</f>
        <v/>
      </c>
      <c r="F1518" s="11" t="str">
        <f>IF(J1518="","", C1518 * IFERROR(VLOOKUP(J1518, SETUP!$A:$D, 4, FALSE), 0))</f>
        <v/>
      </c>
      <c r="G1518" s="11" t="str">
        <f t="shared" si="1"/>
        <v/>
      </c>
      <c r="H1518" s="22"/>
      <c r="I1518" s="11"/>
      <c r="J1518" s="17" t="str">
        <f>IF(TRIM(B1518)="","",IF(ISNUMBER(SEARCH(" - ",B1518)),TRIM(RIGHT(B1518,LEN(B1518)-FIND(" - ",B1518)-2)),IFERROR(VLOOKUP(UPPER(TRIM(B1518)), SETUP!$B$4:$C$11, 2, FALSE), UPPER(TRIM(B1518)))))</f>
        <v/>
      </c>
      <c r="K1518" s="23" t="str">
        <f t="shared" si="2"/>
        <v/>
      </c>
      <c r="L1518" s="17" t="str">
        <f t="shared" si="3"/>
        <v/>
      </c>
      <c r="M1518" s="17" t="str">
        <f t="shared" si="4"/>
        <v/>
      </c>
    </row>
    <row r="1519" ht="15.75" customHeight="1">
      <c r="A1519" s="12"/>
      <c r="B1519" s="11"/>
      <c r="C1519" s="11"/>
      <c r="D1519" s="11"/>
      <c r="E1519" s="11" t="str">
        <f>IF(J1519="","", C1519 * IFERROR(VLOOKUP(J1519, SETUP!$A:$D, 3, FALSE), 0))</f>
        <v/>
      </c>
      <c r="F1519" s="11" t="str">
        <f>IF(J1519="","", C1519 * IFERROR(VLOOKUP(J1519, SETUP!$A:$D, 4, FALSE), 0))</f>
        <v/>
      </c>
      <c r="G1519" s="11" t="str">
        <f t="shared" si="1"/>
        <v/>
      </c>
      <c r="H1519" s="22"/>
      <c r="I1519" s="11"/>
      <c r="J1519" s="17" t="str">
        <f>IF(TRIM(B1519)="","",IF(ISNUMBER(SEARCH(" - ",B1519)),TRIM(RIGHT(B1519,LEN(B1519)-FIND(" - ",B1519)-2)),IFERROR(VLOOKUP(UPPER(TRIM(B1519)), SETUP!$B$4:$C$11, 2, FALSE), UPPER(TRIM(B1519)))))</f>
        <v/>
      </c>
      <c r="K1519" s="23" t="str">
        <f t="shared" si="2"/>
        <v/>
      </c>
      <c r="L1519" s="17" t="str">
        <f t="shared" si="3"/>
        <v/>
      </c>
      <c r="M1519" s="17" t="str">
        <f t="shared" si="4"/>
        <v/>
      </c>
    </row>
    <row r="1520" ht="15.75" customHeight="1">
      <c r="A1520" s="12"/>
      <c r="B1520" s="11"/>
      <c r="C1520" s="11"/>
      <c r="D1520" s="11"/>
      <c r="E1520" s="11" t="str">
        <f>IF(J1520="","", C1520 * IFERROR(VLOOKUP(J1520, SETUP!$A:$D, 3, FALSE), 0))</f>
        <v/>
      </c>
      <c r="F1520" s="11" t="str">
        <f>IF(J1520="","", C1520 * IFERROR(VLOOKUP(J1520, SETUP!$A:$D, 4, FALSE), 0))</f>
        <v/>
      </c>
      <c r="G1520" s="11" t="str">
        <f t="shared" si="1"/>
        <v/>
      </c>
      <c r="H1520" s="22"/>
      <c r="I1520" s="11"/>
      <c r="J1520" s="17" t="str">
        <f>IF(TRIM(B1520)="","",IF(ISNUMBER(SEARCH(" - ",B1520)),TRIM(RIGHT(B1520,LEN(B1520)-FIND(" - ",B1520)-2)),IFERROR(VLOOKUP(UPPER(TRIM(B1520)), SETUP!$B$4:$C$11, 2, FALSE), UPPER(TRIM(B1520)))))</f>
        <v/>
      </c>
      <c r="K1520" s="23" t="str">
        <f t="shared" si="2"/>
        <v/>
      </c>
      <c r="L1520" s="17" t="str">
        <f t="shared" si="3"/>
        <v/>
      </c>
      <c r="M1520" s="17" t="str">
        <f t="shared" si="4"/>
        <v/>
      </c>
    </row>
    <row r="1521" ht="15.75" customHeight="1">
      <c r="A1521" s="12"/>
      <c r="B1521" s="11"/>
      <c r="C1521" s="11"/>
      <c r="D1521" s="11"/>
      <c r="E1521" s="11" t="str">
        <f>IF(J1521="","", C1521 * IFERROR(VLOOKUP(J1521, SETUP!$A:$D, 3, FALSE), 0))</f>
        <v/>
      </c>
      <c r="F1521" s="11" t="str">
        <f>IF(J1521="","", C1521 * IFERROR(VLOOKUP(J1521, SETUP!$A:$D, 4, FALSE), 0))</f>
        <v/>
      </c>
      <c r="G1521" s="11" t="str">
        <f t="shared" si="1"/>
        <v/>
      </c>
      <c r="H1521" s="22"/>
      <c r="I1521" s="11"/>
      <c r="J1521" s="17" t="str">
        <f>IF(TRIM(B1521)="","",IF(ISNUMBER(SEARCH(" - ",B1521)),TRIM(RIGHT(B1521,LEN(B1521)-FIND(" - ",B1521)-2)),IFERROR(VLOOKUP(UPPER(TRIM(B1521)), SETUP!$B$4:$C$11, 2, FALSE), UPPER(TRIM(B1521)))))</f>
        <v/>
      </c>
      <c r="K1521" s="23" t="str">
        <f t="shared" si="2"/>
        <v/>
      </c>
      <c r="L1521" s="17" t="str">
        <f t="shared" si="3"/>
        <v/>
      </c>
      <c r="M1521" s="17" t="str">
        <f t="shared" si="4"/>
        <v/>
      </c>
    </row>
    <row r="1522" ht="15.75" customHeight="1">
      <c r="A1522" s="12"/>
      <c r="B1522" s="11"/>
      <c r="C1522" s="11"/>
      <c r="D1522" s="11"/>
      <c r="E1522" s="11" t="str">
        <f>IF(J1522="","", C1522 * IFERROR(VLOOKUP(J1522, SETUP!$A:$D, 3, FALSE), 0))</f>
        <v/>
      </c>
      <c r="F1522" s="11" t="str">
        <f>IF(J1522="","", C1522 * IFERROR(VLOOKUP(J1522, SETUP!$A:$D, 4, FALSE), 0))</f>
        <v/>
      </c>
      <c r="G1522" s="11" t="str">
        <f t="shared" si="1"/>
        <v/>
      </c>
      <c r="H1522" s="22"/>
      <c r="I1522" s="11"/>
      <c r="J1522" s="17" t="str">
        <f>IF(TRIM(B1522)="","",IF(ISNUMBER(SEARCH(" - ",B1522)),TRIM(RIGHT(B1522,LEN(B1522)-FIND(" - ",B1522)-2)),IFERROR(VLOOKUP(UPPER(TRIM(B1522)), SETUP!$B$4:$C$11, 2, FALSE), UPPER(TRIM(B1522)))))</f>
        <v/>
      </c>
      <c r="K1522" s="23" t="str">
        <f t="shared" si="2"/>
        <v/>
      </c>
      <c r="L1522" s="17" t="str">
        <f t="shared" si="3"/>
        <v/>
      </c>
      <c r="M1522" s="17" t="str">
        <f t="shared" si="4"/>
        <v/>
      </c>
    </row>
    <row r="1523" ht="15.75" customHeight="1">
      <c r="A1523" s="12"/>
      <c r="B1523" s="11"/>
      <c r="C1523" s="11"/>
      <c r="D1523" s="11"/>
      <c r="E1523" s="11" t="str">
        <f>IF(J1523="","", C1523 * IFERROR(VLOOKUP(J1523, SETUP!$A:$D, 3, FALSE), 0))</f>
        <v/>
      </c>
      <c r="F1523" s="11" t="str">
        <f>IF(J1523="","", C1523 * IFERROR(VLOOKUP(J1523, SETUP!$A:$D, 4, FALSE), 0))</f>
        <v/>
      </c>
      <c r="G1523" s="11" t="str">
        <f t="shared" si="1"/>
        <v/>
      </c>
      <c r="H1523" s="22"/>
      <c r="I1523" s="11"/>
      <c r="J1523" s="17" t="str">
        <f>IF(TRIM(B1523)="","",IF(ISNUMBER(SEARCH(" - ",B1523)),TRIM(RIGHT(B1523,LEN(B1523)-FIND(" - ",B1523)-2)),IFERROR(VLOOKUP(UPPER(TRIM(B1523)), SETUP!$B$4:$C$11, 2, FALSE), UPPER(TRIM(B1523)))))</f>
        <v/>
      </c>
      <c r="K1523" s="23" t="str">
        <f t="shared" si="2"/>
        <v/>
      </c>
      <c r="L1523" s="17" t="str">
        <f t="shared" si="3"/>
        <v/>
      </c>
      <c r="M1523" s="17" t="str">
        <f t="shared" si="4"/>
        <v/>
      </c>
    </row>
    <row r="1524" ht="15.75" customHeight="1">
      <c r="A1524" s="12"/>
      <c r="B1524" s="11"/>
      <c r="C1524" s="11"/>
      <c r="D1524" s="11"/>
      <c r="E1524" s="11" t="str">
        <f>IF(J1524="","", C1524 * IFERROR(VLOOKUP(J1524, SETUP!$A:$D, 3, FALSE), 0))</f>
        <v/>
      </c>
      <c r="F1524" s="11" t="str">
        <f>IF(J1524="","", C1524 * IFERROR(VLOOKUP(J1524, SETUP!$A:$D, 4, FALSE), 0))</f>
        <v/>
      </c>
      <c r="G1524" s="11" t="str">
        <f t="shared" si="1"/>
        <v/>
      </c>
      <c r="H1524" s="22"/>
      <c r="I1524" s="11"/>
      <c r="J1524" s="17" t="str">
        <f>IF(TRIM(B1524)="","",IF(ISNUMBER(SEARCH(" - ",B1524)),TRIM(RIGHT(B1524,LEN(B1524)-FIND(" - ",B1524)-2)),IFERROR(VLOOKUP(UPPER(TRIM(B1524)), SETUP!$B$4:$C$11, 2, FALSE), UPPER(TRIM(B1524)))))</f>
        <v/>
      </c>
      <c r="K1524" s="23" t="str">
        <f t="shared" si="2"/>
        <v/>
      </c>
      <c r="L1524" s="17" t="str">
        <f t="shared" si="3"/>
        <v/>
      </c>
      <c r="M1524" s="17" t="str">
        <f t="shared" si="4"/>
        <v/>
      </c>
    </row>
    <row r="1525" ht="15.75" customHeight="1">
      <c r="A1525" s="12"/>
      <c r="B1525" s="11"/>
      <c r="C1525" s="11"/>
      <c r="D1525" s="11"/>
      <c r="E1525" s="11" t="str">
        <f>IF(J1525="","", C1525 * IFERROR(VLOOKUP(J1525, SETUP!$A:$D, 3, FALSE), 0))</f>
        <v/>
      </c>
      <c r="F1525" s="11" t="str">
        <f>IF(J1525="","", C1525 * IFERROR(VLOOKUP(J1525, SETUP!$A:$D, 4, FALSE), 0))</f>
        <v/>
      </c>
      <c r="G1525" s="11" t="str">
        <f t="shared" si="1"/>
        <v/>
      </c>
      <c r="H1525" s="22"/>
      <c r="I1525" s="11"/>
      <c r="J1525" s="17" t="str">
        <f>IF(TRIM(B1525)="","",IF(ISNUMBER(SEARCH(" - ",B1525)),TRIM(RIGHT(B1525,LEN(B1525)-FIND(" - ",B1525)-2)),IFERROR(VLOOKUP(UPPER(TRIM(B1525)), SETUP!$B$4:$C$11, 2, FALSE), UPPER(TRIM(B1525)))))</f>
        <v/>
      </c>
      <c r="K1525" s="23" t="str">
        <f t="shared" si="2"/>
        <v/>
      </c>
      <c r="L1525" s="17" t="str">
        <f t="shared" si="3"/>
        <v/>
      </c>
      <c r="M1525" s="17" t="str">
        <f t="shared" si="4"/>
        <v/>
      </c>
    </row>
    <row r="1526" ht="15.75" customHeight="1">
      <c r="A1526" s="12"/>
      <c r="B1526" s="11"/>
      <c r="C1526" s="11"/>
      <c r="D1526" s="11"/>
      <c r="E1526" s="11" t="str">
        <f>IF(J1526="","", C1526 * IFERROR(VLOOKUP(J1526, SETUP!$A:$D, 3, FALSE), 0))</f>
        <v/>
      </c>
      <c r="F1526" s="11" t="str">
        <f>IF(J1526="","", C1526 * IFERROR(VLOOKUP(J1526, SETUP!$A:$D, 4, FALSE), 0))</f>
        <v/>
      </c>
      <c r="G1526" s="11" t="str">
        <f t="shared" si="1"/>
        <v/>
      </c>
      <c r="H1526" s="22"/>
      <c r="I1526" s="11"/>
      <c r="J1526" s="17" t="str">
        <f>IF(TRIM(B1526)="","",IF(ISNUMBER(SEARCH(" - ",B1526)),TRIM(RIGHT(B1526,LEN(B1526)-FIND(" - ",B1526)-2)),IFERROR(VLOOKUP(UPPER(TRIM(B1526)), SETUP!$B$4:$C$11, 2, FALSE), UPPER(TRIM(B1526)))))</f>
        <v/>
      </c>
      <c r="K1526" s="23" t="str">
        <f t="shared" si="2"/>
        <v/>
      </c>
      <c r="L1526" s="17" t="str">
        <f t="shared" si="3"/>
        <v/>
      </c>
      <c r="M1526" s="17" t="str">
        <f t="shared" si="4"/>
        <v/>
      </c>
    </row>
    <row r="1527" ht="15.75" customHeight="1">
      <c r="A1527" s="12"/>
      <c r="B1527" s="11"/>
      <c r="C1527" s="11"/>
      <c r="D1527" s="11"/>
      <c r="E1527" s="11" t="str">
        <f>IF(J1527="","", C1527 * IFERROR(VLOOKUP(J1527, SETUP!$A:$D, 3, FALSE), 0))</f>
        <v/>
      </c>
      <c r="F1527" s="11" t="str">
        <f>IF(J1527="","", C1527 * IFERROR(VLOOKUP(J1527, SETUP!$A:$D, 4, FALSE), 0))</f>
        <v/>
      </c>
      <c r="G1527" s="11" t="str">
        <f t="shared" si="1"/>
        <v/>
      </c>
      <c r="H1527" s="22"/>
      <c r="I1527" s="11"/>
      <c r="J1527" s="17" t="str">
        <f>IF(TRIM(B1527)="","",IF(ISNUMBER(SEARCH(" - ",B1527)),TRIM(RIGHT(B1527,LEN(B1527)-FIND(" - ",B1527)-2)),IFERROR(VLOOKUP(UPPER(TRIM(B1527)), SETUP!$B$4:$C$11, 2, FALSE), UPPER(TRIM(B1527)))))</f>
        <v/>
      </c>
      <c r="K1527" s="23" t="str">
        <f t="shared" si="2"/>
        <v/>
      </c>
      <c r="L1527" s="17" t="str">
        <f t="shared" si="3"/>
        <v/>
      </c>
      <c r="M1527" s="17" t="str">
        <f t="shared" si="4"/>
        <v/>
      </c>
    </row>
    <row r="1528" ht="15.75" customHeight="1">
      <c r="A1528" s="12"/>
      <c r="B1528" s="11"/>
      <c r="C1528" s="11"/>
      <c r="D1528" s="11"/>
      <c r="E1528" s="11" t="str">
        <f>IF(J1528="","", C1528 * IFERROR(VLOOKUP(J1528, SETUP!$A:$D, 3, FALSE), 0))</f>
        <v/>
      </c>
      <c r="F1528" s="11" t="str">
        <f>IF(J1528="","", C1528 * IFERROR(VLOOKUP(J1528, SETUP!$A:$D, 4, FALSE), 0))</f>
        <v/>
      </c>
      <c r="G1528" s="11" t="str">
        <f t="shared" si="1"/>
        <v/>
      </c>
      <c r="H1528" s="22"/>
      <c r="I1528" s="11"/>
      <c r="J1528" s="17" t="str">
        <f>IF(TRIM(B1528)="","",IF(ISNUMBER(SEARCH(" - ",B1528)),TRIM(RIGHT(B1528,LEN(B1528)-FIND(" - ",B1528)-2)),IFERROR(VLOOKUP(UPPER(TRIM(B1528)), SETUP!$B$4:$C$11, 2, FALSE), UPPER(TRIM(B1528)))))</f>
        <v/>
      </c>
      <c r="K1528" s="23" t="str">
        <f t="shared" si="2"/>
        <v/>
      </c>
      <c r="L1528" s="17" t="str">
        <f t="shared" si="3"/>
        <v/>
      </c>
      <c r="M1528" s="17" t="str">
        <f t="shared" si="4"/>
        <v/>
      </c>
    </row>
    <row r="1529" ht="15.75" customHeight="1">
      <c r="A1529" s="12"/>
      <c r="B1529" s="11"/>
      <c r="C1529" s="11"/>
      <c r="D1529" s="11"/>
      <c r="E1529" s="11" t="str">
        <f>IF(J1529="","", C1529 * IFERROR(VLOOKUP(J1529, SETUP!$A:$D, 3, FALSE), 0))</f>
        <v/>
      </c>
      <c r="F1529" s="11" t="str">
        <f>IF(J1529="","", C1529 * IFERROR(VLOOKUP(J1529, SETUP!$A:$D, 4, FALSE), 0))</f>
        <v/>
      </c>
      <c r="G1529" s="11" t="str">
        <f t="shared" si="1"/>
        <v/>
      </c>
      <c r="H1529" s="22"/>
      <c r="I1529" s="11"/>
      <c r="J1529" s="17" t="str">
        <f>IF(TRIM(B1529)="","",IF(ISNUMBER(SEARCH(" - ",B1529)),TRIM(RIGHT(B1529,LEN(B1529)-FIND(" - ",B1529)-2)),IFERROR(VLOOKUP(UPPER(TRIM(B1529)), SETUP!$B$4:$C$11, 2, FALSE), UPPER(TRIM(B1529)))))</f>
        <v/>
      </c>
      <c r="K1529" s="23" t="str">
        <f t="shared" si="2"/>
        <v/>
      </c>
      <c r="L1529" s="17" t="str">
        <f t="shared" si="3"/>
        <v/>
      </c>
      <c r="M1529" s="17" t="str">
        <f t="shared" si="4"/>
        <v/>
      </c>
    </row>
    <row r="1530" ht="15.75" customHeight="1">
      <c r="A1530" s="12"/>
      <c r="B1530" s="11"/>
      <c r="C1530" s="11"/>
      <c r="D1530" s="11"/>
      <c r="E1530" s="11" t="str">
        <f>IF(J1530="","", C1530 * IFERROR(VLOOKUP(J1530, SETUP!$A:$D, 3, FALSE), 0))</f>
        <v/>
      </c>
      <c r="F1530" s="11" t="str">
        <f>IF(J1530="","", C1530 * IFERROR(VLOOKUP(J1530, SETUP!$A:$D, 4, FALSE), 0))</f>
        <v/>
      </c>
      <c r="G1530" s="11" t="str">
        <f t="shared" si="1"/>
        <v/>
      </c>
      <c r="H1530" s="22"/>
      <c r="I1530" s="11"/>
      <c r="J1530" s="17" t="str">
        <f>IF(TRIM(B1530)="","",IF(ISNUMBER(SEARCH(" - ",B1530)),TRIM(RIGHT(B1530,LEN(B1530)-FIND(" - ",B1530)-2)),IFERROR(VLOOKUP(UPPER(TRIM(B1530)), SETUP!$B$4:$C$11, 2, FALSE), UPPER(TRIM(B1530)))))</f>
        <v/>
      </c>
      <c r="K1530" s="23" t="str">
        <f t="shared" si="2"/>
        <v/>
      </c>
      <c r="L1530" s="17" t="str">
        <f t="shared" si="3"/>
        <v/>
      </c>
      <c r="M1530" s="17" t="str">
        <f t="shared" si="4"/>
        <v/>
      </c>
    </row>
    <row r="1531" ht="15.75" customHeight="1">
      <c r="A1531" s="12"/>
      <c r="B1531" s="11"/>
      <c r="C1531" s="11"/>
      <c r="D1531" s="11"/>
      <c r="E1531" s="11" t="str">
        <f>IF(J1531="","", C1531 * IFERROR(VLOOKUP(J1531, SETUP!$A:$D, 3, FALSE), 0))</f>
        <v/>
      </c>
      <c r="F1531" s="11" t="str">
        <f>IF(J1531="","", C1531 * IFERROR(VLOOKUP(J1531, SETUP!$A:$D, 4, FALSE), 0))</f>
        <v/>
      </c>
      <c r="G1531" s="11" t="str">
        <f t="shared" si="1"/>
        <v/>
      </c>
      <c r="H1531" s="22"/>
      <c r="I1531" s="11"/>
      <c r="J1531" s="17" t="str">
        <f>IF(TRIM(B1531)="","",IF(ISNUMBER(SEARCH(" - ",B1531)),TRIM(RIGHT(B1531,LEN(B1531)-FIND(" - ",B1531)-2)),IFERROR(VLOOKUP(UPPER(TRIM(B1531)), SETUP!$B$4:$C$11, 2, FALSE), UPPER(TRIM(B1531)))))</f>
        <v/>
      </c>
      <c r="K1531" s="23" t="str">
        <f t="shared" si="2"/>
        <v/>
      </c>
      <c r="L1531" s="17" t="str">
        <f t="shared" si="3"/>
        <v/>
      </c>
      <c r="M1531" s="17" t="str">
        <f t="shared" si="4"/>
        <v/>
      </c>
    </row>
    <row r="1532" ht="15.75" customHeight="1">
      <c r="A1532" s="12"/>
      <c r="B1532" s="11"/>
      <c r="C1532" s="11"/>
      <c r="D1532" s="11"/>
      <c r="E1532" s="11" t="str">
        <f>IF(J1532="","", C1532 * IFERROR(VLOOKUP(J1532, SETUP!$A:$D, 3, FALSE), 0))</f>
        <v/>
      </c>
      <c r="F1532" s="11" t="str">
        <f>IF(J1532="","", C1532 * IFERROR(VLOOKUP(J1532, SETUP!$A:$D, 4, FALSE), 0))</f>
        <v/>
      </c>
      <c r="G1532" s="11" t="str">
        <f t="shared" si="1"/>
        <v/>
      </c>
      <c r="H1532" s="22"/>
      <c r="I1532" s="11"/>
      <c r="J1532" s="17" t="str">
        <f>IF(TRIM(B1532)="","",IF(ISNUMBER(SEARCH(" - ",B1532)),TRIM(RIGHT(B1532,LEN(B1532)-FIND(" - ",B1532)-2)),IFERROR(VLOOKUP(UPPER(TRIM(B1532)), SETUP!$B$4:$C$11, 2, FALSE), UPPER(TRIM(B1532)))))</f>
        <v/>
      </c>
      <c r="K1532" s="23" t="str">
        <f t="shared" si="2"/>
        <v/>
      </c>
      <c r="L1532" s="17" t="str">
        <f t="shared" si="3"/>
        <v/>
      </c>
      <c r="M1532" s="17" t="str">
        <f t="shared" si="4"/>
        <v/>
      </c>
    </row>
    <row r="1533" ht="15.75" customHeight="1">
      <c r="A1533" s="12"/>
      <c r="B1533" s="11"/>
      <c r="C1533" s="11"/>
      <c r="D1533" s="11"/>
      <c r="E1533" s="11" t="str">
        <f>IF(J1533="","", C1533 * IFERROR(VLOOKUP(J1533, SETUP!$A:$D, 3, FALSE), 0))</f>
        <v/>
      </c>
      <c r="F1533" s="11" t="str">
        <f>IF(J1533="","", C1533 * IFERROR(VLOOKUP(J1533, SETUP!$A:$D, 4, FALSE), 0))</f>
        <v/>
      </c>
      <c r="G1533" s="11" t="str">
        <f t="shared" si="1"/>
        <v/>
      </c>
      <c r="H1533" s="22"/>
      <c r="I1533" s="11"/>
      <c r="J1533" s="17" t="str">
        <f>IF(TRIM(B1533)="","",IF(ISNUMBER(SEARCH(" - ",B1533)),TRIM(RIGHT(B1533,LEN(B1533)-FIND(" - ",B1533)-2)),IFERROR(VLOOKUP(UPPER(TRIM(B1533)), SETUP!$B$4:$C$11, 2, FALSE), UPPER(TRIM(B1533)))))</f>
        <v/>
      </c>
      <c r="K1533" s="23" t="str">
        <f t="shared" si="2"/>
        <v/>
      </c>
      <c r="L1533" s="17" t="str">
        <f t="shared" si="3"/>
        <v/>
      </c>
      <c r="M1533" s="17" t="str">
        <f t="shared" si="4"/>
        <v/>
      </c>
    </row>
    <row r="1534" ht="15.75" customHeight="1">
      <c r="A1534" s="12"/>
      <c r="B1534" s="11"/>
      <c r="C1534" s="11"/>
      <c r="D1534" s="11"/>
      <c r="E1534" s="11" t="str">
        <f>IF(J1534="","", C1534 * IFERROR(VLOOKUP(J1534, SETUP!$A:$D, 3, FALSE), 0))</f>
        <v/>
      </c>
      <c r="F1534" s="11" t="str">
        <f>IF(J1534="","", C1534 * IFERROR(VLOOKUP(J1534, SETUP!$A:$D, 4, FALSE), 0))</f>
        <v/>
      </c>
      <c r="G1534" s="11" t="str">
        <f t="shared" si="1"/>
        <v/>
      </c>
      <c r="H1534" s="22"/>
      <c r="I1534" s="11"/>
      <c r="J1534" s="17" t="str">
        <f>IF(TRIM(B1534)="","",IF(ISNUMBER(SEARCH(" - ",B1534)),TRIM(RIGHT(B1534,LEN(B1534)-FIND(" - ",B1534)-2)),IFERROR(VLOOKUP(UPPER(TRIM(B1534)), SETUP!$B$4:$C$11, 2, FALSE), UPPER(TRIM(B1534)))))</f>
        <v/>
      </c>
      <c r="K1534" s="23" t="str">
        <f t="shared" si="2"/>
        <v/>
      </c>
      <c r="L1534" s="17" t="str">
        <f t="shared" si="3"/>
        <v/>
      </c>
      <c r="M1534" s="17" t="str">
        <f t="shared" si="4"/>
        <v/>
      </c>
    </row>
    <row r="1535" ht="15.75" customHeight="1">
      <c r="A1535" s="12"/>
      <c r="B1535" s="11"/>
      <c r="C1535" s="11"/>
      <c r="D1535" s="11"/>
      <c r="E1535" s="11" t="str">
        <f>IF(J1535="","", C1535 * IFERROR(VLOOKUP(J1535, SETUP!$A:$D, 3, FALSE), 0))</f>
        <v/>
      </c>
      <c r="F1535" s="11" t="str">
        <f>IF(J1535="","", C1535 * IFERROR(VLOOKUP(J1535, SETUP!$A:$D, 4, FALSE), 0))</f>
        <v/>
      </c>
      <c r="G1535" s="11" t="str">
        <f t="shared" si="1"/>
        <v/>
      </c>
      <c r="H1535" s="22"/>
      <c r="I1535" s="11"/>
      <c r="J1535" s="17" t="str">
        <f>IF(TRIM(B1535)="","",IF(ISNUMBER(SEARCH(" - ",B1535)),TRIM(RIGHT(B1535,LEN(B1535)-FIND(" - ",B1535)-2)),IFERROR(VLOOKUP(UPPER(TRIM(B1535)), SETUP!$B$4:$C$11, 2, FALSE), UPPER(TRIM(B1535)))))</f>
        <v/>
      </c>
      <c r="K1535" s="23" t="str">
        <f t="shared" si="2"/>
        <v/>
      </c>
      <c r="L1535" s="17" t="str">
        <f t="shared" si="3"/>
        <v/>
      </c>
      <c r="M1535" s="17" t="str">
        <f t="shared" si="4"/>
        <v/>
      </c>
    </row>
    <row r="1536" ht="15.75" customHeight="1">
      <c r="A1536" s="12"/>
      <c r="B1536" s="11"/>
      <c r="C1536" s="11"/>
      <c r="D1536" s="11"/>
      <c r="E1536" s="11" t="str">
        <f>IF(J1536="","", C1536 * IFERROR(VLOOKUP(J1536, SETUP!$A:$D, 3, FALSE), 0))</f>
        <v/>
      </c>
      <c r="F1536" s="11" t="str">
        <f>IF(J1536="","", C1536 * IFERROR(VLOOKUP(J1536, SETUP!$A:$D, 4, FALSE), 0))</f>
        <v/>
      </c>
      <c r="G1536" s="11" t="str">
        <f t="shared" si="1"/>
        <v/>
      </c>
      <c r="H1536" s="22"/>
      <c r="I1536" s="11"/>
      <c r="J1536" s="17" t="str">
        <f>IF(TRIM(B1536)="","",IF(ISNUMBER(SEARCH(" - ",B1536)),TRIM(RIGHT(B1536,LEN(B1536)-FIND(" - ",B1536)-2)),IFERROR(VLOOKUP(UPPER(TRIM(B1536)), SETUP!$B$4:$C$11, 2, FALSE), UPPER(TRIM(B1536)))))</f>
        <v/>
      </c>
      <c r="K1536" s="23" t="str">
        <f t="shared" si="2"/>
        <v/>
      </c>
      <c r="L1536" s="17" t="str">
        <f t="shared" si="3"/>
        <v/>
      </c>
      <c r="M1536" s="17" t="str">
        <f t="shared" si="4"/>
        <v/>
      </c>
    </row>
    <row r="1537" ht="15.75" customHeight="1">
      <c r="A1537" s="12"/>
      <c r="B1537" s="11"/>
      <c r="C1537" s="11"/>
      <c r="D1537" s="11"/>
      <c r="E1537" s="11" t="str">
        <f>IF(J1537="","", C1537 * IFERROR(VLOOKUP(J1537, SETUP!$A:$D, 3, FALSE), 0))</f>
        <v/>
      </c>
      <c r="F1537" s="11" t="str">
        <f>IF(J1537="","", C1537 * IFERROR(VLOOKUP(J1537, SETUP!$A:$D, 4, FALSE), 0))</f>
        <v/>
      </c>
      <c r="G1537" s="11" t="str">
        <f t="shared" si="1"/>
        <v/>
      </c>
      <c r="H1537" s="22"/>
      <c r="I1537" s="11"/>
      <c r="J1537" s="17" t="str">
        <f>IF(TRIM(B1537)="","",IF(ISNUMBER(SEARCH(" - ",B1537)),TRIM(RIGHT(B1537,LEN(B1537)-FIND(" - ",B1537)-2)),IFERROR(VLOOKUP(UPPER(TRIM(B1537)), SETUP!$B$4:$C$11, 2, FALSE), UPPER(TRIM(B1537)))))</f>
        <v/>
      </c>
      <c r="K1537" s="23" t="str">
        <f t="shared" si="2"/>
        <v/>
      </c>
      <c r="L1537" s="17" t="str">
        <f t="shared" si="3"/>
        <v/>
      </c>
      <c r="M1537" s="17" t="str">
        <f t="shared" si="4"/>
        <v/>
      </c>
    </row>
    <row r="1538" ht="15.75" customHeight="1">
      <c r="A1538" s="12"/>
      <c r="B1538" s="11"/>
      <c r="C1538" s="11"/>
      <c r="D1538" s="11"/>
      <c r="E1538" s="11" t="str">
        <f>IF(J1538="","", C1538 * IFERROR(VLOOKUP(J1538, SETUP!$A:$D, 3, FALSE), 0))</f>
        <v/>
      </c>
      <c r="F1538" s="11" t="str">
        <f>IF(J1538="","", C1538 * IFERROR(VLOOKUP(J1538, SETUP!$A:$D, 4, FALSE), 0))</f>
        <v/>
      </c>
      <c r="G1538" s="11" t="str">
        <f t="shared" si="1"/>
        <v/>
      </c>
      <c r="H1538" s="22"/>
      <c r="I1538" s="11"/>
      <c r="J1538" s="17" t="str">
        <f>IF(TRIM(B1538)="","",IF(ISNUMBER(SEARCH(" - ",B1538)),TRIM(RIGHT(B1538,LEN(B1538)-FIND(" - ",B1538)-2)),IFERROR(VLOOKUP(UPPER(TRIM(B1538)), SETUP!$B$4:$C$11, 2, FALSE), UPPER(TRIM(B1538)))))</f>
        <v/>
      </c>
      <c r="K1538" s="23" t="str">
        <f t="shared" si="2"/>
        <v/>
      </c>
      <c r="L1538" s="17" t="str">
        <f t="shared" si="3"/>
        <v/>
      </c>
      <c r="M1538" s="17" t="str">
        <f t="shared" si="4"/>
        <v/>
      </c>
    </row>
    <row r="1539" ht="15.75" customHeight="1">
      <c r="A1539" s="12"/>
      <c r="B1539" s="11"/>
      <c r="C1539" s="11"/>
      <c r="D1539" s="11"/>
      <c r="E1539" s="11" t="str">
        <f>IF(J1539="","", C1539 * IFERROR(VLOOKUP(J1539, SETUP!$A:$D, 3, FALSE), 0))</f>
        <v/>
      </c>
      <c r="F1539" s="11" t="str">
        <f>IF(J1539="","", C1539 * IFERROR(VLOOKUP(J1539, SETUP!$A:$D, 4, FALSE), 0))</f>
        <v/>
      </c>
      <c r="G1539" s="11" t="str">
        <f t="shared" si="1"/>
        <v/>
      </c>
      <c r="H1539" s="22"/>
      <c r="I1539" s="11"/>
      <c r="J1539" s="17" t="str">
        <f>IF(TRIM(B1539)="","",IF(ISNUMBER(SEARCH(" - ",B1539)),TRIM(RIGHT(B1539,LEN(B1539)-FIND(" - ",B1539)-2)),IFERROR(VLOOKUP(UPPER(TRIM(B1539)), SETUP!$B$4:$C$11, 2, FALSE), UPPER(TRIM(B1539)))))</f>
        <v/>
      </c>
      <c r="K1539" s="23" t="str">
        <f t="shared" si="2"/>
        <v/>
      </c>
      <c r="L1539" s="17" t="str">
        <f t="shared" si="3"/>
        <v/>
      </c>
      <c r="M1539" s="17" t="str">
        <f t="shared" si="4"/>
        <v/>
      </c>
    </row>
    <row r="1540" ht="15.75" customHeight="1">
      <c r="A1540" s="12"/>
      <c r="B1540" s="11"/>
      <c r="C1540" s="11"/>
      <c r="D1540" s="11"/>
      <c r="E1540" s="11" t="str">
        <f>IF(J1540="","", C1540 * IFERROR(VLOOKUP(J1540, SETUP!$A:$D, 3, FALSE), 0))</f>
        <v/>
      </c>
      <c r="F1540" s="11" t="str">
        <f>IF(J1540="","", C1540 * IFERROR(VLOOKUP(J1540, SETUP!$A:$D, 4, FALSE), 0))</f>
        <v/>
      </c>
      <c r="G1540" s="11" t="str">
        <f t="shared" si="1"/>
        <v/>
      </c>
      <c r="H1540" s="22"/>
      <c r="I1540" s="11"/>
      <c r="J1540" s="17" t="str">
        <f>IF(TRIM(B1540)="","",IF(ISNUMBER(SEARCH(" - ",B1540)),TRIM(RIGHT(B1540,LEN(B1540)-FIND(" - ",B1540)-2)),IFERROR(VLOOKUP(UPPER(TRIM(B1540)), SETUP!$B$4:$C$11, 2, FALSE), UPPER(TRIM(B1540)))))</f>
        <v/>
      </c>
      <c r="K1540" s="23" t="str">
        <f t="shared" si="2"/>
        <v/>
      </c>
      <c r="L1540" s="17" t="str">
        <f t="shared" si="3"/>
        <v/>
      </c>
      <c r="M1540" s="17" t="str">
        <f t="shared" si="4"/>
        <v/>
      </c>
    </row>
    <row r="1541" ht="15.75" customHeight="1">
      <c r="A1541" s="12"/>
      <c r="B1541" s="11"/>
      <c r="C1541" s="11"/>
      <c r="D1541" s="11"/>
      <c r="E1541" s="11" t="str">
        <f>IF(J1541="","", C1541 * IFERROR(VLOOKUP(J1541, SETUP!$A:$D, 3, FALSE), 0))</f>
        <v/>
      </c>
      <c r="F1541" s="11" t="str">
        <f>IF(J1541="","", C1541 * IFERROR(VLOOKUP(J1541, SETUP!$A:$D, 4, FALSE), 0))</f>
        <v/>
      </c>
      <c r="G1541" s="11" t="str">
        <f t="shared" si="1"/>
        <v/>
      </c>
      <c r="H1541" s="22"/>
      <c r="I1541" s="11"/>
      <c r="J1541" s="17" t="str">
        <f>IF(TRIM(B1541)="","",IF(ISNUMBER(SEARCH(" - ",B1541)),TRIM(RIGHT(B1541,LEN(B1541)-FIND(" - ",B1541)-2)),IFERROR(VLOOKUP(UPPER(TRIM(B1541)), SETUP!$B$4:$C$11, 2, FALSE), UPPER(TRIM(B1541)))))</f>
        <v/>
      </c>
      <c r="K1541" s="23" t="str">
        <f t="shared" si="2"/>
        <v/>
      </c>
      <c r="L1541" s="17" t="str">
        <f t="shared" si="3"/>
        <v/>
      </c>
      <c r="M1541" s="17" t="str">
        <f t="shared" si="4"/>
        <v/>
      </c>
    </row>
    <row r="1542" ht="15.75" customHeight="1">
      <c r="A1542" s="12"/>
      <c r="B1542" s="11"/>
      <c r="C1542" s="11"/>
      <c r="D1542" s="11"/>
      <c r="E1542" s="11" t="str">
        <f>IF(J1542="","", C1542 * IFERROR(VLOOKUP(J1542, SETUP!$A:$D, 3, FALSE), 0))</f>
        <v/>
      </c>
      <c r="F1542" s="11" t="str">
        <f>IF(J1542="","", C1542 * IFERROR(VLOOKUP(J1542, SETUP!$A:$D, 4, FALSE), 0))</f>
        <v/>
      </c>
      <c r="G1542" s="11" t="str">
        <f t="shared" si="1"/>
        <v/>
      </c>
      <c r="H1542" s="22"/>
      <c r="I1542" s="11"/>
      <c r="J1542" s="17" t="str">
        <f>IF(TRIM(B1542)="","",IF(ISNUMBER(SEARCH(" - ",B1542)),TRIM(RIGHT(B1542,LEN(B1542)-FIND(" - ",B1542)-2)),IFERROR(VLOOKUP(UPPER(TRIM(B1542)), SETUP!$B$4:$C$11, 2, FALSE), UPPER(TRIM(B1542)))))</f>
        <v/>
      </c>
      <c r="K1542" s="23" t="str">
        <f t="shared" si="2"/>
        <v/>
      </c>
      <c r="L1542" s="17" t="str">
        <f t="shared" si="3"/>
        <v/>
      </c>
      <c r="M1542" s="17" t="str">
        <f t="shared" si="4"/>
        <v/>
      </c>
    </row>
    <row r="1543" ht="15.75" customHeight="1">
      <c r="A1543" s="12"/>
      <c r="B1543" s="11"/>
      <c r="C1543" s="11"/>
      <c r="D1543" s="11"/>
      <c r="E1543" s="11" t="str">
        <f>IF(J1543="","", C1543 * IFERROR(VLOOKUP(J1543, SETUP!$A:$D, 3, FALSE), 0))</f>
        <v/>
      </c>
      <c r="F1543" s="11" t="str">
        <f>IF(J1543="","", C1543 * IFERROR(VLOOKUP(J1543, SETUP!$A:$D, 4, FALSE), 0))</f>
        <v/>
      </c>
      <c r="G1543" s="11" t="str">
        <f t="shared" si="1"/>
        <v/>
      </c>
      <c r="H1543" s="22"/>
      <c r="I1543" s="11"/>
      <c r="J1543" s="17" t="str">
        <f>IF(TRIM(B1543)="","",IF(ISNUMBER(SEARCH(" - ",B1543)),TRIM(RIGHT(B1543,LEN(B1543)-FIND(" - ",B1543)-2)),IFERROR(VLOOKUP(UPPER(TRIM(B1543)), SETUP!$B$4:$C$11, 2, FALSE), UPPER(TRIM(B1543)))))</f>
        <v/>
      </c>
      <c r="K1543" s="23" t="str">
        <f t="shared" si="2"/>
        <v/>
      </c>
      <c r="L1543" s="17" t="str">
        <f t="shared" si="3"/>
        <v/>
      </c>
      <c r="M1543" s="17" t="str">
        <f t="shared" si="4"/>
        <v/>
      </c>
    </row>
    <row r="1544" ht="15.75" customHeight="1">
      <c r="A1544" s="12"/>
      <c r="B1544" s="11"/>
      <c r="C1544" s="11"/>
      <c r="D1544" s="11"/>
      <c r="E1544" s="11" t="str">
        <f>IF(J1544="","", C1544 * IFERROR(VLOOKUP(J1544, SETUP!$A:$D, 3, FALSE), 0))</f>
        <v/>
      </c>
      <c r="F1544" s="11" t="str">
        <f>IF(J1544="","", C1544 * IFERROR(VLOOKUP(J1544, SETUP!$A:$D, 4, FALSE), 0))</f>
        <v/>
      </c>
      <c r="G1544" s="11" t="str">
        <f t="shared" si="1"/>
        <v/>
      </c>
      <c r="H1544" s="22"/>
      <c r="I1544" s="11"/>
      <c r="J1544" s="17" t="str">
        <f>IF(TRIM(B1544)="","",IF(ISNUMBER(SEARCH(" - ",B1544)),TRIM(RIGHT(B1544,LEN(B1544)-FIND(" - ",B1544)-2)),IFERROR(VLOOKUP(UPPER(TRIM(B1544)), SETUP!$B$4:$C$11, 2, FALSE), UPPER(TRIM(B1544)))))</f>
        <v/>
      </c>
      <c r="K1544" s="23" t="str">
        <f t="shared" si="2"/>
        <v/>
      </c>
      <c r="L1544" s="17" t="str">
        <f t="shared" si="3"/>
        <v/>
      </c>
      <c r="M1544" s="17" t="str">
        <f t="shared" si="4"/>
        <v/>
      </c>
    </row>
    <row r="1545" ht="15.75" customHeight="1">
      <c r="A1545" s="12"/>
      <c r="B1545" s="11"/>
      <c r="C1545" s="11"/>
      <c r="D1545" s="11"/>
      <c r="E1545" s="11" t="str">
        <f>IF(J1545="","", C1545 * IFERROR(VLOOKUP(J1545, SETUP!$A:$D, 3, FALSE), 0))</f>
        <v/>
      </c>
      <c r="F1545" s="11" t="str">
        <f>IF(J1545="","", C1545 * IFERROR(VLOOKUP(J1545, SETUP!$A:$D, 4, FALSE), 0))</f>
        <v/>
      </c>
      <c r="G1545" s="11" t="str">
        <f t="shared" si="1"/>
        <v/>
      </c>
      <c r="H1545" s="22"/>
      <c r="I1545" s="11"/>
      <c r="J1545" s="17" t="str">
        <f>IF(TRIM(B1545)="","",IF(ISNUMBER(SEARCH(" - ",B1545)),TRIM(RIGHT(B1545,LEN(B1545)-FIND(" - ",B1545)-2)),IFERROR(VLOOKUP(UPPER(TRIM(B1545)), SETUP!$B$4:$C$11, 2, FALSE), UPPER(TRIM(B1545)))))</f>
        <v/>
      </c>
      <c r="K1545" s="23" t="str">
        <f t="shared" si="2"/>
        <v/>
      </c>
      <c r="L1545" s="17" t="str">
        <f t="shared" si="3"/>
        <v/>
      </c>
      <c r="M1545" s="17" t="str">
        <f t="shared" si="4"/>
        <v/>
      </c>
    </row>
    <row r="1546" ht="15.75" customHeight="1">
      <c r="A1546" s="12"/>
      <c r="B1546" s="11"/>
      <c r="C1546" s="11"/>
      <c r="D1546" s="11"/>
      <c r="E1546" s="11" t="str">
        <f>IF(J1546="","", C1546 * IFERROR(VLOOKUP(J1546, SETUP!$A:$D, 3, FALSE), 0))</f>
        <v/>
      </c>
      <c r="F1546" s="11" t="str">
        <f>IF(J1546="","", C1546 * IFERROR(VLOOKUP(J1546, SETUP!$A:$D, 4, FALSE), 0))</f>
        <v/>
      </c>
      <c r="G1546" s="11" t="str">
        <f t="shared" si="1"/>
        <v/>
      </c>
      <c r="H1546" s="22"/>
      <c r="I1546" s="11"/>
      <c r="J1546" s="17" t="str">
        <f>IF(TRIM(B1546)="","",IF(ISNUMBER(SEARCH(" - ",B1546)),TRIM(RIGHT(B1546,LEN(B1546)-FIND(" - ",B1546)-2)),IFERROR(VLOOKUP(UPPER(TRIM(B1546)), SETUP!$B$4:$C$11, 2, FALSE), UPPER(TRIM(B1546)))))</f>
        <v/>
      </c>
      <c r="K1546" s="23" t="str">
        <f t="shared" si="2"/>
        <v/>
      </c>
      <c r="L1546" s="17" t="str">
        <f t="shared" si="3"/>
        <v/>
      </c>
      <c r="M1546" s="17" t="str">
        <f t="shared" si="4"/>
        <v/>
      </c>
    </row>
    <row r="1547" ht="15.75" customHeight="1">
      <c r="A1547" s="12"/>
      <c r="B1547" s="11"/>
      <c r="C1547" s="11"/>
      <c r="D1547" s="11"/>
      <c r="E1547" s="11" t="str">
        <f>IF(J1547="","", C1547 * IFERROR(VLOOKUP(J1547, SETUP!$A:$D, 3, FALSE), 0))</f>
        <v/>
      </c>
      <c r="F1547" s="11" t="str">
        <f>IF(J1547="","", C1547 * IFERROR(VLOOKUP(J1547, SETUP!$A:$D, 4, FALSE), 0))</f>
        <v/>
      </c>
      <c r="G1547" s="11" t="str">
        <f t="shared" si="1"/>
        <v/>
      </c>
      <c r="H1547" s="22"/>
      <c r="I1547" s="11"/>
      <c r="J1547" s="17" t="str">
        <f>IF(TRIM(B1547)="","",IF(ISNUMBER(SEARCH(" - ",B1547)),TRIM(RIGHT(B1547,LEN(B1547)-FIND(" - ",B1547)-2)),IFERROR(VLOOKUP(UPPER(TRIM(B1547)), SETUP!$B$4:$C$11, 2, FALSE), UPPER(TRIM(B1547)))))</f>
        <v/>
      </c>
      <c r="K1547" s="23" t="str">
        <f t="shared" si="2"/>
        <v/>
      </c>
      <c r="L1547" s="17" t="str">
        <f t="shared" si="3"/>
        <v/>
      </c>
      <c r="M1547" s="17" t="str">
        <f t="shared" si="4"/>
        <v/>
      </c>
    </row>
    <row r="1548" ht="15.75" customHeight="1">
      <c r="A1548" s="12"/>
      <c r="B1548" s="11"/>
      <c r="C1548" s="11"/>
      <c r="D1548" s="11"/>
      <c r="E1548" s="11" t="str">
        <f>IF(J1548="","", C1548 * IFERROR(VLOOKUP(J1548, SETUP!$A:$D, 3, FALSE), 0))</f>
        <v/>
      </c>
      <c r="F1548" s="11" t="str">
        <f>IF(J1548="","", C1548 * IFERROR(VLOOKUP(J1548, SETUP!$A:$D, 4, FALSE), 0))</f>
        <v/>
      </c>
      <c r="G1548" s="11" t="str">
        <f t="shared" si="1"/>
        <v/>
      </c>
      <c r="H1548" s="22"/>
      <c r="I1548" s="11"/>
      <c r="J1548" s="17" t="str">
        <f>IF(TRIM(B1548)="","",IF(ISNUMBER(SEARCH(" - ",B1548)),TRIM(RIGHT(B1548,LEN(B1548)-FIND(" - ",B1548)-2)),IFERROR(VLOOKUP(UPPER(TRIM(B1548)), SETUP!$B$4:$C$11, 2, FALSE), UPPER(TRIM(B1548)))))</f>
        <v/>
      </c>
      <c r="K1548" s="23" t="str">
        <f t="shared" si="2"/>
        <v/>
      </c>
      <c r="L1548" s="17" t="str">
        <f t="shared" si="3"/>
        <v/>
      </c>
      <c r="M1548" s="17" t="str">
        <f t="shared" si="4"/>
        <v/>
      </c>
    </row>
    <row r="1549" ht="15.75" customHeight="1">
      <c r="A1549" s="12"/>
      <c r="B1549" s="11"/>
      <c r="C1549" s="11"/>
      <c r="D1549" s="11"/>
      <c r="E1549" s="11" t="str">
        <f>IF(J1549="","", C1549 * IFERROR(VLOOKUP(J1549, SETUP!$A:$D, 3, FALSE), 0))</f>
        <v/>
      </c>
      <c r="F1549" s="11" t="str">
        <f>IF(J1549="","", C1549 * IFERROR(VLOOKUP(J1549, SETUP!$A:$D, 4, FALSE), 0))</f>
        <v/>
      </c>
      <c r="G1549" s="11" t="str">
        <f t="shared" si="1"/>
        <v/>
      </c>
      <c r="H1549" s="22"/>
      <c r="I1549" s="11"/>
      <c r="J1549" s="17" t="str">
        <f>IF(TRIM(B1549)="","",IF(ISNUMBER(SEARCH(" - ",B1549)),TRIM(RIGHT(B1549,LEN(B1549)-FIND(" - ",B1549)-2)),IFERROR(VLOOKUP(UPPER(TRIM(B1549)), SETUP!$B$4:$C$11, 2, FALSE), UPPER(TRIM(B1549)))))</f>
        <v/>
      </c>
      <c r="K1549" s="23" t="str">
        <f t="shared" si="2"/>
        <v/>
      </c>
      <c r="L1549" s="17" t="str">
        <f t="shared" si="3"/>
        <v/>
      </c>
      <c r="M1549" s="17" t="str">
        <f t="shared" si="4"/>
        <v/>
      </c>
    </row>
    <row r="1550" ht="15.75" customHeight="1">
      <c r="A1550" s="12"/>
      <c r="B1550" s="11"/>
      <c r="C1550" s="11"/>
      <c r="D1550" s="11"/>
      <c r="E1550" s="11" t="str">
        <f>IF(J1550="","", C1550 * IFERROR(VLOOKUP(J1550, SETUP!$A:$D, 3, FALSE), 0))</f>
        <v/>
      </c>
      <c r="F1550" s="11" t="str">
        <f>IF(J1550="","", C1550 * IFERROR(VLOOKUP(J1550, SETUP!$A:$D, 4, FALSE), 0))</f>
        <v/>
      </c>
      <c r="G1550" s="11" t="str">
        <f t="shared" si="1"/>
        <v/>
      </c>
      <c r="H1550" s="22"/>
      <c r="I1550" s="11"/>
      <c r="J1550" s="17" t="str">
        <f>IF(TRIM(B1550)="","",IF(ISNUMBER(SEARCH(" - ",B1550)),TRIM(RIGHT(B1550,LEN(B1550)-FIND(" - ",B1550)-2)),IFERROR(VLOOKUP(UPPER(TRIM(B1550)), SETUP!$B$4:$C$11, 2, FALSE), UPPER(TRIM(B1550)))))</f>
        <v/>
      </c>
      <c r="K1550" s="23" t="str">
        <f t="shared" si="2"/>
        <v/>
      </c>
      <c r="L1550" s="17" t="str">
        <f t="shared" si="3"/>
        <v/>
      </c>
      <c r="M1550" s="17" t="str">
        <f t="shared" si="4"/>
        <v/>
      </c>
    </row>
    <row r="1551" ht="15.75" customHeight="1">
      <c r="A1551" s="12"/>
      <c r="B1551" s="11"/>
      <c r="C1551" s="11"/>
      <c r="D1551" s="11"/>
      <c r="E1551" s="11" t="str">
        <f>IF(J1551="","", C1551 * IFERROR(VLOOKUP(J1551, SETUP!$A:$D, 3, FALSE), 0))</f>
        <v/>
      </c>
      <c r="F1551" s="11" t="str">
        <f>IF(J1551="","", C1551 * IFERROR(VLOOKUP(J1551, SETUP!$A:$D, 4, FALSE), 0))</f>
        <v/>
      </c>
      <c r="G1551" s="11" t="str">
        <f t="shared" si="1"/>
        <v/>
      </c>
      <c r="H1551" s="22"/>
      <c r="I1551" s="11"/>
      <c r="J1551" s="17" t="str">
        <f>IF(TRIM(B1551)="","",IF(ISNUMBER(SEARCH(" - ",B1551)),TRIM(RIGHT(B1551,LEN(B1551)-FIND(" - ",B1551)-2)),IFERROR(VLOOKUP(UPPER(TRIM(B1551)), SETUP!$B$4:$C$11, 2, FALSE), UPPER(TRIM(B1551)))))</f>
        <v/>
      </c>
      <c r="K1551" s="23" t="str">
        <f t="shared" si="2"/>
        <v/>
      </c>
      <c r="L1551" s="17" t="str">
        <f t="shared" si="3"/>
        <v/>
      </c>
      <c r="M1551" s="17" t="str">
        <f t="shared" si="4"/>
        <v/>
      </c>
    </row>
    <row r="1552" ht="15.75" customHeight="1">
      <c r="A1552" s="12"/>
      <c r="B1552" s="11"/>
      <c r="C1552" s="11"/>
      <c r="D1552" s="11"/>
      <c r="E1552" s="11" t="str">
        <f>IF(J1552="","", C1552 * IFERROR(VLOOKUP(J1552, SETUP!$A:$D, 3, FALSE), 0))</f>
        <v/>
      </c>
      <c r="F1552" s="11" t="str">
        <f>IF(J1552="","", C1552 * IFERROR(VLOOKUP(J1552, SETUP!$A:$D, 4, FALSE), 0))</f>
        <v/>
      </c>
      <c r="G1552" s="11" t="str">
        <f t="shared" si="1"/>
        <v/>
      </c>
      <c r="H1552" s="22"/>
      <c r="I1552" s="11"/>
      <c r="J1552" s="17" t="str">
        <f>IF(TRIM(B1552)="","",IF(ISNUMBER(SEARCH(" - ",B1552)),TRIM(RIGHT(B1552,LEN(B1552)-FIND(" - ",B1552)-2)),IFERROR(VLOOKUP(UPPER(TRIM(B1552)), SETUP!$B$4:$C$11, 2, FALSE), UPPER(TRIM(B1552)))))</f>
        <v/>
      </c>
      <c r="K1552" s="23" t="str">
        <f t="shared" si="2"/>
        <v/>
      </c>
      <c r="L1552" s="17" t="str">
        <f t="shared" si="3"/>
        <v/>
      </c>
      <c r="M1552" s="17" t="str">
        <f t="shared" si="4"/>
        <v/>
      </c>
    </row>
    <row r="1553" ht="15.75" customHeight="1">
      <c r="A1553" s="12"/>
      <c r="B1553" s="11"/>
      <c r="C1553" s="11"/>
      <c r="D1553" s="11"/>
      <c r="E1553" s="11" t="str">
        <f>IF(J1553="","", C1553 * IFERROR(VLOOKUP(J1553, SETUP!$A:$D, 3, FALSE), 0))</f>
        <v/>
      </c>
      <c r="F1553" s="11" t="str">
        <f>IF(J1553="","", C1553 * IFERROR(VLOOKUP(J1553, SETUP!$A:$D, 4, FALSE), 0))</f>
        <v/>
      </c>
      <c r="G1553" s="11" t="str">
        <f t="shared" si="1"/>
        <v/>
      </c>
      <c r="H1553" s="22"/>
      <c r="I1553" s="11"/>
      <c r="J1553" s="17" t="str">
        <f>IF(TRIM(B1553)="","",IF(ISNUMBER(SEARCH(" - ",B1553)),TRIM(RIGHT(B1553,LEN(B1553)-FIND(" - ",B1553)-2)),IFERROR(VLOOKUP(UPPER(TRIM(B1553)), SETUP!$B$4:$C$11, 2, FALSE), UPPER(TRIM(B1553)))))</f>
        <v/>
      </c>
      <c r="K1553" s="23" t="str">
        <f t="shared" si="2"/>
        <v/>
      </c>
      <c r="L1553" s="17" t="str">
        <f t="shared" si="3"/>
        <v/>
      </c>
      <c r="M1553" s="17" t="str">
        <f t="shared" si="4"/>
        <v/>
      </c>
    </row>
    <row r="1554" ht="15.75" customHeight="1">
      <c r="A1554" s="12"/>
      <c r="B1554" s="11"/>
      <c r="C1554" s="11"/>
      <c r="D1554" s="11"/>
      <c r="E1554" s="11" t="str">
        <f>IF(J1554="","", C1554 * IFERROR(VLOOKUP(J1554, SETUP!$A:$D, 3, FALSE), 0))</f>
        <v/>
      </c>
      <c r="F1554" s="11" t="str">
        <f>IF(J1554="","", C1554 * IFERROR(VLOOKUP(J1554, SETUP!$A:$D, 4, FALSE), 0))</f>
        <v/>
      </c>
      <c r="G1554" s="11" t="str">
        <f t="shared" si="1"/>
        <v/>
      </c>
      <c r="H1554" s="22"/>
      <c r="I1554" s="11"/>
      <c r="J1554" s="17" t="str">
        <f>IF(TRIM(B1554)="","",IF(ISNUMBER(SEARCH(" - ",B1554)),TRIM(RIGHT(B1554,LEN(B1554)-FIND(" - ",B1554)-2)),IFERROR(VLOOKUP(UPPER(TRIM(B1554)), SETUP!$B$4:$C$11, 2, FALSE), UPPER(TRIM(B1554)))))</f>
        <v/>
      </c>
      <c r="K1554" s="23" t="str">
        <f t="shared" si="2"/>
        <v/>
      </c>
      <c r="L1554" s="17" t="str">
        <f t="shared" si="3"/>
        <v/>
      </c>
      <c r="M1554" s="17" t="str">
        <f t="shared" si="4"/>
        <v/>
      </c>
    </row>
    <row r="1555" ht="15.75" customHeight="1">
      <c r="A1555" s="12"/>
      <c r="B1555" s="11"/>
      <c r="C1555" s="11"/>
      <c r="D1555" s="11"/>
      <c r="E1555" s="11" t="str">
        <f>IF(J1555="","", C1555 * IFERROR(VLOOKUP(J1555, SETUP!$A:$D, 3, FALSE), 0))</f>
        <v/>
      </c>
      <c r="F1555" s="11" t="str">
        <f>IF(J1555="","", C1555 * IFERROR(VLOOKUP(J1555, SETUP!$A:$D, 4, FALSE), 0))</f>
        <v/>
      </c>
      <c r="G1555" s="11" t="str">
        <f t="shared" si="1"/>
        <v/>
      </c>
      <c r="H1555" s="22"/>
      <c r="I1555" s="11"/>
      <c r="J1555" s="17" t="str">
        <f>IF(TRIM(B1555)="","",IF(ISNUMBER(SEARCH(" - ",B1555)),TRIM(RIGHT(B1555,LEN(B1555)-FIND(" - ",B1555)-2)),IFERROR(VLOOKUP(UPPER(TRIM(B1555)), SETUP!$B$4:$C$11, 2, FALSE), UPPER(TRIM(B1555)))))</f>
        <v/>
      </c>
      <c r="K1555" s="23" t="str">
        <f t="shared" si="2"/>
        <v/>
      </c>
      <c r="L1555" s="17" t="str">
        <f t="shared" si="3"/>
        <v/>
      </c>
      <c r="M1555" s="17" t="str">
        <f t="shared" si="4"/>
        <v/>
      </c>
    </row>
    <row r="1556" ht="15.75" customHeight="1">
      <c r="A1556" s="12"/>
      <c r="B1556" s="11"/>
      <c r="C1556" s="11"/>
      <c r="D1556" s="11"/>
      <c r="E1556" s="11" t="str">
        <f>IF(J1556="","", C1556 * IFERROR(VLOOKUP(J1556, SETUP!$A:$D, 3, FALSE), 0))</f>
        <v/>
      </c>
      <c r="F1556" s="11" t="str">
        <f>IF(J1556="","", C1556 * IFERROR(VLOOKUP(J1556, SETUP!$A:$D, 4, FALSE), 0))</f>
        <v/>
      </c>
      <c r="G1556" s="11" t="str">
        <f t="shared" si="1"/>
        <v/>
      </c>
      <c r="H1556" s="22"/>
      <c r="I1556" s="11"/>
      <c r="J1556" s="17" t="str">
        <f>IF(TRIM(B1556)="","",IF(ISNUMBER(SEARCH(" - ",B1556)),TRIM(RIGHT(B1556,LEN(B1556)-FIND(" - ",B1556)-2)),IFERROR(VLOOKUP(UPPER(TRIM(B1556)), SETUP!$B$4:$C$11, 2, FALSE), UPPER(TRIM(B1556)))))</f>
        <v/>
      </c>
      <c r="K1556" s="23" t="str">
        <f t="shared" si="2"/>
        <v/>
      </c>
      <c r="L1556" s="17" t="str">
        <f t="shared" si="3"/>
        <v/>
      </c>
      <c r="M1556" s="17" t="str">
        <f t="shared" si="4"/>
        <v/>
      </c>
    </row>
    <row r="1557" ht="15.75" customHeight="1">
      <c r="A1557" s="12"/>
      <c r="B1557" s="11"/>
      <c r="C1557" s="11"/>
      <c r="D1557" s="11"/>
      <c r="E1557" s="11" t="str">
        <f>IF(J1557="","", C1557 * IFERROR(VLOOKUP(J1557, SETUP!$A:$D, 3, FALSE), 0))</f>
        <v/>
      </c>
      <c r="F1557" s="11" t="str">
        <f>IF(J1557="","", C1557 * IFERROR(VLOOKUP(J1557, SETUP!$A:$D, 4, FALSE), 0))</f>
        <v/>
      </c>
      <c r="G1557" s="11" t="str">
        <f t="shared" si="1"/>
        <v/>
      </c>
      <c r="H1557" s="22"/>
      <c r="I1557" s="11"/>
      <c r="J1557" s="17" t="str">
        <f>IF(TRIM(B1557)="","",IF(ISNUMBER(SEARCH(" - ",B1557)),TRIM(RIGHT(B1557,LEN(B1557)-FIND(" - ",B1557)-2)),IFERROR(VLOOKUP(UPPER(TRIM(B1557)), SETUP!$B$4:$C$11, 2, FALSE), UPPER(TRIM(B1557)))))</f>
        <v/>
      </c>
      <c r="K1557" s="23" t="str">
        <f t="shared" si="2"/>
        <v/>
      </c>
      <c r="L1557" s="17" t="str">
        <f t="shared" si="3"/>
        <v/>
      </c>
      <c r="M1557" s="17" t="str">
        <f t="shared" si="4"/>
        <v/>
      </c>
    </row>
    <row r="1558" ht="15.75" customHeight="1">
      <c r="A1558" s="12"/>
      <c r="B1558" s="11"/>
      <c r="C1558" s="11"/>
      <c r="D1558" s="11"/>
      <c r="E1558" s="11" t="str">
        <f>IF(J1558="","", C1558 * IFERROR(VLOOKUP(J1558, SETUP!$A:$D, 3, FALSE), 0))</f>
        <v/>
      </c>
      <c r="F1558" s="11" t="str">
        <f>IF(J1558="","", C1558 * IFERROR(VLOOKUP(J1558, SETUP!$A:$D, 4, FALSE), 0))</f>
        <v/>
      </c>
      <c r="G1558" s="11" t="str">
        <f t="shared" si="1"/>
        <v/>
      </c>
      <c r="H1558" s="22"/>
      <c r="I1558" s="11"/>
      <c r="J1558" s="17" t="str">
        <f>IF(TRIM(B1558)="","",IF(ISNUMBER(SEARCH(" - ",B1558)),TRIM(RIGHT(B1558,LEN(B1558)-FIND(" - ",B1558)-2)),IFERROR(VLOOKUP(UPPER(TRIM(B1558)), SETUP!$B$4:$C$11, 2, FALSE), UPPER(TRIM(B1558)))))</f>
        <v/>
      </c>
      <c r="K1558" s="23" t="str">
        <f t="shared" si="2"/>
        <v/>
      </c>
      <c r="L1558" s="17" t="str">
        <f t="shared" si="3"/>
        <v/>
      </c>
      <c r="M1558" s="17" t="str">
        <f t="shared" si="4"/>
        <v/>
      </c>
    </row>
    <row r="1559" ht="15.75" customHeight="1">
      <c r="A1559" s="12"/>
      <c r="B1559" s="11"/>
      <c r="C1559" s="11"/>
      <c r="D1559" s="11"/>
      <c r="E1559" s="11" t="str">
        <f>IF(J1559="","", C1559 * IFERROR(VLOOKUP(J1559, SETUP!$A:$D, 3, FALSE), 0))</f>
        <v/>
      </c>
      <c r="F1559" s="11" t="str">
        <f>IF(J1559="","", C1559 * IFERROR(VLOOKUP(J1559, SETUP!$A:$D, 4, FALSE), 0))</f>
        <v/>
      </c>
      <c r="G1559" s="11" t="str">
        <f t="shared" si="1"/>
        <v/>
      </c>
      <c r="H1559" s="22"/>
      <c r="I1559" s="11"/>
      <c r="J1559" s="17" t="str">
        <f>IF(TRIM(B1559)="","",IF(ISNUMBER(SEARCH(" - ",B1559)),TRIM(RIGHT(B1559,LEN(B1559)-FIND(" - ",B1559)-2)),IFERROR(VLOOKUP(UPPER(TRIM(B1559)), SETUP!$B$4:$C$11, 2, FALSE), UPPER(TRIM(B1559)))))</f>
        <v/>
      </c>
      <c r="K1559" s="23" t="str">
        <f t="shared" si="2"/>
        <v/>
      </c>
      <c r="L1559" s="17" t="str">
        <f t="shared" si="3"/>
        <v/>
      </c>
      <c r="M1559" s="17" t="str">
        <f t="shared" si="4"/>
        <v/>
      </c>
    </row>
    <row r="1560" ht="15.75" customHeight="1">
      <c r="A1560" s="12"/>
      <c r="B1560" s="11"/>
      <c r="C1560" s="11"/>
      <c r="D1560" s="11"/>
      <c r="E1560" s="11" t="str">
        <f>IF(J1560="","", C1560 * IFERROR(VLOOKUP(J1560, SETUP!$A:$D, 3, FALSE), 0))</f>
        <v/>
      </c>
      <c r="F1560" s="11" t="str">
        <f>IF(J1560="","", C1560 * IFERROR(VLOOKUP(J1560, SETUP!$A:$D, 4, FALSE), 0))</f>
        <v/>
      </c>
      <c r="G1560" s="11" t="str">
        <f t="shared" si="1"/>
        <v/>
      </c>
      <c r="H1560" s="22"/>
      <c r="I1560" s="11"/>
      <c r="J1560" s="17" t="str">
        <f>IF(TRIM(B1560)="","",IF(ISNUMBER(SEARCH(" - ",B1560)),TRIM(RIGHT(B1560,LEN(B1560)-FIND(" - ",B1560)-2)),IFERROR(VLOOKUP(UPPER(TRIM(B1560)), SETUP!$B$4:$C$11, 2, FALSE), UPPER(TRIM(B1560)))))</f>
        <v/>
      </c>
      <c r="K1560" s="23" t="str">
        <f t="shared" si="2"/>
        <v/>
      </c>
      <c r="L1560" s="17" t="str">
        <f t="shared" si="3"/>
        <v/>
      </c>
      <c r="M1560" s="17" t="str">
        <f t="shared" si="4"/>
        <v/>
      </c>
    </row>
    <row r="1561" ht="15.75" customHeight="1">
      <c r="A1561" s="12"/>
      <c r="B1561" s="11"/>
      <c r="C1561" s="11"/>
      <c r="D1561" s="11"/>
      <c r="E1561" s="11" t="str">
        <f>IF(J1561="","", C1561 * IFERROR(VLOOKUP(J1561, SETUP!$A:$D, 3, FALSE), 0))</f>
        <v/>
      </c>
      <c r="F1561" s="11" t="str">
        <f>IF(J1561="","", C1561 * IFERROR(VLOOKUP(J1561, SETUP!$A:$D, 4, FALSE), 0))</f>
        <v/>
      </c>
      <c r="G1561" s="11" t="str">
        <f t="shared" si="1"/>
        <v/>
      </c>
      <c r="H1561" s="22"/>
      <c r="I1561" s="11"/>
      <c r="J1561" s="17" t="str">
        <f>IF(TRIM(B1561)="","",IF(ISNUMBER(SEARCH(" - ",B1561)),TRIM(RIGHT(B1561,LEN(B1561)-FIND(" - ",B1561)-2)),IFERROR(VLOOKUP(UPPER(TRIM(B1561)), SETUP!$B$4:$C$11, 2, FALSE), UPPER(TRIM(B1561)))))</f>
        <v/>
      </c>
      <c r="K1561" s="23" t="str">
        <f t="shared" si="2"/>
        <v/>
      </c>
      <c r="L1561" s="17" t="str">
        <f t="shared" si="3"/>
        <v/>
      </c>
      <c r="M1561" s="17" t="str">
        <f t="shared" si="4"/>
        <v/>
      </c>
    </row>
    <row r="1562" ht="15.75" customHeight="1">
      <c r="A1562" s="12"/>
      <c r="B1562" s="11"/>
      <c r="C1562" s="11"/>
      <c r="D1562" s="11"/>
      <c r="E1562" s="11" t="str">
        <f>IF(J1562="","", C1562 * IFERROR(VLOOKUP(J1562, SETUP!$A:$D, 3, FALSE), 0))</f>
        <v/>
      </c>
      <c r="F1562" s="11" t="str">
        <f>IF(J1562="","", C1562 * IFERROR(VLOOKUP(J1562, SETUP!$A:$D, 4, FALSE), 0))</f>
        <v/>
      </c>
      <c r="G1562" s="11" t="str">
        <f t="shared" si="1"/>
        <v/>
      </c>
      <c r="H1562" s="22"/>
      <c r="I1562" s="11"/>
      <c r="J1562" s="17" t="str">
        <f>IF(TRIM(B1562)="","",IF(ISNUMBER(SEARCH(" - ",B1562)),TRIM(RIGHT(B1562,LEN(B1562)-FIND(" - ",B1562)-2)),IFERROR(VLOOKUP(UPPER(TRIM(B1562)), SETUP!$B$4:$C$11, 2, FALSE), UPPER(TRIM(B1562)))))</f>
        <v/>
      </c>
      <c r="K1562" s="23" t="str">
        <f t="shared" si="2"/>
        <v/>
      </c>
      <c r="L1562" s="17" t="str">
        <f t="shared" si="3"/>
        <v/>
      </c>
      <c r="M1562" s="17" t="str">
        <f t="shared" si="4"/>
        <v/>
      </c>
    </row>
    <row r="1563" ht="15.75" customHeight="1">
      <c r="A1563" s="12"/>
      <c r="B1563" s="11"/>
      <c r="C1563" s="11"/>
      <c r="D1563" s="11"/>
      <c r="E1563" s="11" t="str">
        <f>IF(J1563="","", C1563 * IFERROR(VLOOKUP(J1563, SETUP!$A:$D, 3, FALSE), 0))</f>
        <v/>
      </c>
      <c r="F1563" s="11" t="str">
        <f>IF(J1563="","", C1563 * IFERROR(VLOOKUP(J1563, SETUP!$A:$D, 4, FALSE), 0))</f>
        <v/>
      </c>
      <c r="G1563" s="11" t="str">
        <f t="shared" si="1"/>
        <v/>
      </c>
      <c r="H1563" s="22"/>
      <c r="I1563" s="11"/>
      <c r="J1563" s="17" t="str">
        <f>IF(TRIM(B1563)="","",IF(ISNUMBER(SEARCH(" - ",B1563)),TRIM(RIGHT(B1563,LEN(B1563)-FIND(" - ",B1563)-2)),IFERROR(VLOOKUP(UPPER(TRIM(B1563)), SETUP!$B$4:$C$11, 2, FALSE), UPPER(TRIM(B1563)))))</f>
        <v/>
      </c>
      <c r="K1563" s="23" t="str">
        <f t="shared" si="2"/>
        <v/>
      </c>
      <c r="L1563" s="17" t="str">
        <f t="shared" si="3"/>
        <v/>
      </c>
      <c r="M1563" s="17" t="str">
        <f t="shared" si="4"/>
        <v/>
      </c>
    </row>
    <row r="1564" ht="15.75" customHeight="1">
      <c r="A1564" s="12"/>
      <c r="B1564" s="11"/>
      <c r="C1564" s="11"/>
      <c r="D1564" s="11"/>
      <c r="E1564" s="11" t="str">
        <f>IF(J1564="","", C1564 * IFERROR(VLOOKUP(J1564, SETUP!$A:$D, 3, FALSE), 0))</f>
        <v/>
      </c>
      <c r="F1564" s="11" t="str">
        <f>IF(J1564="","", C1564 * IFERROR(VLOOKUP(J1564, SETUP!$A:$D, 4, FALSE), 0))</f>
        <v/>
      </c>
      <c r="G1564" s="11" t="str">
        <f t="shared" si="1"/>
        <v/>
      </c>
      <c r="H1564" s="22"/>
      <c r="I1564" s="11"/>
      <c r="J1564" s="17" t="str">
        <f>IF(TRIM(B1564)="","",IF(ISNUMBER(SEARCH(" - ",B1564)),TRIM(RIGHT(B1564,LEN(B1564)-FIND(" - ",B1564)-2)),IFERROR(VLOOKUP(UPPER(TRIM(B1564)), SETUP!$B$4:$C$11, 2, FALSE), UPPER(TRIM(B1564)))))</f>
        <v/>
      </c>
      <c r="K1564" s="23" t="str">
        <f t="shared" si="2"/>
        <v/>
      </c>
      <c r="L1564" s="17" t="str">
        <f t="shared" si="3"/>
        <v/>
      </c>
      <c r="M1564" s="17" t="str">
        <f t="shared" si="4"/>
        <v/>
      </c>
    </row>
    <row r="1565" ht="15.75" customHeight="1">
      <c r="A1565" s="12"/>
      <c r="B1565" s="11"/>
      <c r="C1565" s="11"/>
      <c r="D1565" s="11"/>
      <c r="E1565" s="11" t="str">
        <f>IF(J1565="","", C1565 * IFERROR(VLOOKUP(J1565, SETUP!$A:$D, 3, FALSE), 0))</f>
        <v/>
      </c>
      <c r="F1565" s="11" t="str">
        <f>IF(J1565="","", C1565 * IFERROR(VLOOKUP(J1565, SETUP!$A:$D, 4, FALSE), 0))</f>
        <v/>
      </c>
      <c r="G1565" s="11" t="str">
        <f t="shared" si="1"/>
        <v/>
      </c>
      <c r="H1565" s="22"/>
      <c r="I1565" s="11"/>
      <c r="J1565" s="17" t="str">
        <f>IF(TRIM(B1565)="","",IF(ISNUMBER(SEARCH(" - ",B1565)),TRIM(RIGHT(B1565,LEN(B1565)-FIND(" - ",B1565)-2)),IFERROR(VLOOKUP(UPPER(TRIM(B1565)), SETUP!$B$4:$C$11, 2, FALSE), UPPER(TRIM(B1565)))))</f>
        <v/>
      </c>
      <c r="K1565" s="23" t="str">
        <f t="shared" si="2"/>
        <v/>
      </c>
      <c r="L1565" s="17" t="str">
        <f t="shared" si="3"/>
        <v/>
      </c>
      <c r="M1565" s="17" t="str">
        <f t="shared" si="4"/>
        <v/>
      </c>
    </row>
    <row r="1566" ht="15.75" customHeight="1">
      <c r="A1566" s="12"/>
      <c r="B1566" s="11"/>
      <c r="C1566" s="11"/>
      <c r="D1566" s="11"/>
      <c r="E1566" s="11" t="str">
        <f>IF(J1566="","", C1566 * IFERROR(VLOOKUP(J1566, SETUP!$A:$D, 3, FALSE), 0))</f>
        <v/>
      </c>
      <c r="F1566" s="11" t="str">
        <f>IF(J1566="","", C1566 * IFERROR(VLOOKUP(J1566, SETUP!$A:$D, 4, FALSE), 0))</f>
        <v/>
      </c>
      <c r="G1566" s="11" t="str">
        <f t="shared" si="1"/>
        <v/>
      </c>
      <c r="H1566" s="22"/>
      <c r="I1566" s="11"/>
      <c r="J1566" s="17" t="str">
        <f>IF(TRIM(B1566)="","",IF(ISNUMBER(SEARCH(" - ",B1566)),TRIM(RIGHT(B1566,LEN(B1566)-FIND(" - ",B1566)-2)),IFERROR(VLOOKUP(UPPER(TRIM(B1566)), SETUP!$B$4:$C$11, 2, FALSE), UPPER(TRIM(B1566)))))</f>
        <v/>
      </c>
      <c r="K1566" s="23" t="str">
        <f t="shared" si="2"/>
        <v/>
      </c>
      <c r="L1566" s="17" t="str">
        <f t="shared" si="3"/>
        <v/>
      </c>
      <c r="M1566" s="17" t="str">
        <f t="shared" si="4"/>
        <v/>
      </c>
    </row>
    <row r="1567" ht="15.75" customHeight="1">
      <c r="A1567" s="12"/>
      <c r="B1567" s="11"/>
      <c r="C1567" s="11"/>
      <c r="D1567" s="11"/>
      <c r="E1567" s="11" t="str">
        <f>IF(J1567="","", C1567 * IFERROR(VLOOKUP(J1567, SETUP!$A:$D, 3, FALSE), 0))</f>
        <v/>
      </c>
      <c r="F1567" s="11" t="str">
        <f>IF(J1567="","", C1567 * IFERROR(VLOOKUP(J1567, SETUP!$A:$D, 4, FALSE), 0))</f>
        <v/>
      </c>
      <c r="G1567" s="11" t="str">
        <f t="shared" si="1"/>
        <v/>
      </c>
      <c r="H1567" s="22"/>
      <c r="I1567" s="11"/>
      <c r="J1567" s="17" t="str">
        <f>IF(TRIM(B1567)="","",IF(ISNUMBER(SEARCH(" - ",B1567)),TRIM(RIGHT(B1567,LEN(B1567)-FIND(" - ",B1567)-2)),IFERROR(VLOOKUP(UPPER(TRIM(B1567)), SETUP!$B$4:$C$11, 2, FALSE), UPPER(TRIM(B1567)))))</f>
        <v/>
      </c>
      <c r="K1567" s="23" t="str">
        <f t="shared" si="2"/>
        <v/>
      </c>
      <c r="L1567" s="17" t="str">
        <f t="shared" si="3"/>
        <v/>
      </c>
      <c r="M1567" s="17" t="str">
        <f t="shared" si="4"/>
        <v/>
      </c>
    </row>
    <row r="1568" ht="15.75" customHeight="1">
      <c r="A1568" s="12"/>
      <c r="B1568" s="11"/>
      <c r="C1568" s="11"/>
      <c r="D1568" s="11"/>
      <c r="E1568" s="11" t="str">
        <f>IF(J1568="","", C1568 * IFERROR(VLOOKUP(J1568, SETUP!$A:$D, 3, FALSE), 0))</f>
        <v/>
      </c>
      <c r="F1568" s="11" t="str">
        <f>IF(J1568="","", C1568 * IFERROR(VLOOKUP(J1568, SETUP!$A:$D, 4, FALSE), 0))</f>
        <v/>
      </c>
      <c r="G1568" s="11" t="str">
        <f t="shared" si="1"/>
        <v/>
      </c>
      <c r="H1568" s="22"/>
      <c r="I1568" s="11"/>
      <c r="J1568" s="17" t="str">
        <f>IF(TRIM(B1568)="","",IF(ISNUMBER(SEARCH(" - ",B1568)),TRIM(RIGHT(B1568,LEN(B1568)-FIND(" - ",B1568)-2)),IFERROR(VLOOKUP(UPPER(TRIM(B1568)), SETUP!$B$4:$C$11, 2, FALSE), UPPER(TRIM(B1568)))))</f>
        <v/>
      </c>
      <c r="K1568" s="23" t="str">
        <f t="shared" si="2"/>
        <v/>
      </c>
      <c r="L1568" s="17" t="str">
        <f t="shared" si="3"/>
        <v/>
      </c>
      <c r="M1568" s="17" t="str">
        <f t="shared" si="4"/>
        <v/>
      </c>
    </row>
    <row r="1569" ht="15.75" customHeight="1">
      <c r="A1569" s="12"/>
      <c r="B1569" s="11"/>
      <c r="C1569" s="11"/>
      <c r="D1569" s="11"/>
      <c r="E1569" s="11" t="str">
        <f>IF(J1569="","", C1569 * IFERROR(VLOOKUP(J1569, SETUP!$A:$D, 3, FALSE), 0))</f>
        <v/>
      </c>
      <c r="F1569" s="11" t="str">
        <f>IF(J1569="","", C1569 * IFERROR(VLOOKUP(J1569, SETUP!$A:$D, 4, FALSE), 0))</f>
        <v/>
      </c>
      <c r="G1569" s="11" t="str">
        <f t="shared" si="1"/>
        <v/>
      </c>
      <c r="H1569" s="22"/>
      <c r="I1569" s="11"/>
      <c r="J1569" s="17" t="str">
        <f>IF(TRIM(B1569)="","",IF(ISNUMBER(SEARCH(" - ",B1569)),TRIM(RIGHT(B1569,LEN(B1569)-FIND(" - ",B1569)-2)),IFERROR(VLOOKUP(UPPER(TRIM(B1569)), SETUP!$B$4:$C$11, 2, FALSE), UPPER(TRIM(B1569)))))</f>
        <v/>
      </c>
      <c r="K1569" s="23" t="str">
        <f t="shared" si="2"/>
        <v/>
      </c>
      <c r="L1569" s="17" t="str">
        <f t="shared" si="3"/>
        <v/>
      </c>
      <c r="M1569" s="17" t="str">
        <f t="shared" si="4"/>
        <v/>
      </c>
    </row>
    <row r="1570" ht="15.75" customHeight="1">
      <c r="A1570" s="12"/>
      <c r="B1570" s="11"/>
      <c r="C1570" s="11"/>
      <c r="D1570" s="11"/>
      <c r="E1570" s="11" t="str">
        <f>IF(J1570="","", C1570 * IFERROR(VLOOKUP(J1570, SETUP!$A:$D, 3, FALSE), 0))</f>
        <v/>
      </c>
      <c r="F1570" s="11" t="str">
        <f>IF(J1570="","", C1570 * IFERROR(VLOOKUP(J1570, SETUP!$A:$D, 4, FALSE), 0))</f>
        <v/>
      </c>
      <c r="G1570" s="11" t="str">
        <f t="shared" si="1"/>
        <v/>
      </c>
      <c r="H1570" s="22"/>
      <c r="I1570" s="11"/>
      <c r="J1570" s="17" t="str">
        <f>IF(TRIM(B1570)="","",IF(ISNUMBER(SEARCH(" - ",B1570)),TRIM(RIGHT(B1570,LEN(B1570)-FIND(" - ",B1570)-2)),IFERROR(VLOOKUP(UPPER(TRIM(B1570)), SETUP!$B$4:$C$11, 2, FALSE), UPPER(TRIM(B1570)))))</f>
        <v/>
      </c>
      <c r="K1570" s="23" t="str">
        <f t="shared" si="2"/>
        <v/>
      </c>
      <c r="L1570" s="17" t="str">
        <f t="shared" si="3"/>
        <v/>
      </c>
      <c r="M1570" s="17" t="str">
        <f t="shared" si="4"/>
        <v/>
      </c>
    </row>
    <row r="1571" ht="15.75" customHeight="1">
      <c r="A1571" s="12"/>
      <c r="B1571" s="11"/>
      <c r="C1571" s="11"/>
      <c r="D1571" s="11"/>
      <c r="E1571" s="11" t="str">
        <f>IF(J1571="","", C1571 * IFERROR(VLOOKUP(J1571, SETUP!$A:$D, 3, FALSE), 0))</f>
        <v/>
      </c>
      <c r="F1571" s="11" t="str">
        <f>IF(J1571="","", C1571 * IFERROR(VLOOKUP(J1571, SETUP!$A:$D, 4, FALSE), 0))</f>
        <v/>
      </c>
      <c r="G1571" s="11" t="str">
        <f t="shared" si="1"/>
        <v/>
      </c>
      <c r="H1571" s="22"/>
      <c r="I1571" s="11"/>
      <c r="J1571" s="17" t="str">
        <f>IF(TRIM(B1571)="","",IF(ISNUMBER(SEARCH(" - ",B1571)),TRIM(RIGHT(B1571,LEN(B1571)-FIND(" - ",B1571)-2)),IFERROR(VLOOKUP(UPPER(TRIM(B1571)), SETUP!$B$4:$C$11, 2, FALSE), UPPER(TRIM(B1571)))))</f>
        <v/>
      </c>
      <c r="K1571" s="23" t="str">
        <f t="shared" si="2"/>
        <v/>
      </c>
      <c r="L1571" s="17" t="str">
        <f t="shared" si="3"/>
        <v/>
      </c>
      <c r="M1571" s="17" t="str">
        <f t="shared" si="4"/>
        <v/>
      </c>
    </row>
    <row r="1572" ht="15.75" customHeight="1">
      <c r="A1572" s="12"/>
      <c r="B1572" s="11"/>
      <c r="C1572" s="11"/>
      <c r="D1572" s="11"/>
      <c r="E1572" s="11" t="str">
        <f>IF(J1572="","", C1572 * IFERROR(VLOOKUP(J1572, SETUP!$A:$D, 3, FALSE), 0))</f>
        <v/>
      </c>
      <c r="F1572" s="11" t="str">
        <f>IF(J1572="","", C1572 * IFERROR(VLOOKUP(J1572, SETUP!$A:$D, 4, FALSE), 0))</f>
        <v/>
      </c>
      <c r="G1572" s="11" t="str">
        <f t="shared" si="1"/>
        <v/>
      </c>
      <c r="H1572" s="22"/>
      <c r="I1572" s="11"/>
      <c r="J1572" s="17" t="str">
        <f>IF(TRIM(B1572)="","",IF(ISNUMBER(SEARCH(" - ",B1572)),TRIM(RIGHT(B1572,LEN(B1572)-FIND(" - ",B1572)-2)),IFERROR(VLOOKUP(UPPER(TRIM(B1572)), SETUP!$B$4:$C$11, 2, FALSE), UPPER(TRIM(B1572)))))</f>
        <v/>
      </c>
      <c r="K1572" s="23" t="str">
        <f t="shared" si="2"/>
        <v/>
      </c>
      <c r="L1572" s="17" t="str">
        <f t="shared" si="3"/>
        <v/>
      </c>
      <c r="M1572" s="17" t="str">
        <f t="shared" si="4"/>
        <v/>
      </c>
    </row>
    <row r="1573" ht="15.75" customHeight="1">
      <c r="A1573" s="12"/>
      <c r="B1573" s="11"/>
      <c r="C1573" s="11"/>
      <c r="D1573" s="11"/>
      <c r="E1573" s="11" t="str">
        <f>IF(J1573="","", C1573 * IFERROR(VLOOKUP(J1573, SETUP!$A:$D, 3, FALSE), 0))</f>
        <v/>
      </c>
      <c r="F1573" s="11" t="str">
        <f>IF(J1573="","", C1573 * IFERROR(VLOOKUP(J1573, SETUP!$A:$D, 4, FALSE), 0))</f>
        <v/>
      </c>
      <c r="G1573" s="11" t="str">
        <f t="shared" si="1"/>
        <v/>
      </c>
      <c r="H1573" s="22"/>
      <c r="I1573" s="11"/>
      <c r="J1573" s="17" t="str">
        <f>IF(TRIM(B1573)="","",IF(ISNUMBER(SEARCH(" - ",B1573)),TRIM(RIGHT(B1573,LEN(B1573)-FIND(" - ",B1573)-2)),IFERROR(VLOOKUP(UPPER(TRIM(B1573)), SETUP!$B$4:$C$11, 2, FALSE), UPPER(TRIM(B1573)))))</f>
        <v/>
      </c>
      <c r="K1573" s="23" t="str">
        <f t="shared" si="2"/>
        <v/>
      </c>
      <c r="L1573" s="17" t="str">
        <f t="shared" si="3"/>
        <v/>
      </c>
      <c r="M1573" s="17" t="str">
        <f t="shared" si="4"/>
        <v/>
      </c>
    </row>
    <row r="1574" ht="15.75" customHeight="1">
      <c r="A1574" s="12"/>
      <c r="B1574" s="11"/>
      <c r="C1574" s="11"/>
      <c r="D1574" s="11"/>
      <c r="E1574" s="11" t="str">
        <f>IF(J1574="","", C1574 * IFERROR(VLOOKUP(J1574, SETUP!$A:$D, 3, FALSE), 0))</f>
        <v/>
      </c>
      <c r="F1574" s="11" t="str">
        <f>IF(J1574="","", C1574 * IFERROR(VLOOKUP(J1574, SETUP!$A:$D, 4, FALSE), 0))</f>
        <v/>
      </c>
      <c r="G1574" s="11" t="str">
        <f t="shared" si="1"/>
        <v/>
      </c>
      <c r="H1574" s="22"/>
      <c r="I1574" s="11"/>
      <c r="J1574" s="17" t="str">
        <f>IF(TRIM(B1574)="","",IF(ISNUMBER(SEARCH(" - ",B1574)),TRIM(RIGHT(B1574,LEN(B1574)-FIND(" - ",B1574)-2)),IFERROR(VLOOKUP(UPPER(TRIM(B1574)), SETUP!$B$4:$C$11, 2, FALSE), UPPER(TRIM(B1574)))))</f>
        <v/>
      </c>
      <c r="K1574" s="23" t="str">
        <f t="shared" si="2"/>
        <v/>
      </c>
      <c r="L1574" s="17" t="str">
        <f t="shared" si="3"/>
        <v/>
      </c>
      <c r="M1574" s="17" t="str">
        <f t="shared" si="4"/>
        <v/>
      </c>
    </row>
    <row r="1575" ht="15.75" customHeight="1">
      <c r="A1575" s="12"/>
      <c r="B1575" s="11"/>
      <c r="C1575" s="11"/>
      <c r="D1575" s="11"/>
      <c r="E1575" s="11" t="str">
        <f>IF(J1575="","", C1575 * IFERROR(VLOOKUP(J1575, SETUP!$A:$D, 3, FALSE), 0))</f>
        <v/>
      </c>
      <c r="F1575" s="11" t="str">
        <f>IF(J1575="","", C1575 * IFERROR(VLOOKUP(J1575, SETUP!$A:$D, 4, FALSE), 0))</f>
        <v/>
      </c>
      <c r="G1575" s="11" t="str">
        <f t="shared" si="1"/>
        <v/>
      </c>
      <c r="H1575" s="22"/>
      <c r="I1575" s="11"/>
      <c r="J1575" s="17" t="str">
        <f>IF(TRIM(B1575)="","",IF(ISNUMBER(SEARCH(" - ",B1575)),TRIM(RIGHT(B1575,LEN(B1575)-FIND(" - ",B1575)-2)),IFERROR(VLOOKUP(UPPER(TRIM(B1575)), SETUP!$B$4:$C$11, 2, FALSE), UPPER(TRIM(B1575)))))</f>
        <v/>
      </c>
      <c r="K1575" s="23" t="str">
        <f t="shared" si="2"/>
        <v/>
      </c>
      <c r="L1575" s="17" t="str">
        <f t="shared" si="3"/>
        <v/>
      </c>
      <c r="M1575" s="17" t="str">
        <f t="shared" si="4"/>
        <v/>
      </c>
    </row>
    <row r="1576" ht="15.75" customHeight="1">
      <c r="A1576" s="12"/>
      <c r="B1576" s="11"/>
      <c r="C1576" s="11"/>
      <c r="D1576" s="11"/>
      <c r="E1576" s="11" t="str">
        <f>IF(J1576="","", C1576 * IFERROR(VLOOKUP(J1576, SETUP!$A:$D, 3, FALSE), 0))</f>
        <v/>
      </c>
      <c r="F1576" s="11" t="str">
        <f>IF(J1576="","", C1576 * IFERROR(VLOOKUP(J1576, SETUP!$A:$D, 4, FALSE), 0))</f>
        <v/>
      </c>
      <c r="G1576" s="11" t="str">
        <f t="shared" si="1"/>
        <v/>
      </c>
      <c r="H1576" s="22"/>
      <c r="I1576" s="11"/>
      <c r="J1576" s="17" t="str">
        <f>IF(TRIM(B1576)="","",IF(ISNUMBER(SEARCH(" - ",B1576)),TRIM(RIGHT(B1576,LEN(B1576)-FIND(" - ",B1576)-2)),IFERROR(VLOOKUP(UPPER(TRIM(B1576)), SETUP!$B$4:$C$11, 2, FALSE), UPPER(TRIM(B1576)))))</f>
        <v/>
      </c>
      <c r="K1576" s="23" t="str">
        <f t="shared" si="2"/>
        <v/>
      </c>
      <c r="L1576" s="17" t="str">
        <f t="shared" si="3"/>
        <v/>
      </c>
      <c r="M1576" s="17" t="str">
        <f t="shared" si="4"/>
        <v/>
      </c>
    </row>
    <row r="1577" ht="15.75" customHeight="1">
      <c r="A1577" s="12"/>
      <c r="B1577" s="11"/>
      <c r="C1577" s="11"/>
      <c r="D1577" s="11"/>
      <c r="E1577" s="11" t="str">
        <f>IF(J1577="","", C1577 * IFERROR(VLOOKUP(J1577, SETUP!$A:$D, 3, FALSE), 0))</f>
        <v/>
      </c>
      <c r="F1577" s="11" t="str">
        <f>IF(J1577="","", C1577 * IFERROR(VLOOKUP(J1577, SETUP!$A:$D, 4, FALSE), 0))</f>
        <v/>
      </c>
      <c r="G1577" s="11" t="str">
        <f t="shared" si="1"/>
        <v/>
      </c>
      <c r="H1577" s="22"/>
      <c r="I1577" s="11"/>
      <c r="J1577" s="17" t="str">
        <f>IF(TRIM(B1577)="","",IF(ISNUMBER(SEARCH(" - ",B1577)),TRIM(RIGHT(B1577,LEN(B1577)-FIND(" - ",B1577)-2)),IFERROR(VLOOKUP(UPPER(TRIM(B1577)), SETUP!$B$4:$C$11, 2, FALSE), UPPER(TRIM(B1577)))))</f>
        <v/>
      </c>
      <c r="K1577" s="23" t="str">
        <f t="shared" si="2"/>
        <v/>
      </c>
      <c r="L1577" s="17" t="str">
        <f t="shared" si="3"/>
        <v/>
      </c>
      <c r="M1577" s="17" t="str">
        <f t="shared" si="4"/>
        <v/>
      </c>
    </row>
    <row r="1578" ht="15.75" customHeight="1">
      <c r="A1578" s="12"/>
      <c r="B1578" s="11"/>
      <c r="C1578" s="11"/>
      <c r="D1578" s="11"/>
      <c r="E1578" s="11" t="str">
        <f>IF(J1578="","", C1578 * IFERROR(VLOOKUP(J1578, SETUP!$A:$D, 3, FALSE), 0))</f>
        <v/>
      </c>
      <c r="F1578" s="11" t="str">
        <f>IF(J1578="","", C1578 * IFERROR(VLOOKUP(J1578, SETUP!$A:$D, 4, FALSE), 0))</f>
        <v/>
      </c>
      <c r="G1578" s="11" t="str">
        <f t="shared" si="1"/>
        <v/>
      </c>
      <c r="H1578" s="22"/>
      <c r="I1578" s="11"/>
      <c r="J1578" s="17" t="str">
        <f>IF(TRIM(B1578)="","",IF(ISNUMBER(SEARCH(" - ",B1578)),TRIM(RIGHT(B1578,LEN(B1578)-FIND(" - ",B1578)-2)),IFERROR(VLOOKUP(UPPER(TRIM(B1578)), SETUP!$B$4:$C$11, 2, FALSE), UPPER(TRIM(B1578)))))</f>
        <v/>
      </c>
      <c r="K1578" s="23" t="str">
        <f t="shared" si="2"/>
        <v/>
      </c>
      <c r="L1578" s="17" t="str">
        <f t="shared" si="3"/>
        <v/>
      </c>
      <c r="M1578" s="17" t="str">
        <f t="shared" si="4"/>
        <v/>
      </c>
    </row>
    <row r="1579" ht="15.75" customHeight="1">
      <c r="A1579" s="12"/>
      <c r="B1579" s="11"/>
      <c r="C1579" s="11"/>
      <c r="D1579" s="11"/>
      <c r="E1579" s="11" t="str">
        <f>IF(J1579="","", C1579 * IFERROR(VLOOKUP(J1579, SETUP!$A:$D, 3, FALSE), 0))</f>
        <v/>
      </c>
      <c r="F1579" s="11" t="str">
        <f>IF(J1579="","", C1579 * IFERROR(VLOOKUP(J1579, SETUP!$A:$D, 4, FALSE), 0))</f>
        <v/>
      </c>
      <c r="G1579" s="11" t="str">
        <f t="shared" si="1"/>
        <v/>
      </c>
      <c r="H1579" s="22"/>
      <c r="I1579" s="11"/>
      <c r="J1579" s="17" t="str">
        <f>IF(TRIM(B1579)="","",IF(ISNUMBER(SEARCH(" - ",B1579)),TRIM(RIGHT(B1579,LEN(B1579)-FIND(" - ",B1579)-2)),IFERROR(VLOOKUP(UPPER(TRIM(B1579)), SETUP!$B$4:$C$11, 2, FALSE), UPPER(TRIM(B1579)))))</f>
        <v/>
      </c>
      <c r="K1579" s="23" t="str">
        <f t="shared" si="2"/>
        <v/>
      </c>
      <c r="L1579" s="17" t="str">
        <f t="shared" si="3"/>
        <v/>
      </c>
      <c r="M1579" s="17" t="str">
        <f t="shared" si="4"/>
        <v/>
      </c>
    </row>
    <row r="1580" ht="15.75" customHeight="1">
      <c r="A1580" s="12"/>
      <c r="B1580" s="11"/>
      <c r="C1580" s="11"/>
      <c r="D1580" s="11"/>
      <c r="E1580" s="11" t="str">
        <f>IF(J1580="","", C1580 * IFERROR(VLOOKUP(J1580, SETUP!$A:$D, 3, FALSE), 0))</f>
        <v/>
      </c>
      <c r="F1580" s="11" t="str">
        <f>IF(J1580="","", C1580 * IFERROR(VLOOKUP(J1580, SETUP!$A:$D, 4, FALSE), 0))</f>
        <v/>
      </c>
      <c r="G1580" s="11" t="str">
        <f t="shared" si="1"/>
        <v/>
      </c>
      <c r="H1580" s="22"/>
      <c r="I1580" s="11"/>
      <c r="J1580" s="17" t="str">
        <f>IF(TRIM(B1580)="","",IF(ISNUMBER(SEARCH(" - ",B1580)),TRIM(RIGHT(B1580,LEN(B1580)-FIND(" - ",B1580)-2)),IFERROR(VLOOKUP(UPPER(TRIM(B1580)), SETUP!$B$4:$C$11, 2, FALSE), UPPER(TRIM(B1580)))))</f>
        <v/>
      </c>
      <c r="K1580" s="23" t="str">
        <f t="shared" si="2"/>
        <v/>
      </c>
      <c r="L1580" s="17" t="str">
        <f t="shared" si="3"/>
        <v/>
      </c>
      <c r="M1580" s="17" t="str">
        <f t="shared" si="4"/>
        <v/>
      </c>
    </row>
    <row r="1581" ht="15.75" customHeight="1">
      <c r="A1581" s="12"/>
      <c r="B1581" s="11"/>
      <c r="C1581" s="11"/>
      <c r="D1581" s="11"/>
      <c r="E1581" s="11" t="str">
        <f>IF(J1581="","", C1581 * IFERROR(VLOOKUP(J1581, SETUP!$A:$D, 3, FALSE), 0))</f>
        <v/>
      </c>
      <c r="F1581" s="11" t="str">
        <f>IF(J1581="","", C1581 * IFERROR(VLOOKUP(J1581, SETUP!$A:$D, 4, FALSE), 0))</f>
        <v/>
      </c>
      <c r="G1581" s="11" t="str">
        <f t="shared" si="1"/>
        <v/>
      </c>
      <c r="H1581" s="22"/>
      <c r="I1581" s="11"/>
      <c r="J1581" s="17" t="str">
        <f>IF(TRIM(B1581)="","",IF(ISNUMBER(SEARCH(" - ",B1581)),TRIM(RIGHT(B1581,LEN(B1581)-FIND(" - ",B1581)-2)),IFERROR(VLOOKUP(UPPER(TRIM(B1581)), SETUP!$B$4:$C$11, 2, FALSE), UPPER(TRIM(B1581)))))</f>
        <v/>
      </c>
      <c r="K1581" s="23" t="str">
        <f t="shared" si="2"/>
        <v/>
      </c>
      <c r="L1581" s="17" t="str">
        <f t="shared" si="3"/>
        <v/>
      </c>
      <c r="M1581" s="17" t="str">
        <f t="shared" si="4"/>
        <v/>
      </c>
    </row>
    <row r="1582" ht="15.75" customHeight="1">
      <c r="A1582" s="12"/>
      <c r="B1582" s="11"/>
      <c r="C1582" s="11"/>
      <c r="D1582" s="11"/>
      <c r="E1582" s="11" t="str">
        <f>IF(J1582="","", C1582 * IFERROR(VLOOKUP(J1582, SETUP!$A:$D, 3, FALSE), 0))</f>
        <v/>
      </c>
      <c r="F1582" s="11" t="str">
        <f>IF(J1582="","", C1582 * IFERROR(VLOOKUP(J1582, SETUP!$A:$D, 4, FALSE), 0))</f>
        <v/>
      </c>
      <c r="G1582" s="11" t="str">
        <f t="shared" si="1"/>
        <v/>
      </c>
      <c r="H1582" s="22"/>
      <c r="I1582" s="11"/>
      <c r="J1582" s="17" t="str">
        <f>IF(TRIM(B1582)="","",IF(ISNUMBER(SEARCH(" - ",B1582)),TRIM(RIGHT(B1582,LEN(B1582)-FIND(" - ",B1582)-2)),IFERROR(VLOOKUP(UPPER(TRIM(B1582)), SETUP!$B$4:$C$11, 2, FALSE), UPPER(TRIM(B1582)))))</f>
        <v/>
      </c>
      <c r="K1582" s="23" t="str">
        <f t="shared" si="2"/>
        <v/>
      </c>
      <c r="L1582" s="17" t="str">
        <f t="shared" si="3"/>
        <v/>
      </c>
      <c r="M1582" s="17" t="str">
        <f t="shared" si="4"/>
        <v/>
      </c>
    </row>
    <row r="1583" ht="15.75" customHeight="1">
      <c r="A1583" s="12"/>
      <c r="B1583" s="11"/>
      <c r="C1583" s="11"/>
      <c r="D1583" s="11"/>
      <c r="E1583" s="11" t="str">
        <f>IF(J1583="","", C1583 * IFERROR(VLOOKUP(J1583, SETUP!$A:$D, 3, FALSE), 0))</f>
        <v/>
      </c>
      <c r="F1583" s="11" t="str">
        <f>IF(J1583="","", C1583 * IFERROR(VLOOKUP(J1583, SETUP!$A:$D, 4, FALSE), 0))</f>
        <v/>
      </c>
      <c r="G1583" s="11" t="str">
        <f t="shared" si="1"/>
        <v/>
      </c>
      <c r="H1583" s="22"/>
      <c r="I1583" s="11"/>
      <c r="J1583" s="17" t="str">
        <f>IF(TRIM(B1583)="","",IF(ISNUMBER(SEARCH(" - ",B1583)),TRIM(RIGHT(B1583,LEN(B1583)-FIND(" - ",B1583)-2)),IFERROR(VLOOKUP(UPPER(TRIM(B1583)), SETUP!$B$4:$C$11, 2, FALSE), UPPER(TRIM(B1583)))))</f>
        <v/>
      </c>
      <c r="K1583" s="23" t="str">
        <f t="shared" si="2"/>
        <v/>
      </c>
      <c r="L1583" s="17" t="str">
        <f t="shared" si="3"/>
        <v/>
      </c>
      <c r="M1583" s="17" t="str">
        <f t="shared" si="4"/>
        <v/>
      </c>
    </row>
    <row r="1584" ht="15.75" customHeight="1">
      <c r="A1584" s="12"/>
      <c r="B1584" s="11"/>
      <c r="C1584" s="11"/>
      <c r="D1584" s="11"/>
      <c r="E1584" s="11" t="str">
        <f>IF(J1584="","", C1584 * IFERROR(VLOOKUP(J1584, SETUP!$A:$D, 3, FALSE), 0))</f>
        <v/>
      </c>
      <c r="F1584" s="11" t="str">
        <f>IF(J1584="","", C1584 * IFERROR(VLOOKUP(J1584, SETUP!$A:$D, 4, FALSE), 0))</f>
        <v/>
      </c>
      <c r="G1584" s="11" t="str">
        <f t="shared" si="1"/>
        <v/>
      </c>
      <c r="H1584" s="22"/>
      <c r="I1584" s="11"/>
      <c r="J1584" s="17" t="str">
        <f>IF(TRIM(B1584)="","",IF(ISNUMBER(SEARCH(" - ",B1584)),TRIM(RIGHT(B1584,LEN(B1584)-FIND(" - ",B1584)-2)),IFERROR(VLOOKUP(UPPER(TRIM(B1584)), SETUP!$B$4:$C$11, 2, FALSE), UPPER(TRIM(B1584)))))</f>
        <v/>
      </c>
      <c r="K1584" s="23" t="str">
        <f t="shared" si="2"/>
        <v/>
      </c>
      <c r="L1584" s="17" t="str">
        <f t="shared" si="3"/>
        <v/>
      </c>
      <c r="M1584" s="17" t="str">
        <f t="shared" si="4"/>
        <v/>
      </c>
    </row>
    <row r="1585" ht="15.75" customHeight="1">
      <c r="A1585" s="12"/>
      <c r="B1585" s="11"/>
      <c r="C1585" s="11"/>
      <c r="D1585" s="11"/>
      <c r="E1585" s="11" t="str">
        <f>IF(J1585="","", C1585 * IFERROR(VLOOKUP(J1585, SETUP!$A:$D, 3, FALSE), 0))</f>
        <v/>
      </c>
      <c r="F1585" s="11" t="str">
        <f>IF(J1585="","", C1585 * IFERROR(VLOOKUP(J1585, SETUP!$A:$D, 4, FALSE), 0))</f>
        <v/>
      </c>
      <c r="G1585" s="11" t="str">
        <f t="shared" si="1"/>
        <v/>
      </c>
      <c r="H1585" s="22"/>
      <c r="I1585" s="11"/>
      <c r="J1585" s="17" t="str">
        <f>IF(TRIM(B1585)="","",IF(ISNUMBER(SEARCH(" - ",B1585)),TRIM(RIGHT(B1585,LEN(B1585)-FIND(" - ",B1585)-2)),IFERROR(VLOOKUP(UPPER(TRIM(B1585)), SETUP!$B$4:$C$11, 2, FALSE), UPPER(TRIM(B1585)))))</f>
        <v/>
      </c>
      <c r="K1585" s="23" t="str">
        <f t="shared" si="2"/>
        <v/>
      </c>
      <c r="L1585" s="17" t="str">
        <f t="shared" si="3"/>
        <v/>
      </c>
      <c r="M1585" s="17" t="str">
        <f t="shared" si="4"/>
        <v/>
      </c>
    </row>
    <row r="1586" ht="15.75" customHeight="1">
      <c r="A1586" s="12"/>
      <c r="B1586" s="11"/>
      <c r="C1586" s="11"/>
      <c r="D1586" s="11"/>
      <c r="E1586" s="11" t="str">
        <f>IF(J1586="","", C1586 * IFERROR(VLOOKUP(J1586, SETUP!$A:$D, 3, FALSE), 0))</f>
        <v/>
      </c>
      <c r="F1586" s="11" t="str">
        <f>IF(J1586="","", C1586 * IFERROR(VLOOKUP(J1586, SETUP!$A:$D, 4, FALSE), 0))</f>
        <v/>
      </c>
      <c r="G1586" s="11" t="str">
        <f t="shared" si="1"/>
        <v/>
      </c>
      <c r="H1586" s="22"/>
      <c r="I1586" s="11"/>
      <c r="J1586" s="17" t="str">
        <f>IF(TRIM(B1586)="","",IF(ISNUMBER(SEARCH(" - ",B1586)),TRIM(RIGHT(B1586,LEN(B1586)-FIND(" - ",B1586)-2)),IFERROR(VLOOKUP(UPPER(TRIM(B1586)), SETUP!$B$4:$C$11, 2, FALSE), UPPER(TRIM(B1586)))))</f>
        <v/>
      </c>
      <c r="K1586" s="23" t="str">
        <f t="shared" si="2"/>
        <v/>
      </c>
      <c r="L1586" s="17" t="str">
        <f t="shared" si="3"/>
        <v/>
      </c>
      <c r="M1586" s="17" t="str">
        <f t="shared" si="4"/>
        <v/>
      </c>
    </row>
    <row r="1587" ht="15.75" customHeight="1">
      <c r="A1587" s="12"/>
      <c r="B1587" s="11"/>
      <c r="C1587" s="11"/>
      <c r="D1587" s="11"/>
      <c r="E1587" s="11" t="str">
        <f>IF(J1587="","", C1587 * IFERROR(VLOOKUP(J1587, SETUP!$A:$D, 3, FALSE), 0))</f>
        <v/>
      </c>
      <c r="F1587" s="11" t="str">
        <f>IF(J1587="","", C1587 * IFERROR(VLOOKUP(J1587, SETUP!$A:$D, 4, FALSE), 0))</f>
        <v/>
      </c>
      <c r="G1587" s="11" t="str">
        <f t="shared" si="1"/>
        <v/>
      </c>
      <c r="H1587" s="22"/>
      <c r="I1587" s="11"/>
      <c r="J1587" s="17" t="str">
        <f>IF(TRIM(B1587)="","",IF(ISNUMBER(SEARCH(" - ",B1587)),TRIM(RIGHT(B1587,LEN(B1587)-FIND(" - ",B1587)-2)),IFERROR(VLOOKUP(UPPER(TRIM(B1587)), SETUP!$B$4:$C$11, 2, FALSE), UPPER(TRIM(B1587)))))</f>
        <v/>
      </c>
      <c r="K1587" s="23" t="str">
        <f t="shared" si="2"/>
        <v/>
      </c>
      <c r="L1587" s="17" t="str">
        <f t="shared" si="3"/>
        <v/>
      </c>
      <c r="M1587" s="17" t="str">
        <f t="shared" si="4"/>
        <v/>
      </c>
    </row>
    <row r="1588" ht="15.75" customHeight="1">
      <c r="A1588" s="12"/>
      <c r="B1588" s="11"/>
      <c r="C1588" s="11"/>
      <c r="D1588" s="11"/>
      <c r="E1588" s="11" t="str">
        <f>IF(J1588="","", C1588 * IFERROR(VLOOKUP(J1588, SETUP!$A:$D, 3, FALSE), 0))</f>
        <v/>
      </c>
      <c r="F1588" s="11" t="str">
        <f>IF(J1588="","", C1588 * IFERROR(VLOOKUP(J1588, SETUP!$A:$D, 4, FALSE), 0))</f>
        <v/>
      </c>
      <c r="G1588" s="11" t="str">
        <f t="shared" si="1"/>
        <v/>
      </c>
      <c r="H1588" s="22"/>
      <c r="I1588" s="11"/>
      <c r="J1588" s="17" t="str">
        <f>IF(TRIM(B1588)="","",IF(ISNUMBER(SEARCH(" - ",B1588)),TRIM(RIGHT(B1588,LEN(B1588)-FIND(" - ",B1588)-2)),IFERROR(VLOOKUP(UPPER(TRIM(B1588)), SETUP!$B$4:$C$11, 2, FALSE), UPPER(TRIM(B1588)))))</f>
        <v/>
      </c>
      <c r="K1588" s="23" t="str">
        <f t="shared" si="2"/>
        <v/>
      </c>
      <c r="L1588" s="17" t="str">
        <f t="shared" si="3"/>
        <v/>
      </c>
      <c r="M1588" s="17" t="str">
        <f t="shared" si="4"/>
        <v/>
      </c>
    </row>
    <row r="1589" ht="15.75" customHeight="1">
      <c r="A1589" s="12"/>
      <c r="B1589" s="11"/>
      <c r="C1589" s="11"/>
      <c r="D1589" s="11"/>
      <c r="E1589" s="11" t="str">
        <f>IF(J1589="","", C1589 * IFERROR(VLOOKUP(J1589, SETUP!$A:$D, 3, FALSE), 0))</f>
        <v/>
      </c>
      <c r="F1589" s="11" t="str">
        <f>IF(J1589="","", C1589 * IFERROR(VLOOKUP(J1589, SETUP!$A:$D, 4, FALSE), 0))</f>
        <v/>
      </c>
      <c r="G1589" s="11" t="str">
        <f t="shared" si="1"/>
        <v/>
      </c>
      <c r="H1589" s="22"/>
      <c r="I1589" s="11"/>
      <c r="J1589" s="17" t="str">
        <f>IF(TRIM(B1589)="","",IF(ISNUMBER(SEARCH(" - ",B1589)),TRIM(RIGHT(B1589,LEN(B1589)-FIND(" - ",B1589)-2)),IFERROR(VLOOKUP(UPPER(TRIM(B1589)), SETUP!$B$4:$C$11, 2, FALSE), UPPER(TRIM(B1589)))))</f>
        <v/>
      </c>
      <c r="K1589" s="23" t="str">
        <f t="shared" si="2"/>
        <v/>
      </c>
      <c r="L1589" s="17" t="str">
        <f t="shared" si="3"/>
        <v/>
      </c>
      <c r="M1589" s="17" t="str">
        <f t="shared" si="4"/>
        <v/>
      </c>
    </row>
    <row r="1590" ht="15.75" customHeight="1">
      <c r="A1590" s="12"/>
      <c r="B1590" s="11"/>
      <c r="C1590" s="11"/>
      <c r="D1590" s="11"/>
      <c r="E1590" s="11" t="str">
        <f>IF(J1590="","", C1590 * IFERROR(VLOOKUP(J1590, SETUP!$A:$D, 3, FALSE), 0))</f>
        <v/>
      </c>
      <c r="F1590" s="11" t="str">
        <f>IF(J1590="","", C1590 * IFERROR(VLOOKUP(J1590, SETUP!$A:$D, 4, FALSE), 0))</f>
        <v/>
      </c>
      <c r="G1590" s="11" t="str">
        <f t="shared" si="1"/>
        <v/>
      </c>
      <c r="H1590" s="22"/>
      <c r="I1590" s="11"/>
      <c r="J1590" s="17" t="str">
        <f>IF(TRIM(B1590)="","",IF(ISNUMBER(SEARCH(" - ",B1590)),TRIM(RIGHT(B1590,LEN(B1590)-FIND(" - ",B1590)-2)),IFERROR(VLOOKUP(UPPER(TRIM(B1590)), SETUP!$B$4:$C$11, 2, FALSE), UPPER(TRIM(B1590)))))</f>
        <v/>
      </c>
      <c r="K1590" s="23" t="str">
        <f t="shared" si="2"/>
        <v/>
      </c>
      <c r="L1590" s="17" t="str">
        <f t="shared" si="3"/>
        <v/>
      </c>
      <c r="M1590" s="17" t="str">
        <f t="shared" si="4"/>
        <v/>
      </c>
    </row>
    <row r="1591" ht="15.75" customHeight="1">
      <c r="A1591" s="12"/>
      <c r="B1591" s="11"/>
      <c r="C1591" s="11"/>
      <c r="D1591" s="11"/>
      <c r="E1591" s="11" t="str">
        <f>IF(J1591="","", C1591 * IFERROR(VLOOKUP(J1591, SETUP!$A:$D, 3, FALSE), 0))</f>
        <v/>
      </c>
      <c r="F1591" s="11" t="str">
        <f>IF(J1591="","", C1591 * IFERROR(VLOOKUP(J1591, SETUP!$A:$D, 4, FALSE), 0))</f>
        <v/>
      </c>
      <c r="G1591" s="11" t="str">
        <f t="shared" si="1"/>
        <v/>
      </c>
      <c r="H1591" s="22"/>
      <c r="I1591" s="11"/>
      <c r="J1591" s="17" t="str">
        <f>IF(TRIM(B1591)="","",IF(ISNUMBER(SEARCH(" - ",B1591)),TRIM(RIGHT(B1591,LEN(B1591)-FIND(" - ",B1591)-2)),IFERROR(VLOOKUP(UPPER(TRIM(B1591)), SETUP!$B$4:$C$11, 2, FALSE), UPPER(TRIM(B1591)))))</f>
        <v/>
      </c>
      <c r="K1591" s="23" t="str">
        <f t="shared" si="2"/>
        <v/>
      </c>
      <c r="L1591" s="17" t="str">
        <f t="shared" si="3"/>
        <v/>
      </c>
      <c r="M1591" s="17" t="str">
        <f t="shared" si="4"/>
        <v/>
      </c>
    </row>
    <row r="1592" ht="15.75" customHeight="1">
      <c r="A1592" s="12"/>
      <c r="B1592" s="11"/>
      <c r="C1592" s="11"/>
      <c r="D1592" s="11"/>
      <c r="E1592" s="11" t="str">
        <f>IF(J1592="","", C1592 * IFERROR(VLOOKUP(J1592, SETUP!$A:$D, 3, FALSE), 0))</f>
        <v/>
      </c>
      <c r="F1592" s="11" t="str">
        <f>IF(J1592="","", C1592 * IFERROR(VLOOKUP(J1592, SETUP!$A:$D, 4, FALSE), 0))</f>
        <v/>
      </c>
      <c r="G1592" s="11" t="str">
        <f t="shared" si="1"/>
        <v/>
      </c>
      <c r="H1592" s="22"/>
      <c r="I1592" s="11"/>
      <c r="J1592" s="17" t="str">
        <f>IF(TRIM(B1592)="","",IF(ISNUMBER(SEARCH(" - ",B1592)),TRIM(RIGHT(B1592,LEN(B1592)-FIND(" - ",B1592)-2)),IFERROR(VLOOKUP(UPPER(TRIM(B1592)), SETUP!$B$4:$C$11, 2, FALSE), UPPER(TRIM(B1592)))))</f>
        <v/>
      </c>
      <c r="K1592" s="23" t="str">
        <f t="shared" si="2"/>
        <v/>
      </c>
      <c r="L1592" s="17" t="str">
        <f t="shared" si="3"/>
        <v/>
      </c>
      <c r="M1592" s="17" t="str">
        <f t="shared" si="4"/>
        <v/>
      </c>
    </row>
    <row r="1593" ht="15.75" customHeight="1">
      <c r="A1593" s="12"/>
      <c r="B1593" s="11"/>
      <c r="C1593" s="11"/>
      <c r="D1593" s="11"/>
      <c r="E1593" s="11" t="str">
        <f>IF(J1593="","", C1593 * IFERROR(VLOOKUP(J1593, SETUP!$A:$D, 3, FALSE), 0))</f>
        <v/>
      </c>
      <c r="F1593" s="11" t="str">
        <f>IF(J1593="","", C1593 * IFERROR(VLOOKUP(J1593, SETUP!$A:$D, 4, FALSE), 0))</f>
        <v/>
      </c>
      <c r="G1593" s="11" t="str">
        <f t="shared" si="1"/>
        <v/>
      </c>
      <c r="H1593" s="22"/>
      <c r="I1593" s="11"/>
      <c r="J1593" s="17" t="str">
        <f>IF(TRIM(B1593)="","",IF(ISNUMBER(SEARCH(" - ",B1593)),TRIM(RIGHT(B1593,LEN(B1593)-FIND(" - ",B1593)-2)),IFERROR(VLOOKUP(UPPER(TRIM(B1593)), SETUP!$B$4:$C$11, 2, FALSE), UPPER(TRIM(B1593)))))</f>
        <v/>
      </c>
      <c r="K1593" s="23" t="str">
        <f t="shared" si="2"/>
        <v/>
      </c>
      <c r="L1593" s="17" t="str">
        <f t="shared" si="3"/>
        <v/>
      </c>
      <c r="M1593" s="17" t="str">
        <f t="shared" si="4"/>
        <v/>
      </c>
    </row>
    <row r="1594" ht="15.75" customHeight="1">
      <c r="A1594" s="12"/>
      <c r="B1594" s="11"/>
      <c r="C1594" s="11"/>
      <c r="D1594" s="11"/>
      <c r="E1594" s="11" t="str">
        <f>IF(J1594="","", C1594 * IFERROR(VLOOKUP(J1594, SETUP!$A:$D, 3, FALSE), 0))</f>
        <v/>
      </c>
      <c r="F1594" s="11" t="str">
        <f>IF(J1594="","", C1594 * IFERROR(VLOOKUP(J1594, SETUP!$A:$D, 4, FALSE), 0))</f>
        <v/>
      </c>
      <c r="G1594" s="11" t="str">
        <f t="shared" si="1"/>
        <v/>
      </c>
      <c r="H1594" s="22"/>
      <c r="I1594" s="11"/>
      <c r="J1594" s="17" t="str">
        <f>IF(TRIM(B1594)="","",IF(ISNUMBER(SEARCH(" - ",B1594)),TRIM(RIGHT(B1594,LEN(B1594)-FIND(" - ",B1594)-2)),IFERROR(VLOOKUP(UPPER(TRIM(B1594)), SETUP!$B$4:$C$11, 2, FALSE), UPPER(TRIM(B1594)))))</f>
        <v/>
      </c>
      <c r="K1594" s="23" t="str">
        <f t="shared" si="2"/>
        <v/>
      </c>
      <c r="L1594" s="17" t="str">
        <f t="shared" si="3"/>
        <v/>
      </c>
      <c r="M1594" s="17" t="str">
        <f t="shared" si="4"/>
        <v/>
      </c>
    </row>
    <row r="1595" ht="15.75" customHeight="1">
      <c r="A1595" s="12"/>
      <c r="B1595" s="11"/>
      <c r="C1595" s="11"/>
      <c r="D1595" s="11"/>
      <c r="E1595" s="11" t="str">
        <f>IF(J1595="","", C1595 * IFERROR(VLOOKUP(J1595, SETUP!$A:$D, 3, FALSE), 0))</f>
        <v/>
      </c>
      <c r="F1595" s="11" t="str">
        <f>IF(J1595="","", C1595 * IFERROR(VLOOKUP(J1595, SETUP!$A:$D, 4, FALSE), 0))</f>
        <v/>
      </c>
      <c r="G1595" s="11" t="str">
        <f t="shared" si="1"/>
        <v/>
      </c>
      <c r="H1595" s="22"/>
      <c r="I1595" s="11"/>
      <c r="J1595" s="17" t="str">
        <f>IF(TRIM(B1595)="","",IF(ISNUMBER(SEARCH(" - ",B1595)),TRIM(RIGHT(B1595,LEN(B1595)-FIND(" - ",B1595)-2)),IFERROR(VLOOKUP(UPPER(TRIM(B1595)), SETUP!$B$4:$C$11, 2, FALSE), UPPER(TRIM(B1595)))))</f>
        <v/>
      </c>
      <c r="K1595" s="23" t="str">
        <f t="shared" si="2"/>
        <v/>
      </c>
      <c r="L1595" s="17" t="str">
        <f t="shared" si="3"/>
        <v/>
      </c>
      <c r="M1595" s="17" t="str">
        <f t="shared" si="4"/>
        <v/>
      </c>
    </row>
    <row r="1596" ht="15.75" customHeight="1">
      <c r="A1596" s="12"/>
      <c r="B1596" s="11"/>
      <c r="C1596" s="11"/>
      <c r="D1596" s="11"/>
      <c r="E1596" s="11" t="str">
        <f>IF(J1596="","", C1596 * IFERROR(VLOOKUP(J1596, SETUP!$A:$D, 3, FALSE), 0))</f>
        <v/>
      </c>
      <c r="F1596" s="11" t="str">
        <f>IF(J1596="","", C1596 * IFERROR(VLOOKUP(J1596, SETUP!$A:$D, 4, FALSE), 0))</f>
        <v/>
      </c>
      <c r="G1596" s="11" t="str">
        <f t="shared" si="1"/>
        <v/>
      </c>
      <c r="H1596" s="22"/>
      <c r="I1596" s="11"/>
      <c r="J1596" s="17" t="str">
        <f>IF(TRIM(B1596)="","",IF(ISNUMBER(SEARCH(" - ",B1596)),TRIM(RIGHT(B1596,LEN(B1596)-FIND(" - ",B1596)-2)),IFERROR(VLOOKUP(UPPER(TRIM(B1596)), SETUP!$B$4:$C$11, 2, FALSE), UPPER(TRIM(B1596)))))</f>
        <v/>
      </c>
      <c r="K1596" s="23" t="str">
        <f t="shared" si="2"/>
        <v/>
      </c>
      <c r="L1596" s="17" t="str">
        <f t="shared" si="3"/>
        <v/>
      </c>
      <c r="M1596" s="17" t="str">
        <f t="shared" si="4"/>
        <v/>
      </c>
    </row>
    <row r="1597" ht="15.75" customHeight="1">
      <c r="A1597" s="12"/>
      <c r="B1597" s="11"/>
      <c r="C1597" s="11"/>
      <c r="D1597" s="11"/>
      <c r="E1597" s="11" t="str">
        <f>IF(J1597="","", C1597 * IFERROR(VLOOKUP(J1597, SETUP!$A:$D, 3, FALSE), 0))</f>
        <v/>
      </c>
      <c r="F1597" s="11" t="str">
        <f>IF(J1597="","", C1597 * IFERROR(VLOOKUP(J1597, SETUP!$A:$D, 4, FALSE), 0))</f>
        <v/>
      </c>
      <c r="G1597" s="11" t="str">
        <f t="shared" si="1"/>
        <v/>
      </c>
      <c r="H1597" s="22"/>
      <c r="I1597" s="11"/>
      <c r="J1597" s="17" t="str">
        <f>IF(TRIM(B1597)="","",IF(ISNUMBER(SEARCH(" - ",B1597)),TRIM(RIGHT(B1597,LEN(B1597)-FIND(" - ",B1597)-2)),IFERROR(VLOOKUP(UPPER(TRIM(B1597)), SETUP!$B$4:$C$11, 2, FALSE), UPPER(TRIM(B1597)))))</f>
        <v/>
      </c>
      <c r="K1597" s="23" t="str">
        <f t="shared" si="2"/>
        <v/>
      </c>
      <c r="L1597" s="17" t="str">
        <f t="shared" si="3"/>
        <v/>
      </c>
      <c r="M1597" s="17" t="str">
        <f t="shared" si="4"/>
        <v/>
      </c>
    </row>
    <row r="1598" ht="15.75" customHeight="1">
      <c r="A1598" s="12"/>
      <c r="B1598" s="11"/>
      <c r="C1598" s="11"/>
      <c r="D1598" s="11"/>
      <c r="E1598" s="11" t="str">
        <f>IF(J1598="","", C1598 * IFERROR(VLOOKUP(J1598, SETUP!$A:$D, 3, FALSE), 0))</f>
        <v/>
      </c>
      <c r="F1598" s="11" t="str">
        <f>IF(J1598="","", C1598 * IFERROR(VLOOKUP(J1598, SETUP!$A:$D, 4, FALSE), 0))</f>
        <v/>
      </c>
      <c r="G1598" s="11" t="str">
        <f t="shared" si="1"/>
        <v/>
      </c>
      <c r="H1598" s="22"/>
      <c r="I1598" s="11"/>
      <c r="J1598" s="17" t="str">
        <f>IF(TRIM(B1598)="","",IF(ISNUMBER(SEARCH(" - ",B1598)),TRIM(RIGHT(B1598,LEN(B1598)-FIND(" - ",B1598)-2)),IFERROR(VLOOKUP(UPPER(TRIM(B1598)), SETUP!$B$4:$C$11, 2, FALSE), UPPER(TRIM(B1598)))))</f>
        <v/>
      </c>
      <c r="K1598" s="23" t="str">
        <f t="shared" si="2"/>
        <v/>
      </c>
      <c r="L1598" s="17" t="str">
        <f t="shared" si="3"/>
        <v/>
      </c>
      <c r="M1598" s="17" t="str">
        <f t="shared" si="4"/>
        <v/>
      </c>
    </row>
    <row r="1599" ht="15.75" customHeight="1">
      <c r="A1599" s="12"/>
      <c r="B1599" s="11"/>
      <c r="C1599" s="11"/>
      <c r="D1599" s="11"/>
      <c r="E1599" s="11" t="str">
        <f>IF(J1599="","", C1599 * IFERROR(VLOOKUP(J1599, SETUP!$A:$D, 3, FALSE), 0))</f>
        <v/>
      </c>
      <c r="F1599" s="11" t="str">
        <f>IF(J1599="","", C1599 * IFERROR(VLOOKUP(J1599, SETUP!$A:$D, 4, FALSE), 0))</f>
        <v/>
      </c>
      <c r="G1599" s="11" t="str">
        <f t="shared" si="1"/>
        <v/>
      </c>
      <c r="H1599" s="22"/>
      <c r="I1599" s="11"/>
      <c r="J1599" s="17" t="str">
        <f>IF(TRIM(B1599)="","",IF(ISNUMBER(SEARCH(" - ",B1599)),TRIM(RIGHT(B1599,LEN(B1599)-FIND(" - ",B1599)-2)),IFERROR(VLOOKUP(UPPER(TRIM(B1599)), SETUP!$B$4:$C$11, 2, FALSE), UPPER(TRIM(B1599)))))</f>
        <v/>
      </c>
      <c r="K1599" s="23" t="str">
        <f t="shared" si="2"/>
        <v/>
      </c>
      <c r="L1599" s="17" t="str">
        <f t="shared" si="3"/>
        <v/>
      </c>
      <c r="M1599" s="17" t="str">
        <f t="shared" si="4"/>
        <v/>
      </c>
    </row>
    <row r="1600" ht="15.75" customHeight="1">
      <c r="A1600" s="12"/>
      <c r="B1600" s="11"/>
      <c r="C1600" s="11"/>
      <c r="D1600" s="11"/>
      <c r="E1600" s="11" t="str">
        <f>IF(J1600="","", C1600 * IFERROR(VLOOKUP(J1600, SETUP!$A:$D, 3, FALSE), 0))</f>
        <v/>
      </c>
      <c r="F1600" s="11" t="str">
        <f>IF(J1600="","", C1600 * IFERROR(VLOOKUP(J1600, SETUP!$A:$D, 4, FALSE), 0))</f>
        <v/>
      </c>
      <c r="G1600" s="11" t="str">
        <f t="shared" si="1"/>
        <v/>
      </c>
      <c r="H1600" s="22"/>
      <c r="I1600" s="11"/>
      <c r="J1600" s="17" t="str">
        <f>IF(TRIM(B1600)="","",IF(ISNUMBER(SEARCH(" - ",B1600)),TRIM(RIGHT(B1600,LEN(B1600)-FIND(" - ",B1600)-2)),IFERROR(VLOOKUP(UPPER(TRIM(B1600)), SETUP!$B$4:$C$11, 2, FALSE), UPPER(TRIM(B1600)))))</f>
        <v/>
      </c>
      <c r="K1600" s="23" t="str">
        <f t="shared" si="2"/>
        <v/>
      </c>
      <c r="L1600" s="17" t="str">
        <f t="shared" si="3"/>
        <v/>
      </c>
      <c r="M1600" s="17" t="str">
        <f t="shared" si="4"/>
        <v/>
      </c>
    </row>
    <row r="1601" ht="15.75" customHeight="1">
      <c r="A1601" s="12"/>
      <c r="B1601" s="11"/>
      <c r="C1601" s="11"/>
      <c r="D1601" s="11"/>
      <c r="E1601" s="11" t="str">
        <f>IF(J1601="","", C1601 * IFERROR(VLOOKUP(J1601, SETUP!$A:$D, 3, FALSE), 0))</f>
        <v/>
      </c>
      <c r="F1601" s="11" t="str">
        <f>IF(J1601="","", C1601 * IFERROR(VLOOKUP(J1601, SETUP!$A:$D, 4, FALSE), 0))</f>
        <v/>
      </c>
      <c r="G1601" s="11" t="str">
        <f t="shared" si="1"/>
        <v/>
      </c>
      <c r="H1601" s="22"/>
      <c r="I1601" s="11"/>
      <c r="J1601" s="17" t="str">
        <f>IF(TRIM(B1601)="","",IF(ISNUMBER(SEARCH(" - ",B1601)),TRIM(RIGHT(B1601,LEN(B1601)-FIND(" - ",B1601)-2)),IFERROR(VLOOKUP(UPPER(TRIM(B1601)), SETUP!$B$4:$C$11, 2, FALSE), UPPER(TRIM(B1601)))))</f>
        <v/>
      </c>
      <c r="K1601" s="23" t="str">
        <f t="shared" si="2"/>
        <v/>
      </c>
      <c r="L1601" s="17" t="str">
        <f t="shared" si="3"/>
        <v/>
      </c>
      <c r="M1601" s="17" t="str">
        <f t="shared" si="4"/>
        <v/>
      </c>
    </row>
    <row r="1602" ht="15.75" customHeight="1">
      <c r="A1602" s="12"/>
      <c r="B1602" s="11"/>
      <c r="C1602" s="11"/>
      <c r="D1602" s="11"/>
      <c r="E1602" s="11" t="str">
        <f>IF(J1602="","", C1602 * IFERROR(VLOOKUP(J1602, SETUP!$A:$D, 3, FALSE), 0))</f>
        <v/>
      </c>
      <c r="F1602" s="11" t="str">
        <f>IF(J1602="","", C1602 * IFERROR(VLOOKUP(J1602, SETUP!$A:$D, 4, FALSE), 0))</f>
        <v/>
      </c>
      <c r="G1602" s="11" t="str">
        <f t="shared" si="1"/>
        <v/>
      </c>
      <c r="H1602" s="22"/>
      <c r="I1602" s="11"/>
      <c r="J1602" s="17" t="str">
        <f>IF(TRIM(B1602)="","",IF(ISNUMBER(SEARCH(" - ",B1602)),TRIM(RIGHT(B1602,LEN(B1602)-FIND(" - ",B1602)-2)),IFERROR(VLOOKUP(UPPER(TRIM(B1602)), SETUP!$B$4:$C$11, 2, FALSE), UPPER(TRIM(B1602)))))</f>
        <v/>
      </c>
      <c r="K1602" s="23" t="str">
        <f t="shared" si="2"/>
        <v/>
      </c>
      <c r="L1602" s="17" t="str">
        <f t="shared" si="3"/>
        <v/>
      </c>
      <c r="M1602" s="17" t="str">
        <f t="shared" si="4"/>
        <v/>
      </c>
    </row>
    <row r="1603" ht="15.75" customHeight="1">
      <c r="A1603" s="12"/>
      <c r="B1603" s="11"/>
      <c r="C1603" s="11"/>
      <c r="D1603" s="11"/>
      <c r="E1603" s="11" t="str">
        <f>IF(J1603="","", C1603 * IFERROR(VLOOKUP(J1603, SETUP!$A:$D, 3, FALSE), 0))</f>
        <v/>
      </c>
      <c r="F1603" s="11" t="str">
        <f>IF(J1603="","", C1603 * IFERROR(VLOOKUP(J1603, SETUP!$A:$D, 4, FALSE), 0))</f>
        <v/>
      </c>
      <c r="G1603" s="11" t="str">
        <f t="shared" si="1"/>
        <v/>
      </c>
      <c r="H1603" s="22"/>
      <c r="I1603" s="11"/>
      <c r="J1603" s="17" t="str">
        <f>IF(TRIM(B1603)="","",IF(ISNUMBER(SEARCH(" - ",B1603)),TRIM(RIGHT(B1603,LEN(B1603)-FIND(" - ",B1603)-2)),IFERROR(VLOOKUP(UPPER(TRIM(B1603)), SETUP!$B$4:$C$11, 2, FALSE), UPPER(TRIM(B1603)))))</f>
        <v/>
      </c>
      <c r="K1603" s="23" t="str">
        <f t="shared" si="2"/>
        <v/>
      </c>
      <c r="L1603" s="17" t="str">
        <f t="shared" si="3"/>
        <v/>
      </c>
      <c r="M1603" s="17" t="str">
        <f t="shared" si="4"/>
        <v/>
      </c>
    </row>
    <row r="1604" ht="15.75" customHeight="1">
      <c r="A1604" s="12"/>
      <c r="B1604" s="11"/>
      <c r="C1604" s="11"/>
      <c r="D1604" s="11"/>
      <c r="E1604" s="11" t="str">
        <f>IF(J1604="","", C1604 * IFERROR(VLOOKUP(J1604, SETUP!$A:$D, 3, FALSE), 0))</f>
        <v/>
      </c>
      <c r="F1604" s="11" t="str">
        <f>IF(J1604="","", C1604 * IFERROR(VLOOKUP(J1604, SETUP!$A:$D, 4, FALSE), 0))</f>
        <v/>
      </c>
      <c r="G1604" s="11" t="str">
        <f t="shared" si="1"/>
        <v/>
      </c>
      <c r="H1604" s="22"/>
      <c r="I1604" s="11"/>
      <c r="J1604" s="17" t="str">
        <f>IF(TRIM(B1604)="","",IF(ISNUMBER(SEARCH(" - ",B1604)),TRIM(RIGHT(B1604,LEN(B1604)-FIND(" - ",B1604)-2)),IFERROR(VLOOKUP(UPPER(TRIM(B1604)), SETUP!$B$4:$C$11, 2, FALSE), UPPER(TRIM(B1604)))))</f>
        <v/>
      </c>
      <c r="K1604" s="23" t="str">
        <f t="shared" si="2"/>
        <v/>
      </c>
      <c r="L1604" s="17" t="str">
        <f t="shared" si="3"/>
        <v/>
      </c>
      <c r="M1604" s="17" t="str">
        <f t="shared" si="4"/>
        <v/>
      </c>
    </row>
    <row r="1605" ht="15.75" customHeight="1">
      <c r="A1605" s="12"/>
      <c r="B1605" s="11"/>
      <c r="C1605" s="11"/>
      <c r="D1605" s="11"/>
      <c r="E1605" s="11" t="str">
        <f>IF(J1605="","", C1605 * IFERROR(VLOOKUP(J1605, SETUP!$A:$D, 3, FALSE), 0))</f>
        <v/>
      </c>
      <c r="F1605" s="11" t="str">
        <f>IF(J1605="","", C1605 * IFERROR(VLOOKUP(J1605, SETUP!$A:$D, 4, FALSE), 0))</f>
        <v/>
      </c>
      <c r="G1605" s="11" t="str">
        <f t="shared" si="1"/>
        <v/>
      </c>
      <c r="H1605" s="22"/>
      <c r="I1605" s="11"/>
      <c r="J1605" s="17" t="str">
        <f>IF(TRIM(B1605)="","",IF(ISNUMBER(SEARCH(" - ",B1605)),TRIM(RIGHT(B1605,LEN(B1605)-FIND(" - ",B1605)-2)),IFERROR(VLOOKUP(UPPER(TRIM(B1605)), SETUP!$B$4:$C$11, 2, FALSE), UPPER(TRIM(B1605)))))</f>
        <v/>
      </c>
      <c r="K1605" s="23" t="str">
        <f t="shared" si="2"/>
        <v/>
      </c>
      <c r="L1605" s="17" t="str">
        <f t="shared" si="3"/>
        <v/>
      </c>
      <c r="M1605" s="17" t="str">
        <f t="shared" si="4"/>
        <v/>
      </c>
    </row>
    <row r="1606" ht="15.75" customHeight="1">
      <c r="A1606" s="12"/>
      <c r="B1606" s="11"/>
      <c r="C1606" s="11"/>
      <c r="D1606" s="11"/>
      <c r="E1606" s="11" t="str">
        <f>IF(J1606="","", C1606 * IFERROR(VLOOKUP(J1606, SETUP!$A:$D, 3, FALSE), 0))</f>
        <v/>
      </c>
      <c r="F1606" s="11" t="str">
        <f>IF(J1606="","", C1606 * IFERROR(VLOOKUP(J1606, SETUP!$A:$D, 4, FALSE), 0))</f>
        <v/>
      </c>
      <c r="G1606" s="11" t="str">
        <f t="shared" si="1"/>
        <v/>
      </c>
      <c r="H1606" s="22"/>
      <c r="I1606" s="11"/>
      <c r="J1606" s="17" t="str">
        <f>IF(TRIM(B1606)="","",IF(ISNUMBER(SEARCH(" - ",B1606)),TRIM(RIGHT(B1606,LEN(B1606)-FIND(" - ",B1606)-2)),IFERROR(VLOOKUP(UPPER(TRIM(B1606)), SETUP!$B$4:$C$11, 2, FALSE), UPPER(TRIM(B1606)))))</f>
        <v/>
      </c>
      <c r="K1606" s="23" t="str">
        <f t="shared" si="2"/>
        <v/>
      </c>
      <c r="L1606" s="17" t="str">
        <f t="shared" si="3"/>
        <v/>
      </c>
      <c r="M1606" s="17" t="str">
        <f t="shared" si="4"/>
        <v/>
      </c>
    </row>
    <row r="1607" ht="15.75" customHeight="1">
      <c r="A1607" s="12"/>
      <c r="B1607" s="11"/>
      <c r="C1607" s="11"/>
      <c r="D1607" s="11"/>
      <c r="E1607" s="11" t="str">
        <f>IF(J1607="","", C1607 * IFERROR(VLOOKUP(J1607, SETUP!$A:$D, 3, FALSE), 0))</f>
        <v/>
      </c>
      <c r="F1607" s="11" t="str">
        <f>IF(J1607="","", C1607 * IFERROR(VLOOKUP(J1607, SETUP!$A:$D, 4, FALSE), 0))</f>
        <v/>
      </c>
      <c r="G1607" s="11" t="str">
        <f t="shared" si="1"/>
        <v/>
      </c>
      <c r="H1607" s="22"/>
      <c r="I1607" s="11"/>
      <c r="J1607" s="17" t="str">
        <f>IF(TRIM(B1607)="","",IF(ISNUMBER(SEARCH(" - ",B1607)),TRIM(RIGHT(B1607,LEN(B1607)-FIND(" - ",B1607)-2)),IFERROR(VLOOKUP(UPPER(TRIM(B1607)), SETUP!$B$4:$C$11, 2, FALSE), UPPER(TRIM(B1607)))))</f>
        <v/>
      </c>
      <c r="K1607" s="23" t="str">
        <f t="shared" si="2"/>
        <v/>
      </c>
      <c r="L1607" s="17" t="str">
        <f t="shared" si="3"/>
        <v/>
      </c>
      <c r="M1607" s="17" t="str">
        <f t="shared" si="4"/>
        <v/>
      </c>
    </row>
    <row r="1608" ht="15.75" customHeight="1">
      <c r="A1608" s="12"/>
      <c r="B1608" s="11"/>
      <c r="C1608" s="11"/>
      <c r="D1608" s="11"/>
      <c r="E1608" s="11" t="str">
        <f>IF(J1608="","", C1608 * IFERROR(VLOOKUP(J1608, SETUP!$A:$D, 3, FALSE), 0))</f>
        <v/>
      </c>
      <c r="F1608" s="11" t="str">
        <f>IF(J1608="","", C1608 * IFERROR(VLOOKUP(J1608, SETUP!$A:$D, 4, FALSE), 0))</f>
        <v/>
      </c>
      <c r="G1608" s="11" t="str">
        <f t="shared" si="1"/>
        <v/>
      </c>
      <c r="H1608" s="22"/>
      <c r="I1608" s="11"/>
      <c r="J1608" s="17" t="str">
        <f>IF(TRIM(B1608)="","",IF(ISNUMBER(SEARCH(" - ",B1608)),TRIM(RIGHT(B1608,LEN(B1608)-FIND(" - ",B1608)-2)),IFERROR(VLOOKUP(UPPER(TRIM(B1608)), SETUP!$B$4:$C$11, 2, FALSE), UPPER(TRIM(B1608)))))</f>
        <v/>
      </c>
      <c r="K1608" s="23" t="str">
        <f t="shared" si="2"/>
        <v/>
      </c>
      <c r="L1608" s="17" t="str">
        <f t="shared" si="3"/>
        <v/>
      </c>
      <c r="M1608" s="17" t="str">
        <f t="shared" si="4"/>
        <v/>
      </c>
    </row>
    <row r="1609" ht="15.75" customHeight="1">
      <c r="A1609" s="12"/>
      <c r="B1609" s="11"/>
      <c r="C1609" s="11"/>
      <c r="D1609" s="11"/>
      <c r="E1609" s="11" t="str">
        <f>IF(J1609="","", C1609 * IFERROR(VLOOKUP(J1609, SETUP!$A:$D, 3, FALSE), 0))</f>
        <v/>
      </c>
      <c r="F1609" s="11" t="str">
        <f>IF(J1609="","", C1609 * IFERROR(VLOOKUP(J1609, SETUP!$A:$D, 4, FALSE), 0))</f>
        <v/>
      </c>
      <c r="G1609" s="11" t="str">
        <f t="shared" si="1"/>
        <v/>
      </c>
      <c r="H1609" s="22"/>
      <c r="I1609" s="11"/>
      <c r="J1609" s="17" t="str">
        <f>IF(TRIM(B1609)="","",IF(ISNUMBER(SEARCH(" - ",B1609)),TRIM(RIGHT(B1609,LEN(B1609)-FIND(" - ",B1609)-2)),IFERROR(VLOOKUP(UPPER(TRIM(B1609)), SETUP!$B$4:$C$11, 2, FALSE), UPPER(TRIM(B1609)))))</f>
        <v/>
      </c>
      <c r="K1609" s="23" t="str">
        <f t="shared" si="2"/>
        <v/>
      </c>
      <c r="L1609" s="17" t="str">
        <f t="shared" si="3"/>
        <v/>
      </c>
      <c r="M1609" s="17" t="str">
        <f t="shared" si="4"/>
        <v/>
      </c>
    </row>
    <row r="1610" ht="15.75" customHeight="1">
      <c r="A1610" s="12"/>
      <c r="B1610" s="11"/>
      <c r="C1610" s="11"/>
      <c r="D1610" s="11"/>
      <c r="E1610" s="11" t="str">
        <f>IF(J1610="","", C1610 * IFERROR(VLOOKUP(J1610, SETUP!$A:$D, 3, FALSE), 0))</f>
        <v/>
      </c>
      <c r="F1610" s="11" t="str">
        <f>IF(J1610="","", C1610 * IFERROR(VLOOKUP(J1610, SETUP!$A:$D, 4, FALSE), 0))</f>
        <v/>
      </c>
      <c r="G1610" s="11" t="str">
        <f t="shared" si="1"/>
        <v/>
      </c>
      <c r="H1610" s="22"/>
      <c r="I1610" s="11"/>
      <c r="J1610" s="17" t="str">
        <f>IF(TRIM(B1610)="","",IF(ISNUMBER(SEARCH(" - ",B1610)),TRIM(RIGHT(B1610,LEN(B1610)-FIND(" - ",B1610)-2)),IFERROR(VLOOKUP(UPPER(TRIM(B1610)), SETUP!$B$4:$C$11, 2, FALSE), UPPER(TRIM(B1610)))))</f>
        <v/>
      </c>
      <c r="K1610" s="23" t="str">
        <f t="shared" si="2"/>
        <v/>
      </c>
      <c r="L1610" s="17" t="str">
        <f t="shared" si="3"/>
        <v/>
      </c>
      <c r="M1610" s="17" t="str">
        <f t="shared" si="4"/>
        <v/>
      </c>
    </row>
    <row r="1611" ht="15.75" customHeight="1">
      <c r="A1611" s="12"/>
      <c r="B1611" s="11"/>
      <c r="C1611" s="11"/>
      <c r="D1611" s="11"/>
      <c r="E1611" s="11" t="str">
        <f>IF(J1611="","", C1611 * IFERROR(VLOOKUP(J1611, SETUP!$A:$D, 3, FALSE), 0))</f>
        <v/>
      </c>
      <c r="F1611" s="11" t="str">
        <f>IF(J1611="","", C1611 * IFERROR(VLOOKUP(J1611, SETUP!$A:$D, 4, FALSE), 0))</f>
        <v/>
      </c>
      <c r="G1611" s="11" t="str">
        <f t="shared" si="1"/>
        <v/>
      </c>
      <c r="H1611" s="22"/>
      <c r="I1611" s="11"/>
      <c r="J1611" s="17" t="str">
        <f>IF(TRIM(B1611)="","",IF(ISNUMBER(SEARCH(" - ",B1611)),TRIM(RIGHT(B1611,LEN(B1611)-FIND(" - ",B1611)-2)),IFERROR(VLOOKUP(UPPER(TRIM(B1611)), SETUP!$B$4:$C$11, 2, FALSE), UPPER(TRIM(B1611)))))</f>
        <v/>
      </c>
      <c r="K1611" s="23" t="str">
        <f t="shared" si="2"/>
        <v/>
      </c>
      <c r="L1611" s="17" t="str">
        <f t="shared" si="3"/>
        <v/>
      </c>
      <c r="M1611" s="17" t="str">
        <f t="shared" si="4"/>
        <v/>
      </c>
    </row>
    <row r="1612" ht="15.75" customHeight="1">
      <c r="A1612" s="12"/>
      <c r="B1612" s="11"/>
      <c r="C1612" s="11"/>
      <c r="D1612" s="11"/>
      <c r="E1612" s="11" t="str">
        <f>IF(J1612="","", C1612 * IFERROR(VLOOKUP(J1612, SETUP!$A:$D, 3, FALSE), 0))</f>
        <v/>
      </c>
      <c r="F1612" s="11" t="str">
        <f>IF(J1612="","", C1612 * IFERROR(VLOOKUP(J1612, SETUP!$A:$D, 4, FALSE), 0))</f>
        <v/>
      </c>
      <c r="G1612" s="11" t="str">
        <f t="shared" si="1"/>
        <v/>
      </c>
      <c r="H1612" s="22"/>
      <c r="I1612" s="11"/>
      <c r="J1612" s="17" t="str">
        <f>IF(TRIM(B1612)="","",IF(ISNUMBER(SEARCH(" - ",B1612)),TRIM(RIGHT(B1612,LEN(B1612)-FIND(" - ",B1612)-2)),IFERROR(VLOOKUP(UPPER(TRIM(B1612)), SETUP!$B$4:$C$11, 2, FALSE), UPPER(TRIM(B1612)))))</f>
        <v/>
      </c>
      <c r="K1612" s="23" t="str">
        <f t="shared" si="2"/>
        <v/>
      </c>
      <c r="L1612" s="17" t="str">
        <f t="shared" si="3"/>
        <v/>
      </c>
      <c r="M1612" s="17" t="str">
        <f t="shared" si="4"/>
        <v/>
      </c>
    </row>
    <row r="1613" ht="15.75" customHeight="1">
      <c r="A1613" s="12"/>
      <c r="B1613" s="11"/>
      <c r="C1613" s="11"/>
      <c r="D1613" s="11"/>
      <c r="E1613" s="11" t="str">
        <f>IF(J1613="","", C1613 * IFERROR(VLOOKUP(J1613, SETUP!$A:$D, 3, FALSE), 0))</f>
        <v/>
      </c>
      <c r="F1613" s="11" t="str">
        <f>IF(J1613="","", C1613 * IFERROR(VLOOKUP(J1613, SETUP!$A:$D, 4, FALSE), 0))</f>
        <v/>
      </c>
      <c r="G1613" s="11" t="str">
        <f t="shared" si="1"/>
        <v/>
      </c>
      <c r="H1613" s="22"/>
      <c r="I1613" s="11"/>
      <c r="J1613" s="17" t="str">
        <f>IF(TRIM(B1613)="","",IF(ISNUMBER(SEARCH(" - ",B1613)),TRIM(RIGHT(B1613,LEN(B1613)-FIND(" - ",B1613)-2)),IFERROR(VLOOKUP(UPPER(TRIM(B1613)), SETUP!$B$4:$C$11, 2, FALSE), UPPER(TRIM(B1613)))))</f>
        <v/>
      </c>
      <c r="K1613" s="23" t="str">
        <f t="shared" si="2"/>
        <v/>
      </c>
      <c r="L1613" s="17" t="str">
        <f t="shared" si="3"/>
        <v/>
      </c>
      <c r="M1613" s="17" t="str">
        <f t="shared" si="4"/>
        <v/>
      </c>
    </row>
    <row r="1614" ht="15.75" customHeight="1">
      <c r="A1614" s="12"/>
      <c r="B1614" s="11"/>
      <c r="C1614" s="11"/>
      <c r="D1614" s="11"/>
      <c r="E1614" s="11" t="str">
        <f>IF(J1614="","", C1614 * IFERROR(VLOOKUP(J1614, SETUP!$A:$D, 3, FALSE), 0))</f>
        <v/>
      </c>
      <c r="F1614" s="11" t="str">
        <f>IF(J1614="","", C1614 * IFERROR(VLOOKUP(J1614, SETUP!$A:$D, 4, FALSE), 0))</f>
        <v/>
      </c>
      <c r="G1614" s="11" t="str">
        <f t="shared" si="1"/>
        <v/>
      </c>
      <c r="H1614" s="22"/>
      <c r="I1614" s="11"/>
      <c r="J1614" s="17" t="str">
        <f>IF(TRIM(B1614)="","",IF(ISNUMBER(SEARCH(" - ",B1614)),TRIM(RIGHT(B1614,LEN(B1614)-FIND(" - ",B1614)-2)),IFERROR(VLOOKUP(UPPER(TRIM(B1614)), SETUP!$B$4:$C$11, 2, FALSE), UPPER(TRIM(B1614)))))</f>
        <v/>
      </c>
      <c r="K1614" s="23" t="str">
        <f t="shared" si="2"/>
        <v/>
      </c>
      <c r="L1614" s="17" t="str">
        <f t="shared" si="3"/>
        <v/>
      </c>
      <c r="M1614" s="17" t="str">
        <f t="shared" si="4"/>
        <v/>
      </c>
    </row>
    <row r="1615" ht="15.75" customHeight="1">
      <c r="A1615" s="12"/>
      <c r="B1615" s="11"/>
      <c r="C1615" s="11"/>
      <c r="D1615" s="11"/>
      <c r="E1615" s="11" t="str">
        <f>IF(J1615="","", C1615 * IFERROR(VLOOKUP(J1615, SETUP!$A:$D, 3, FALSE), 0))</f>
        <v/>
      </c>
      <c r="F1615" s="11" t="str">
        <f>IF(J1615="","", C1615 * IFERROR(VLOOKUP(J1615, SETUP!$A:$D, 4, FALSE), 0))</f>
        <v/>
      </c>
      <c r="G1615" s="11" t="str">
        <f t="shared" si="1"/>
        <v/>
      </c>
      <c r="H1615" s="22"/>
      <c r="I1615" s="11"/>
      <c r="J1615" s="17" t="str">
        <f>IF(TRIM(B1615)="","",IF(ISNUMBER(SEARCH(" - ",B1615)),TRIM(RIGHT(B1615,LEN(B1615)-FIND(" - ",B1615)-2)),IFERROR(VLOOKUP(UPPER(TRIM(B1615)), SETUP!$B$4:$C$11, 2, FALSE), UPPER(TRIM(B1615)))))</f>
        <v/>
      </c>
      <c r="K1615" s="23" t="str">
        <f t="shared" si="2"/>
        <v/>
      </c>
      <c r="L1615" s="17" t="str">
        <f t="shared" si="3"/>
        <v/>
      </c>
      <c r="M1615" s="17" t="str">
        <f t="shared" si="4"/>
        <v/>
      </c>
    </row>
    <row r="1616" ht="15.75" customHeight="1">
      <c r="A1616" s="12"/>
      <c r="B1616" s="11"/>
      <c r="C1616" s="11"/>
      <c r="D1616" s="11"/>
      <c r="E1616" s="11" t="str">
        <f>IF(J1616="","", C1616 * IFERROR(VLOOKUP(J1616, SETUP!$A:$D, 3, FALSE), 0))</f>
        <v/>
      </c>
      <c r="F1616" s="11" t="str">
        <f>IF(J1616="","", C1616 * IFERROR(VLOOKUP(J1616, SETUP!$A:$D, 4, FALSE), 0))</f>
        <v/>
      </c>
      <c r="G1616" s="11" t="str">
        <f t="shared" si="1"/>
        <v/>
      </c>
      <c r="H1616" s="22"/>
      <c r="I1616" s="11"/>
      <c r="J1616" s="17" t="str">
        <f>IF(TRIM(B1616)="","",IF(ISNUMBER(SEARCH(" - ",B1616)),TRIM(RIGHT(B1616,LEN(B1616)-FIND(" - ",B1616)-2)),IFERROR(VLOOKUP(UPPER(TRIM(B1616)), SETUP!$B$4:$C$11, 2, FALSE), UPPER(TRIM(B1616)))))</f>
        <v/>
      </c>
      <c r="K1616" s="23" t="str">
        <f t="shared" si="2"/>
        <v/>
      </c>
      <c r="L1616" s="17" t="str">
        <f t="shared" si="3"/>
        <v/>
      </c>
      <c r="M1616" s="17" t="str">
        <f t="shared" si="4"/>
        <v/>
      </c>
    </row>
    <row r="1617" ht="15.75" customHeight="1">
      <c r="A1617" s="12"/>
      <c r="B1617" s="11"/>
      <c r="C1617" s="11"/>
      <c r="D1617" s="11"/>
      <c r="E1617" s="11" t="str">
        <f>IF(J1617="","", C1617 * IFERROR(VLOOKUP(J1617, SETUP!$A:$D, 3, FALSE), 0))</f>
        <v/>
      </c>
      <c r="F1617" s="11" t="str">
        <f>IF(J1617="","", C1617 * IFERROR(VLOOKUP(J1617, SETUP!$A:$D, 4, FALSE), 0))</f>
        <v/>
      </c>
      <c r="G1617" s="11" t="str">
        <f t="shared" si="1"/>
        <v/>
      </c>
      <c r="H1617" s="22"/>
      <c r="I1617" s="11"/>
      <c r="J1617" s="17" t="str">
        <f>IF(TRIM(B1617)="","",IF(ISNUMBER(SEARCH(" - ",B1617)),TRIM(RIGHT(B1617,LEN(B1617)-FIND(" - ",B1617)-2)),IFERROR(VLOOKUP(UPPER(TRIM(B1617)), SETUP!$B$4:$C$11, 2, FALSE), UPPER(TRIM(B1617)))))</f>
        <v/>
      </c>
      <c r="K1617" s="23" t="str">
        <f t="shared" si="2"/>
        <v/>
      </c>
      <c r="L1617" s="17" t="str">
        <f t="shared" si="3"/>
        <v/>
      </c>
      <c r="M1617" s="17" t="str">
        <f t="shared" si="4"/>
        <v/>
      </c>
    </row>
    <row r="1618" ht="15.75" customHeight="1">
      <c r="A1618" s="12"/>
      <c r="B1618" s="11"/>
      <c r="C1618" s="11"/>
      <c r="D1618" s="11"/>
      <c r="E1618" s="11" t="str">
        <f>IF(J1618="","", C1618 * IFERROR(VLOOKUP(J1618, SETUP!$A:$D, 3, FALSE), 0))</f>
        <v/>
      </c>
      <c r="F1618" s="11" t="str">
        <f>IF(J1618="","", C1618 * IFERROR(VLOOKUP(J1618, SETUP!$A:$D, 4, FALSE), 0))</f>
        <v/>
      </c>
      <c r="G1618" s="11" t="str">
        <f t="shared" si="1"/>
        <v/>
      </c>
      <c r="H1618" s="22"/>
      <c r="I1618" s="11"/>
      <c r="J1618" s="17" t="str">
        <f>IF(TRIM(B1618)="","",IF(ISNUMBER(SEARCH(" - ",B1618)),TRIM(RIGHT(B1618,LEN(B1618)-FIND(" - ",B1618)-2)),IFERROR(VLOOKUP(UPPER(TRIM(B1618)), SETUP!$B$4:$C$11, 2, FALSE), UPPER(TRIM(B1618)))))</f>
        <v/>
      </c>
      <c r="K1618" s="23" t="str">
        <f t="shared" si="2"/>
        <v/>
      </c>
      <c r="L1618" s="17" t="str">
        <f t="shared" si="3"/>
        <v/>
      </c>
      <c r="M1618" s="17" t="str">
        <f t="shared" si="4"/>
        <v/>
      </c>
    </row>
    <row r="1619" ht="15.75" customHeight="1">
      <c r="A1619" s="12"/>
      <c r="B1619" s="11"/>
      <c r="C1619" s="11"/>
      <c r="D1619" s="11"/>
      <c r="E1619" s="11" t="str">
        <f>IF(J1619="","", C1619 * IFERROR(VLOOKUP(J1619, SETUP!$A:$D, 3, FALSE), 0))</f>
        <v/>
      </c>
      <c r="F1619" s="11" t="str">
        <f>IF(J1619="","", C1619 * IFERROR(VLOOKUP(J1619, SETUP!$A:$D, 4, FALSE), 0))</f>
        <v/>
      </c>
      <c r="G1619" s="11" t="str">
        <f t="shared" si="1"/>
        <v/>
      </c>
      <c r="H1619" s="22"/>
      <c r="I1619" s="11"/>
      <c r="J1619" s="17" t="str">
        <f>IF(TRIM(B1619)="","",IF(ISNUMBER(SEARCH(" - ",B1619)),TRIM(RIGHT(B1619,LEN(B1619)-FIND(" - ",B1619)-2)),IFERROR(VLOOKUP(UPPER(TRIM(B1619)), SETUP!$B$4:$C$11, 2, FALSE), UPPER(TRIM(B1619)))))</f>
        <v/>
      </c>
      <c r="K1619" s="23" t="str">
        <f t="shared" si="2"/>
        <v/>
      </c>
      <c r="L1619" s="17" t="str">
        <f t="shared" si="3"/>
        <v/>
      </c>
      <c r="M1619" s="17" t="str">
        <f t="shared" si="4"/>
        <v/>
      </c>
    </row>
    <row r="1620" ht="15.75" customHeight="1">
      <c r="A1620" s="12"/>
      <c r="B1620" s="11"/>
      <c r="C1620" s="11"/>
      <c r="D1620" s="11"/>
      <c r="E1620" s="11" t="str">
        <f>IF(J1620="","", C1620 * IFERROR(VLOOKUP(J1620, SETUP!$A:$D, 3, FALSE), 0))</f>
        <v/>
      </c>
      <c r="F1620" s="11" t="str">
        <f>IF(J1620="","", C1620 * IFERROR(VLOOKUP(J1620, SETUP!$A:$D, 4, FALSE), 0))</f>
        <v/>
      </c>
      <c r="G1620" s="11" t="str">
        <f t="shared" si="1"/>
        <v/>
      </c>
      <c r="H1620" s="22"/>
      <c r="I1620" s="11"/>
      <c r="J1620" s="17" t="str">
        <f>IF(TRIM(B1620)="","",IF(ISNUMBER(SEARCH(" - ",B1620)),TRIM(RIGHT(B1620,LEN(B1620)-FIND(" - ",B1620)-2)),IFERROR(VLOOKUP(UPPER(TRIM(B1620)), SETUP!$B$4:$C$11, 2, FALSE), UPPER(TRIM(B1620)))))</f>
        <v/>
      </c>
      <c r="K1620" s="23" t="str">
        <f t="shared" si="2"/>
        <v/>
      </c>
      <c r="L1620" s="17" t="str">
        <f t="shared" si="3"/>
        <v/>
      </c>
      <c r="M1620" s="17" t="str">
        <f t="shared" si="4"/>
        <v/>
      </c>
    </row>
    <row r="1621" ht="15.75" customHeight="1">
      <c r="A1621" s="12"/>
      <c r="B1621" s="11"/>
      <c r="C1621" s="11"/>
      <c r="D1621" s="11"/>
      <c r="E1621" s="11" t="str">
        <f>IF(J1621="","", C1621 * IFERROR(VLOOKUP(J1621, SETUP!$A:$D, 3, FALSE), 0))</f>
        <v/>
      </c>
      <c r="F1621" s="11" t="str">
        <f>IF(J1621="","", C1621 * IFERROR(VLOOKUP(J1621, SETUP!$A:$D, 4, FALSE), 0))</f>
        <v/>
      </c>
      <c r="G1621" s="11" t="str">
        <f t="shared" si="1"/>
        <v/>
      </c>
      <c r="H1621" s="22"/>
      <c r="I1621" s="11"/>
      <c r="J1621" s="17" t="str">
        <f>IF(TRIM(B1621)="","",IF(ISNUMBER(SEARCH(" - ",B1621)),TRIM(RIGHT(B1621,LEN(B1621)-FIND(" - ",B1621)-2)),IFERROR(VLOOKUP(UPPER(TRIM(B1621)), SETUP!$B$4:$C$11, 2, FALSE), UPPER(TRIM(B1621)))))</f>
        <v/>
      </c>
      <c r="K1621" s="23" t="str">
        <f t="shared" si="2"/>
        <v/>
      </c>
      <c r="L1621" s="17" t="str">
        <f t="shared" si="3"/>
        <v/>
      </c>
      <c r="M1621" s="17" t="str">
        <f t="shared" si="4"/>
        <v/>
      </c>
    </row>
    <row r="1622" ht="15.75" customHeight="1">
      <c r="A1622" s="12"/>
      <c r="B1622" s="11"/>
      <c r="C1622" s="11"/>
      <c r="D1622" s="11"/>
      <c r="E1622" s="11" t="str">
        <f>IF(J1622="","", C1622 * IFERROR(VLOOKUP(J1622, SETUP!$A:$D, 3, FALSE), 0))</f>
        <v/>
      </c>
      <c r="F1622" s="11" t="str">
        <f>IF(J1622="","", C1622 * IFERROR(VLOOKUP(J1622, SETUP!$A:$D, 4, FALSE), 0))</f>
        <v/>
      </c>
      <c r="G1622" s="11" t="str">
        <f t="shared" si="1"/>
        <v/>
      </c>
      <c r="H1622" s="22"/>
      <c r="I1622" s="11"/>
      <c r="J1622" s="17" t="str">
        <f>IF(TRIM(B1622)="","",IF(ISNUMBER(SEARCH(" - ",B1622)),TRIM(RIGHT(B1622,LEN(B1622)-FIND(" - ",B1622)-2)),IFERROR(VLOOKUP(UPPER(TRIM(B1622)), SETUP!$B$4:$C$11, 2, FALSE), UPPER(TRIM(B1622)))))</f>
        <v/>
      </c>
      <c r="K1622" s="23" t="str">
        <f t="shared" si="2"/>
        <v/>
      </c>
      <c r="L1622" s="17" t="str">
        <f t="shared" si="3"/>
        <v/>
      </c>
      <c r="M1622" s="17" t="str">
        <f t="shared" si="4"/>
        <v/>
      </c>
    </row>
    <row r="1623" ht="15.75" customHeight="1">
      <c r="A1623" s="12"/>
      <c r="B1623" s="11"/>
      <c r="C1623" s="11"/>
      <c r="D1623" s="11"/>
      <c r="E1623" s="11" t="str">
        <f>IF(J1623="","", C1623 * IFERROR(VLOOKUP(J1623, SETUP!$A:$D, 3, FALSE), 0))</f>
        <v/>
      </c>
      <c r="F1623" s="11" t="str">
        <f>IF(J1623="","", C1623 * IFERROR(VLOOKUP(J1623, SETUP!$A:$D, 4, FALSE), 0))</f>
        <v/>
      </c>
      <c r="G1623" s="11" t="str">
        <f t="shared" si="1"/>
        <v/>
      </c>
      <c r="H1623" s="22"/>
      <c r="I1623" s="11"/>
      <c r="J1623" s="17" t="str">
        <f>IF(TRIM(B1623)="","",IF(ISNUMBER(SEARCH(" - ",B1623)),TRIM(RIGHT(B1623,LEN(B1623)-FIND(" - ",B1623)-2)),IFERROR(VLOOKUP(UPPER(TRIM(B1623)), SETUP!$B$4:$C$11, 2, FALSE), UPPER(TRIM(B1623)))))</f>
        <v/>
      </c>
      <c r="K1623" s="23" t="str">
        <f t="shared" si="2"/>
        <v/>
      </c>
      <c r="L1623" s="17" t="str">
        <f t="shared" si="3"/>
        <v/>
      </c>
      <c r="M1623" s="17" t="str">
        <f t="shared" si="4"/>
        <v/>
      </c>
    </row>
    <row r="1624" ht="15.75" customHeight="1">
      <c r="A1624" s="12"/>
      <c r="B1624" s="11"/>
      <c r="C1624" s="11"/>
      <c r="D1624" s="11"/>
      <c r="E1624" s="11" t="str">
        <f>IF(J1624="","", C1624 * IFERROR(VLOOKUP(J1624, SETUP!$A:$D, 3, FALSE), 0))</f>
        <v/>
      </c>
      <c r="F1624" s="11" t="str">
        <f>IF(J1624="","", C1624 * IFERROR(VLOOKUP(J1624, SETUP!$A:$D, 4, FALSE), 0))</f>
        <v/>
      </c>
      <c r="G1624" s="11" t="str">
        <f t="shared" si="1"/>
        <v/>
      </c>
      <c r="H1624" s="22"/>
      <c r="I1624" s="11"/>
      <c r="J1624" s="17" t="str">
        <f>IF(TRIM(B1624)="","",IF(ISNUMBER(SEARCH(" - ",B1624)),TRIM(RIGHT(B1624,LEN(B1624)-FIND(" - ",B1624)-2)),IFERROR(VLOOKUP(UPPER(TRIM(B1624)), SETUP!$B$4:$C$11, 2, FALSE), UPPER(TRIM(B1624)))))</f>
        <v/>
      </c>
      <c r="K1624" s="23" t="str">
        <f t="shared" si="2"/>
        <v/>
      </c>
      <c r="L1624" s="17" t="str">
        <f t="shared" si="3"/>
        <v/>
      </c>
      <c r="M1624" s="17" t="str">
        <f t="shared" si="4"/>
        <v/>
      </c>
    </row>
    <row r="1625" ht="15.75" customHeight="1">
      <c r="A1625" s="12"/>
      <c r="B1625" s="11"/>
      <c r="C1625" s="11"/>
      <c r="D1625" s="11"/>
      <c r="E1625" s="11" t="str">
        <f>IF(J1625="","", C1625 * IFERROR(VLOOKUP(J1625, SETUP!$A:$D, 3, FALSE), 0))</f>
        <v/>
      </c>
      <c r="F1625" s="11" t="str">
        <f>IF(J1625="","", C1625 * IFERROR(VLOOKUP(J1625, SETUP!$A:$D, 4, FALSE), 0))</f>
        <v/>
      </c>
      <c r="G1625" s="11" t="str">
        <f t="shared" si="1"/>
        <v/>
      </c>
      <c r="H1625" s="22"/>
      <c r="I1625" s="11"/>
      <c r="J1625" s="17" t="str">
        <f>IF(TRIM(B1625)="","",IF(ISNUMBER(SEARCH(" - ",B1625)),TRIM(RIGHT(B1625,LEN(B1625)-FIND(" - ",B1625)-2)),IFERROR(VLOOKUP(UPPER(TRIM(B1625)), SETUP!$B$4:$C$11, 2, FALSE), UPPER(TRIM(B1625)))))</f>
        <v/>
      </c>
      <c r="K1625" s="23" t="str">
        <f t="shared" si="2"/>
        <v/>
      </c>
      <c r="L1625" s="17" t="str">
        <f t="shared" si="3"/>
        <v/>
      </c>
      <c r="M1625" s="17" t="str">
        <f t="shared" si="4"/>
        <v/>
      </c>
    </row>
    <row r="1626" ht="15.75" customHeight="1">
      <c r="A1626" s="12"/>
      <c r="B1626" s="11"/>
      <c r="C1626" s="11"/>
      <c r="D1626" s="11"/>
      <c r="E1626" s="11" t="str">
        <f>IF(J1626="","", C1626 * IFERROR(VLOOKUP(J1626, SETUP!$A:$D, 3, FALSE), 0))</f>
        <v/>
      </c>
      <c r="F1626" s="11" t="str">
        <f>IF(J1626="","", C1626 * IFERROR(VLOOKUP(J1626, SETUP!$A:$D, 4, FALSE), 0))</f>
        <v/>
      </c>
      <c r="G1626" s="11" t="str">
        <f t="shared" si="1"/>
        <v/>
      </c>
      <c r="H1626" s="22"/>
      <c r="I1626" s="11"/>
      <c r="J1626" s="17" t="str">
        <f>IF(TRIM(B1626)="","",IF(ISNUMBER(SEARCH(" - ",B1626)),TRIM(RIGHT(B1626,LEN(B1626)-FIND(" - ",B1626)-2)),IFERROR(VLOOKUP(UPPER(TRIM(B1626)), SETUP!$B$4:$C$11, 2, FALSE), UPPER(TRIM(B1626)))))</f>
        <v/>
      </c>
      <c r="K1626" s="23" t="str">
        <f t="shared" si="2"/>
        <v/>
      </c>
      <c r="L1626" s="17" t="str">
        <f t="shared" si="3"/>
        <v/>
      </c>
      <c r="M1626" s="17" t="str">
        <f t="shared" si="4"/>
        <v/>
      </c>
    </row>
    <row r="1627" ht="15.75" customHeight="1">
      <c r="A1627" s="12"/>
      <c r="B1627" s="11"/>
      <c r="C1627" s="11"/>
      <c r="D1627" s="11"/>
      <c r="E1627" s="11" t="str">
        <f>IF(J1627="","", C1627 * IFERROR(VLOOKUP(J1627, SETUP!$A:$D, 3, FALSE), 0))</f>
        <v/>
      </c>
      <c r="F1627" s="11" t="str">
        <f>IF(J1627="","", C1627 * IFERROR(VLOOKUP(J1627, SETUP!$A:$D, 4, FALSE), 0))</f>
        <v/>
      </c>
      <c r="G1627" s="11" t="str">
        <f t="shared" si="1"/>
        <v/>
      </c>
      <c r="H1627" s="22"/>
      <c r="I1627" s="11"/>
      <c r="J1627" s="17" t="str">
        <f>IF(TRIM(B1627)="","",IF(ISNUMBER(SEARCH(" - ",B1627)),TRIM(RIGHT(B1627,LEN(B1627)-FIND(" - ",B1627)-2)),IFERROR(VLOOKUP(UPPER(TRIM(B1627)), SETUP!$B$4:$C$11, 2, FALSE), UPPER(TRIM(B1627)))))</f>
        <v/>
      </c>
      <c r="K1627" s="23" t="str">
        <f t="shared" si="2"/>
        <v/>
      </c>
      <c r="L1627" s="17" t="str">
        <f t="shared" si="3"/>
        <v/>
      </c>
      <c r="M1627" s="17" t="str">
        <f t="shared" si="4"/>
        <v/>
      </c>
    </row>
    <row r="1628" ht="15.75" customHeight="1">
      <c r="A1628" s="12"/>
      <c r="B1628" s="11"/>
      <c r="C1628" s="11"/>
      <c r="D1628" s="11"/>
      <c r="E1628" s="11" t="str">
        <f>IF(J1628="","", C1628 * IFERROR(VLOOKUP(J1628, SETUP!$A:$D, 3, FALSE), 0))</f>
        <v/>
      </c>
      <c r="F1628" s="11" t="str">
        <f>IF(J1628="","", C1628 * IFERROR(VLOOKUP(J1628, SETUP!$A:$D, 4, FALSE), 0))</f>
        <v/>
      </c>
      <c r="G1628" s="11" t="str">
        <f t="shared" si="1"/>
        <v/>
      </c>
      <c r="H1628" s="22"/>
      <c r="I1628" s="11"/>
      <c r="J1628" s="17" t="str">
        <f>IF(TRIM(B1628)="","",IF(ISNUMBER(SEARCH(" - ",B1628)),TRIM(RIGHT(B1628,LEN(B1628)-FIND(" - ",B1628)-2)),IFERROR(VLOOKUP(UPPER(TRIM(B1628)), SETUP!$B$4:$C$11, 2, FALSE), UPPER(TRIM(B1628)))))</f>
        <v/>
      </c>
      <c r="K1628" s="23" t="str">
        <f t="shared" si="2"/>
        <v/>
      </c>
      <c r="L1628" s="17" t="str">
        <f t="shared" si="3"/>
        <v/>
      </c>
      <c r="M1628" s="17" t="str">
        <f t="shared" si="4"/>
        <v/>
      </c>
    </row>
    <row r="1629" ht="15.75" customHeight="1">
      <c r="A1629" s="12"/>
      <c r="B1629" s="11"/>
      <c r="C1629" s="11"/>
      <c r="D1629" s="11"/>
      <c r="E1629" s="11" t="str">
        <f>IF(J1629="","", C1629 * IFERROR(VLOOKUP(J1629, SETUP!$A:$D, 3, FALSE), 0))</f>
        <v/>
      </c>
      <c r="F1629" s="11" t="str">
        <f>IF(J1629="","", C1629 * IFERROR(VLOOKUP(J1629, SETUP!$A:$D, 4, FALSE), 0))</f>
        <v/>
      </c>
      <c r="G1629" s="11" t="str">
        <f t="shared" si="1"/>
        <v/>
      </c>
      <c r="H1629" s="22"/>
      <c r="I1629" s="11"/>
      <c r="J1629" s="17" t="str">
        <f>IF(TRIM(B1629)="","",IF(ISNUMBER(SEARCH(" - ",B1629)),TRIM(RIGHT(B1629,LEN(B1629)-FIND(" - ",B1629)-2)),IFERROR(VLOOKUP(UPPER(TRIM(B1629)), SETUP!$B$4:$C$11, 2, FALSE), UPPER(TRIM(B1629)))))</f>
        <v/>
      </c>
      <c r="K1629" s="23" t="str">
        <f t="shared" si="2"/>
        <v/>
      </c>
      <c r="L1629" s="17" t="str">
        <f t="shared" si="3"/>
        <v/>
      </c>
      <c r="M1629" s="17" t="str">
        <f t="shared" si="4"/>
        <v/>
      </c>
    </row>
    <row r="1630" ht="15.75" customHeight="1">
      <c r="A1630" s="12"/>
      <c r="B1630" s="11"/>
      <c r="C1630" s="11"/>
      <c r="D1630" s="11"/>
      <c r="E1630" s="11" t="str">
        <f>IF(J1630="","", C1630 * IFERROR(VLOOKUP(J1630, SETUP!$A:$D, 3, FALSE), 0))</f>
        <v/>
      </c>
      <c r="F1630" s="11" t="str">
        <f>IF(J1630="","", C1630 * IFERROR(VLOOKUP(J1630, SETUP!$A:$D, 4, FALSE), 0))</f>
        <v/>
      </c>
      <c r="G1630" s="11" t="str">
        <f t="shared" si="1"/>
        <v/>
      </c>
      <c r="H1630" s="22"/>
      <c r="I1630" s="11"/>
      <c r="J1630" s="17" t="str">
        <f>IF(TRIM(B1630)="","",IF(ISNUMBER(SEARCH(" - ",B1630)),TRIM(RIGHT(B1630,LEN(B1630)-FIND(" - ",B1630)-2)),IFERROR(VLOOKUP(UPPER(TRIM(B1630)), SETUP!$B$4:$C$11, 2, FALSE), UPPER(TRIM(B1630)))))</f>
        <v/>
      </c>
      <c r="K1630" s="23" t="str">
        <f t="shared" si="2"/>
        <v/>
      </c>
      <c r="L1630" s="17" t="str">
        <f t="shared" si="3"/>
        <v/>
      </c>
      <c r="M1630" s="17" t="str">
        <f t="shared" si="4"/>
        <v/>
      </c>
    </row>
    <row r="1631" ht="15.75" customHeight="1">
      <c r="A1631" s="12"/>
      <c r="B1631" s="11"/>
      <c r="C1631" s="11"/>
      <c r="D1631" s="11"/>
      <c r="E1631" s="11" t="str">
        <f>IF(J1631="","", C1631 * IFERROR(VLOOKUP(J1631, SETUP!$A:$D, 3, FALSE), 0))</f>
        <v/>
      </c>
      <c r="F1631" s="11" t="str">
        <f>IF(J1631="","", C1631 * IFERROR(VLOOKUP(J1631, SETUP!$A:$D, 4, FALSE), 0))</f>
        <v/>
      </c>
      <c r="G1631" s="11" t="str">
        <f t="shared" si="1"/>
        <v/>
      </c>
      <c r="H1631" s="22"/>
      <c r="I1631" s="11"/>
      <c r="J1631" s="17" t="str">
        <f>IF(TRIM(B1631)="","",IF(ISNUMBER(SEARCH(" - ",B1631)),TRIM(RIGHT(B1631,LEN(B1631)-FIND(" - ",B1631)-2)),IFERROR(VLOOKUP(UPPER(TRIM(B1631)), SETUP!$B$4:$C$11, 2, FALSE), UPPER(TRIM(B1631)))))</f>
        <v/>
      </c>
      <c r="K1631" s="23" t="str">
        <f t="shared" si="2"/>
        <v/>
      </c>
      <c r="L1631" s="17" t="str">
        <f t="shared" si="3"/>
        <v/>
      </c>
      <c r="M1631" s="17" t="str">
        <f t="shared" si="4"/>
        <v/>
      </c>
    </row>
    <row r="1632" ht="15.75" customHeight="1">
      <c r="A1632" s="12"/>
      <c r="B1632" s="11"/>
      <c r="C1632" s="11"/>
      <c r="D1632" s="11"/>
      <c r="E1632" s="11" t="str">
        <f>IF(J1632="","", C1632 * IFERROR(VLOOKUP(J1632, SETUP!$A:$D, 3, FALSE), 0))</f>
        <v/>
      </c>
      <c r="F1632" s="11" t="str">
        <f>IF(J1632="","", C1632 * IFERROR(VLOOKUP(J1632, SETUP!$A:$D, 4, FALSE), 0))</f>
        <v/>
      </c>
      <c r="G1632" s="11" t="str">
        <f t="shared" si="1"/>
        <v/>
      </c>
      <c r="H1632" s="22"/>
      <c r="I1632" s="11"/>
      <c r="J1632" s="17" t="str">
        <f>IF(TRIM(B1632)="","",IF(ISNUMBER(SEARCH(" - ",B1632)),TRIM(RIGHT(B1632,LEN(B1632)-FIND(" - ",B1632)-2)),IFERROR(VLOOKUP(UPPER(TRIM(B1632)), SETUP!$B$4:$C$11, 2, FALSE), UPPER(TRIM(B1632)))))</f>
        <v/>
      </c>
      <c r="K1632" s="23" t="str">
        <f t="shared" si="2"/>
        <v/>
      </c>
      <c r="L1632" s="17" t="str">
        <f t="shared" si="3"/>
        <v/>
      </c>
      <c r="M1632" s="17" t="str">
        <f t="shared" si="4"/>
        <v/>
      </c>
    </row>
    <row r="1633" ht="15.75" customHeight="1">
      <c r="A1633" s="12"/>
      <c r="B1633" s="11"/>
      <c r="C1633" s="11"/>
      <c r="D1633" s="11"/>
      <c r="E1633" s="11" t="str">
        <f>IF(J1633="","", C1633 * IFERROR(VLOOKUP(J1633, SETUP!$A:$D, 3, FALSE), 0))</f>
        <v/>
      </c>
      <c r="F1633" s="11" t="str">
        <f>IF(J1633="","", C1633 * IFERROR(VLOOKUP(J1633, SETUP!$A:$D, 4, FALSE), 0))</f>
        <v/>
      </c>
      <c r="G1633" s="11" t="str">
        <f t="shared" si="1"/>
        <v/>
      </c>
      <c r="H1633" s="22"/>
      <c r="I1633" s="11"/>
      <c r="J1633" s="17" t="str">
        <f>IF(TRIM(B1633)="","",IF(ISNUMBER(SEARCH(" - ",B1633)),TRIM(RIGHT(B1633,LEN(B1633)-FIND(" - ",B1633)-2)),IFERROR(VLOOKUP(UPPER(TRIM(B1633)), SETUP!$B$4:$C$11, 2, FALSE), UPPER(TRIM(B1633)))))</f>
        <v/>
      </c>
      <c r="K1633" s="23" t="str">
        <f t="shared" si="2"/>
        <v/>
      </c>
      <c r="L1633" s="17" t="str">
        <f t="shared" si="3"/>
        <v/>
      </c>
      <c r="M1633" s="17" t="str">
        <f t="shared" si="4"/>
        <v/>
      </c>
    </row>
    <row r="1634" ht="15.75" customHeight="1">
      <c r="A1634" s="12"/>
      <c r="B1634" s="11"/>
      <c r="C1634" s="11"/>
      <c r="D1634" s="11"/>
      <c r="E1634" s="11" t="str">
        <f>IF(J1634="","", C1634 * IFERROR(VLOOKUP(J1634, SETUP!$A:$D, 3, FALSE), 0))</f>
        <v/>
      </c>
      <c r="F1634" s="11" t="str">
        <f>IF(J1634="","", C1634 * IFERROR(VLOOKUP(J1634, SETUP!$A:$D, 4, FALSE), 0))</f>
        <v/>
      </c>
      <c r="G1634" s="11" t="str">
        <f t="shared" si="1"/>
        <v/>
      </c>
      <c r="H1634" s="22"/>
      <c r="I1634" s="11"/>
      <c r="J1634" s="17" t="str">
        <f>IF(TRIM(B1634)="","",IF(ISNUMBER(SEARCH(" - ",B1634)),TRIM(RIGHT(B1634,LEN(B1634)-FIND(" - ",B1634)-2)),IFERROR(VLOOKUP(UPPER(TRIM(B1634)), SETUP!$B$4:$C$11, 2, FALSE), UPPER(TRIM(B1634)))))</f>
        <v/>
      </c>
      <c r="K1634" s="23" t="str">
        <f t="shared" si="2"/>
        <v/>
      </c>
      <c r="L1634" s="17" t="str">
        <f t="shared" si="3"/>
        <v/>
      </c>
      <c r="M1634" s="17" t="str">
        <f t="shared" si="4"/>
        <v/>
      </c>
    </row>
    <row r="1635" ht="15.75" customHeight="1">
      <c r="A1635" s="12"/>
      <c r="B1635" s="11"/>
      <c r="C1635" s="11"/>
      <c r="D1635" s="11"/>
      <c r="E1635" s="11" t="str">
        <f>IF(J1635="","", C1635 * IFERROR(VLOOKUP(J1635, SETUP!$A:$D, 3, FALSE), 0))</f>
        <v/>
      </c>
      <c r="F1635" s="11" t="str">
        <f>IF(J1635="","", C1635 * IFERROR(VLOOKUP(J1635, SETUP!$A:$D, 4, FALSE), 0))</f>
        <v/>
      </c>
      <c r="G1635" s="11" t="str">
        <f t="shared" si="1"/>
        <v/>
      </c>
      <c r="H1635" s="22"/>
      <c r="I1635" s="11"/>
      <c r="J1635" s="17" t="str">
        <f>IF(TRIM(B1635)="","",IF(ISNUMBER(SEARCH(" - ",B1635)),TRIM(RIGHT(B1635,LEN(B1635)-FIND(" - ",B1635)-2)),IFERROR(VLOOKUP(UPPER(TRIM(B1635)), SETUP!$B$4:$C$11, 2, FALSE), UPPER(TRIM(B1635)))))</f>
        <v/>
      </c>
      <c r="K1635" s="23" t="str">
        <f t="shared" si="2"/>
        <v/>
      </c>
      <c r="L1635" s="17" t="str">
        <f t="shared" si="3"/>
        <v/>
      </c>
      <c r="M1635" s="17" t="str">
        <f t="shared" si="4"/>
        <v/>
      </c>
    </row>
    <row r="1636" ht="15.75" customHeight="1">
      <c r="A1636" s="12"/>
      <c r="B1636" s="11"/>
      <c r="C1636" s="11"/>
      <c r="D1636" s="11"/>
      <c r="E1636" s="11" t="str">
        <f>IF(J1636="","", C1636 * IFERROR(VLOOKUP(J1636, SETUP!$A:$D, 3, FALSE), 0))</f>
        <v/>
      </c>
      <c r="F1636" s="11" t="str">
        <f>IF(J1636="","", C1636 * IFERROR(VLOOKUP(J1636, SETUP!$A:$D, 4, FALSE), 0))</f>
        <v/>
      </c>
      <c r="G1636" s="11" t="str">
        <f t="shared" si="1"/>
        <v/>
      </c>
      <c r="H1636" s="22"/>
      <c r="I1636" s="11"/>
      <c r="J1636" s="17" t="str">
        <f>IF(TRIM(B1636)="","",IF(ISNUMBER(SEARCH(" - ",B1636)),TRIM(RIGHT(B1636,LEN(B1636)-FIND(" - ",B1636)-2)),IFERROR(VLOOKUP(UPPER(TRIM(B1636)), SETUP!$B$4:$C$11, 2, FALSE), UPPER(TRIM(B1636)))))</f>
        <v/>
      </c>
      <c r="K1636" s="23" t="str">
        <f t="shared" si="2"/>
        <v/>
      </c>
      <c r="L1636" s="17" t="str">
        <f t="shared" si="3"/>
        <v/>
      </c>
      <c r="M1636" s="17" t="str">
        <f t="shared" si="4"/>
        <v/>
      </c>
    </row>
    <row r="1637" ht="15.75" customHeight="1">
      <c r="A1637" s="12"/>
      <c r="B1637" s="11"/>
      <c r="C1637" s="11"/>
      <c r="D1637" s="11"/>
      <c r="E1637" s="11" t="str">
        <f>IF(J1637="","", C1637 * IFERROR(VLOOKUP(J1637, SETUP!$A:$D, 3, FALSE), 0))</f>
        <v/>
      </c>
      <c r="F1637" s="11" t="str">
        <f>IF(J1637="","", C1637 * IFERROR(VLOOKUP(J1637, SETUP!$A:$D, 4, FALSE), 0))</f>
        <v/>
      </c>
      <c r="G1637" s="11" t="str">
        <f t="shared" si="1"/>
        <v/>
      </c>
      <c r="H1637" s="22"/>
      <c r="I1637" s="11"/>
      <c r="J1637" s="17" t="str">
        <f>IF(TRIM(B1637)="","",IF(ISNUMBER(SEARCH(" - ",B1637)),TRIM(RIGHT(B1637,LEN(B1637)-FIND(" - ",B1637)-2)),IFERROR(VLOOKUP(UPPER(TRIM(B1637)), SETUP!$B$4:$C$11, 2, FALSE), UPPER(TRIM(B1637)))))</f>
        <v/>
      </c>
      <c r="K1637" s="23" t="str">
        <f t="shared" si="2"/>
        <v/>
      </c>
      <c r="L1637" s="17" t="str">
        <f t="shared" si="3"/>
        <v/>
      </c>
      <c r="M1637" s="17" t="str">
        <f t="shared" si="4"/>
        <v/>
      </c>
    </row>
    <row r="1638" ht="15.75" customHeight="1">
      <c r="A1638" s="12"/>
      <c r="B1638" s="11"/>
      <c r="C1638" s="11"/>
      <c r="D1638" s="11"/>
      <c r="E1638" s="11" t="str">
        <f>IF(J1638="","", C1638 * IFERROR(VLOOKUP(J1638, SETUP!$A:$D, 3, FALSE), 0))</f>
        <v/>
      </c>
      <c r="F1638" s="11" t="str">
        <f>IF(J1638="","", C1638 * IFERROR(VLOOKUP(J1638, SETUP!$A:$D, 4, FALSE), 0))</f>
        <v/>
      </c>
      <c r="G1638" s="11" t="str">
        <f t="shared" si="1"/>
        <v/>
      </c>
      <c r="H1638" s="22"/>
      <c r="I1638" s="11"/>
      <c r="J1638" s="17" t="str">
        <f>IF(TRIM(B1638)="","",IF(ISNUMBER(SEARCH(" - ",B1638)),TRIM(RIGHT(B1638,LEN(B1638)-FIND(" - ",B1638)-2)),IFERROR(VLOOKUP(UPPER(TRIM(B1638)), SETUP!$B$4:$C$11, 2, FALSE), UPPER(TRIM(B1638)))))</f>
        <v/>
      </c>
      <c r="K1638" s="23" t="str">
        <f t="shared" si="2"/>
        <v/>
      </c>
      <c r="L1638" s="17" t="str">
        <f t="shared" si="3"/>
        <v/>
      </c>
      <c r="M1638" s="17" t="str">
        <f t="shared" si="4"/>
        <v/>
      </c>
    </row>
    <row r="1639" ht="15.75" customHeight="1">
      <c r="A1639" s="12"/>
      <c r="B1639" s="11"/>
      <c r="C1639" s="11"/>
      <c r="D1639" s="11"/>
      <c r="E1639" s="11" t="str">
        <f>IF(J1639="","", C1639 * IFERROR(VLOOKUP(J1639, SETUP!$A:$D, 3, FALSE), 0))</f>
        <v/>
      </c>
      <c r="F1639" s="11" t="str">
        <f>IF(J1639="","", C1639 * IFERROR(VLOOKUP(J1639, SETUP!$A:$D, 4, FALSE), 0))</f>
        <v/>
      </c>
      <c r="G1639" s="11" t="str">
        <f t="shared" si="1"/>
        <v/>
      </c>
      <c r="H1639" s="22"/>
      <c r="I1639" s="11"/>
      <c r="J1639" s="17" t="str">
        <f>IF(TRIM(B1639)="","",IF(ISNUMBER(SEARCH(" - ",B1639)),TRIM(RIGHT(B1639,LEN(B1639)-FIND(" - ",B1639)-2)),IFERROR(VLOOKUP(UPPER(TRIM(B1639)), SETUP!$B$4:$C$11, 2, FALSE), UPPER(TRIM(B1639)))))</f>
        <v/>
      </c>
      <c r="K1639" s="23" t="str">
        <f t="shared" si="2"/>
        <v/>
      </c>
      <c r="L1639" s="17" t="str">
        <f t="shared" si="3"/>
        <v/>
      </c>
      <c r="M1639" s="17" t="str">
        <f t="shared" si="4"/>
        <v/>
      </c>
    </row>
    <row r="1640" ht="15.75" customHeight="1">
      <c r="A1640" s="12"/>
      <c r="B1640" s="11"/>
      <c r="C1640" s="11"/>
      <c r="D1640" s="11"/>
      <c r="E1640" s="11" t="str">
        <f>IF(J1640="","", C1640 * IFERROR(VLOOKUP(J1640, SETUP!$A:$D, 3, FALSE), 0))</f>
        <v/>
      </c>
      <c r="F1640" s="11" t="str">
        <f>IF(J1640="","", C1640 * IFERROR(VLOOKUP(J1640, SETUP!$A:$D, 4, FALSE), 0))</f>
        <v/>
      </c>
      <c r="G1640" s="11" t="str">
        <f t="shared" si="1"/>
        <v/>
      </c>
      <c r="H1640" s="22"/>
      <c r="I1640" s="11"/>
      <c r="J1640" s="17" t="str">
        <f>IF(TRIM(B1640)="","",IF(ISNUMBER(SEARCH(" - ",B1640)),TRIM(RIGHT(B1640,LEN(B1640)-FIND(" - ",B1640)-2)),IFERROR(VLOOKUP(UPPER(TRIM(B1640)), SETUP!$B$4:$C$11, 2, FALSE), UPPER(TRIM(B1640)))))</f>
        <v/>
      </c>
      <c r="K1640" s="23" t="str">
        <f t="shared" si="2"/>
        <v/>
      </c>
      <c r="L1640" s="17" t="str">
        <f t="shared" si="3"/>
        <v/>
      </c>
      <c r="M1640" s="17" t="str">
        <f t="shared" si="4"/>
        <v/>
      </c>
    </row>
    <row r="1641" ht="15.75" customHeight="1">
      <c r="A1641" s="12"/>
      <c r="B1641" s="11"/>
      <c r="C1641" s="11"/>
      <c r="D1641" s="11"/>
      <c r="E1641" s="11" t="str">
        <f>IF(J1641="","", C1641 * IFERROR(VLOOKUP(J1641, SETUP!$A:$D, 3, FALSE), 0))</f>
        <v/>
      </c>
      <c r="F1641" s="11" t="str">
        <f>IF(J1641="","", C1641 * IFERROR(VLOOKUP(J1641, SETUP!$A:$D, 4, FALSE), 0))</f>
        <v/>
      </c>
      <c r="G1641" s="11" t="str">
        <f t="shared" si="1"/>
        <v/>
      </c>
      <c r="H1641" s="22"/>
      <c r="I1641" s="11"/>
      <c r="J1641" s="17" t="str">
        <f>IF(TRIM(B1641)="","",IF(ISNUMBER(SEARCH(" - ",B1641)),TRIM(RIGHT(B1641,LEN(B1641)-FIND(" - ",B1641)-2)),IFERROR(VLOOKUP(UPPER(TRIM(B1641)), SETUP!$B$4:$C$11, 2, FALSE), UPPER(TRIM(B1641)))))</f>
        <v/>
      </c>
      <c r="K1641" s="23" t="str">
        <f t="shared" si="2"/>
        <v/>
      </c>
      <c r="L1641" s="17" t="str">
        <f t="shared" si="3"/>
        <v/>
      </c>
      <c r="M1641" s="17" t="str">
        <f t="shared" si="4"/>
        <v/>
      </c>
    </row>
    <row r="1642" ht="15.75" customHeight="1">
      <c r="A1642" s="12"/>
      <c r="B1642" s="11"/>
      <c r="C1642" s="11"/>
      <c r="D1642" s="11"/>
      <c r="E1642" s="11" t="str">
        <f>IF(J1642="","", C1642 * IFERROR(VLOOKUP(J1642, SETUP!$A:$D, 3, FALSE), 0))</f>
        <v/>
      </c>
      <c r="F1642" s="11" t="str">
        <f>IF(J1642="","", C1642 * IFERROR(VLOOKUP(J1642, SETUP!$A:$D, 4, FALSE), 0))</f>
        <v/>
      </c>
      <c r="G1642" s="11" t="str">
        <f t="shared" si="1"/>
        <v/>
      </c>
      <c r="H1642" s="22"/>
      <c r="I1642" s="11"/>
      <c r="J1642" s="17" t="str">
        <f>IF(TRIM(B1642)="","",IF(ISNUMBER(SEARCH(" - ",B1642)),TRIM(RIGHT(B1642,LEN(B1642)-FIND(" - ",B1642)-2)),IFERROR(VLOOKUP(UPPER(TRIM(B1642)), SETUP!$B$4:$C$11, 2, FALSE), UPPER(TRIM(B1642)))))</f>
        <v/>
      </c>
      <c r="K1642" s="23" t="str">
        <f t="shared" si="2"/>
        <v/>
      </c>
      <c r="L1642" s="17" t="str">
        <f t="shared" si="3"/>
        <v/>
      </c>
      <c r="M1642" s="17" t="str">
        <f t="shared" si="4"/>
        <v/>
      </c>
    </row>
    <row r="1643" ht="15.75" customHeight="1">
      <c r="A1643" s="12"/>
      <c r="B1643" s="11"/>
      <c r="C1643" s="11"/>
      <c r="D1643" s="11"/>
      <c r="E1643" s="11" t="str">
        <f>IF(J1643="","", C1643 * IFERROR(VLOOKUP(J1643, SETUP!$A:$D, 3, FALSE), 0))</f>
        <v/>
      </c>
      <c r="F1643" s="11" t="str">
        <f>IF(J1643="","", C1643 * IFERROR(VLOOKUP(J1643, SETUP!$A:$D, 4, FALSE), 0))</f>
        <v/>
      </c>
      <c r="G1643" s="11" t="str">
        <f t="shared" si="1"/>
        <v/>
      </c>
      <c r="H1643" s="22"/>
      <c r="I1643" s="11"/>
      <c r="J1643" s="17" t="str">
        <f>IF(TRIM(B1643)="","",IF(ISNUMBER(SEARCH(" - ",B1643)),TRIM(RIGHT(B1643,LEN(B1643)-FIND(" - ",B1643)-2)),IFERROR(VLOOKUP(UPPER(TRIM(B1643)), SETUP!$B$4:$C$11, 2, FALSE), UPPER(TRIM(B1643)))))</f>
        <v/>
      </c>
      <c r="K1643" s="23" t="str">
        <f t="shared" si="2"/>
        <v/>
      </c>
      <c r="L1643" s="17" t="str">
        <f t="shared" si="3"/>
        <v/>
      </c>
      <c r="M1643" s="17" t="str">
        <f t="shared" si="4"/>
        <v/>
      </c>
    </row>
    <row r="1644" ht="15.75" customHeight="1">
      <c r="A1644" s="12"/>
      <c r="B1644" s="11"/>
      <c r="C1644" s="11"/>
      <c r="D1644" s="11"/>
      <c r="E1644" s="11" t="str">
        <f>IF(J1644="","", C1644 * IFERROR(VLOOKUP(J1644, SETUP!$A:$D, 3, FALSE), 0))</f>
        <v/>
      </c>
      <c r="F1644" s="11" t="str">
        <f>IF(J1644="","", C1644 * IFERROR(VLOOKUP(J1644, SETUP!$A:$D, 4, FALSE), 0))</f>
        <v/>
      </c>
      <c r="G1644" s="11" t="str">
        <f t="shared" si="1"/>
        <v/>
      </c>
      <c r="H1644" s="22"/>
      <c r="I1644" s="11"/>
      <c r="J1644" s="17" t="str">
        <f>IF(TRIM(B1644)="","",IF(ISNUMBER(SEARCH(" - ",B1644)),TRIM(RIGHT(B1644,LEN(B1644)-FIND(" - ",B1644)-2)),IFERROR(VLOOKUP(UPPER(TRIM(B1644)), SETUP!$B$4:$C$11, 2, FALSE), UPPER(TRIM(B1644)))))</f>
        <v/>
      </c>
      <c r="K1644" s="23" t="str">
        <f t="shared" si="2"/>
        <v/>
      </c>
      <c r="L1644" s="17" t="str">
        <f t="shared" si="3"/>
        <v/>
      </c>
      <c r="M1644" s="17" t="str">
        <f t="shared" si="4"/>
        <v/>
      </c>
    </row>
    <row r="1645" ht="15.75" customHeight="1">
      <c r="A1645" s="12"/>
      <c r="B1645" s="11"/>
      <c r="C1645" s="11"/>
      <c r="D1645" s="11"/>
      <c r="E1645" s="11" t="str">
        <f>IF(J1645="","", C1645 * IFERROR(VLOOKUP(J1645, SETUP!$A:$D, 3, FALSE), 0))</f>
        <v/>
      </c>
      <c r="F1645" s="11" t="str">
        <f>IF(J1645="","", C1645 * IFERROR(VLOOKUP(J1645, SETUP!$A:$D, 4, FALSE), 0))</f>
        <v/>
      </c>
      <c r="G1645" s="11" t="str">
        <f t="shared" si="1"/>
        <v/>
      </c>
      <c r="H1645" s="22"/>
      <c r="I1645" s="11"/>
      <c r="J1645" s="17" t="str">
        <f>IF(TRIM(B1645)="","",IF(ISNUMBER(SEARCH(" - ",B1645)),TRIM(RIGHT(B1645,LEN(B1645)-FIND(" - ",B1645)-2)),IFERROR(VLOOKUP(UPPER(TRIM(B1645)), SETUP!$B$4:$C$11, 2, FALSE), UPPER(TRIM(B1645)))))</f>
        <v/>
      </c>
      <c r="K1645" s="23" t="str">
        <f t="shared" si="2"/>
        <v/>
      </c>
      <c r="L1645" s="17" t="str">
        <f t="shared" si="3"/>
        <v/>
      </c>
      <c r="M1645" s="17" t="str">
        <f t="shared" si="4"/>
        <v/>
      </c>
    </row>
    <row r="1646" ht="15.75" customHeight="1">
      <c r="A1646" s="12"/>
      <c r="B1646" s="11"/>
      <c r="C1646" s="11"/>
      <c r="D1646" s="11"/>
      <c r="E1646" s="11" t="str">
        <f>IF(J1646="","", C1646 * IFERROR(VLOOKUP(J1646, SETUP!$A:$D, 3, FALSE), 0))</f>
        <v/>
      </c>
      <c r="F1646" s="11" t="str">
        <f>IF(J1646="","", C1646 * IFERROR(VLOOKUP(J1646, SETUP!$A:$D, 4, FALSE), 0))</f>
        <v/>
      </c>
      <c r="G1646" s="11" t="str">
        <f t="shared" si="1"/>
        <v/>
      </c>
      <c r="H1646" s="22"/>
      <c r="I1646" s="11"/>
      <c r="J1646" s="17" t="str">
        <f>IF(TRIM(B1646)="","",IF(ISNUMBER(SEARCH(" - ",B1646)),TRIM(RIGHT(B1646,LEN(B1646)-FIND(" - ",B1646)-2)),IFERROR(VLOOKUP(UPPER(TRIM(B1646)), SETUP!$B$4:$C$11, 2, FALSE), UPPER(TRIM(B1646)))))</f>
        <v/>
      </c>
      <c r="K1646" s="23" t="str">
        <f t="shared" si="2"/>
        <v/>
      </c>
      <c r="L1646" s="17" t="str">
        <f t="shared" si="3"/>
        <v/>
      </c>
      <c r="M1646" s="17" t="str">
        <f t="shared" si="4"/>
        <v/>
      </c>
    </row>
    <row r="1647" ht="15.75" customHeight="1">
      <c r="A1647" s="12"/>
      <c r="B1647" s="11"/>
      <c r="C1647" s="11"/>
      <c r="D1647" s="11"/>
      <c r="E1647" s="11" t="str">
        <f>IF(J1647="","", C1647 * IFERROR(VLOOKUP(J1647, SETUP!$A:$D, 3, FALSE), 0))</f>
        <v/>
      </c>
      <c r="F1647" s="11" t="str">
        <f>IF(J1647="","", C1647 * IFERROR(VLOOKUP(J1647, SETUP!$A:$D, 4, FALSE), 0))</f>
        <v/>
      </c>
      <c r="G1647" s="11" t="str">
        <f t="shared" si="1"/>
        <v/>
      </c>
      <c r="H1647" s="22"/>
      <c r="I1647" s="11"/>
      <c r="J1647" s="17" t="str">
        <f>IF(TRIM(B1647)="","",IF(ISNUMBER(SEARCH(" - ",B1647)),TRIM(RIGHT(B1647,LEN(B1647)-FIND(" - ",B1647)-2)),IFERROR(VLOOKUP(UPPER(TRIM(B1647)), SETUP!$B$4:$C$11, 2, FALSE), UPPER(TRIM(B1647)))))</f>
        <v/>
      </c>
      <c r="K1647" s="23" t="str">
        <f t="shared" si="2"/>
        <v/>
      </c>
      <c r="L1647" s="17" t="str">
        <f t="shared" si="3"/>
        <v/>
      </c>
      <c r="M1647" s="17" t="str">
        <f t="shared" si="4"/>
        <v/>
      </c>
    </row>
    <row r="1648" ht="15.75" customHeight="1">
      <c r="A1648" s="12"/>
      <c r="B1648" s="11"/>
      <c r="C1648" s="11"/>
      <c r="D1648" s="11"/>
      <c r="E1648" s="11" t="str">
        <f>IF(J1648="","", C1648 * IFERROR(VLOOKUP(J1648, SETUP!$A:$D, 3, FALSE), 0))</f>
        <v/>
      </c>
      <c r="F1648" s="11" t="str">
        <f>IF(J1648="","", C1648 * IFERROR(VLOOKUP(J1648, SETUP!$A:$D, 4, FALSE), 0))</f>
        <v/>
      </c>
      <c r="G1648" s="11" t="str">
        <f t="shared" si="1"/>
        <v/>
      </c>
      <c r="H1648" s="22"/>
      <c r="I1648" s="11"/>
      <c r="J1648" s="17" t="str">
        <f>IF(TRIM(B1648)="","",IF(ISNUMBER(SEARCH(" - ",B1648)),TRIM(RIGHT(B1648,LEN(B1648)-FIND(" - ",B1648)-2)),IFERROR(VLOOKUP(UPPER(TRIM(B1648)), SETUP!$B$4:$C$11, 2, FALSE), UPPER(TRIM(B1648)))))</f>
        <v/>
      </c>
      <c r="K1648" s="23" t="str">
        <f t="shared" si="2"/>
        <v/>
      </c>
      <c r="L1648" s="17" t="str">
        <f t="shared" si="3"/>
        <v/>
      </c>
      <c r="M1648" s="17" t="str">
        <f t="shared" si="4"/>
        <v/>
      </c>
    </row>
    <row r="1649" ht="15.75" customHeight="1">
      <c r="A1649" s="12"/>
      <c r="B1649" s="11"/>
      <c r="C1649" s="11"/>
      <c r="D1649" s="11"/>
      <c r="E1649" s="11" t="str">
        <f>IF(J1649="","", C1649 * IFERROR(VLOOKUP(J1649, SETUP!$A:$D, 3, FALSE), 0))</f>
        <v/>
      </c>
      <c r="F1649" s="11" t="str">
        <f>IF(J1649="","", C1649 * IFERROR(VLOOKUP(J1649, SETUP!$A:$D, 4, FALSE), 0))</f>
        <v/>
      </c>
      <c r="G1649" s="11" t="str">
        <f t="shared" si="1"/>
        <v/>
      </c>
      <c r="H1649" s="22"/>
      <c r="I1649" s="11"/>
      <c r="J1649" s="17" t="str">
        <f>IF(TRIM(B1649)="","",IF(ISNUMBER(SEARCH(" - ",B1649)),TRIM(RIGHT(B1649,LEN(B1649)-FIND(" - ",B1649)-2)),IFERROR(VLOOKUP(UPPER(TRIM(B1649)), SETUP!$B$4:$C$11, 2, FALSE), UPPER(TRIM(B1649)))))</f>
        <v/>
      </c>
      <c r="K1649" s="23" t="str">
        <f t="shared" si="2"/>
        <v/>
      </c>
      <c r="L1649" s="17" t="str">
        <f t="shared" si="3"/>
        <v/>
      </c>
      <c r="M1649" s="17" t="str">
        <f t="shared" si="4"/>
        <v/>
      </c>
    </row>
    <row r="1650" ht="15.75" customHeight="1">
      <c r="A1650" s="12"/>
      <c r="B1650" s="11"/>
      <c r="C1650" s="11"/>
      <c r="D1650" s="11"/>
      <c r="E1650" s="11" t="str">
        <f>IF(J1650="","", C1650 * IFERROR(VLOOKUP(J1650, SETUP!$A:$D, 3, FALSE), 0))</f>
        <v/>
      </c>
      <c r="F1650" s="11" t="str">
        <f>IF(J1650="","", C1650 * IFERROR(VLOOKUP(J1650, SETUP!$A:$D, 4, FALSE), 0))</f>
        <v/>
      </c>
      <c r="G1650" s="11" t="str">
        <f t="shared" si="1"/>
        <v/>
      </c>
      <c r="H1650" s="22"/>
      <c r="I1650" s="11"/>
      <c r="J1650" s="17" t="str">
        <f>IF(TRIM(B1650)="","",IF(ISNUMBER(SEARCH(" - ",B1650)),TRIM(RIGHT(B1650,LEN(B1650)-FIND(" - ",B1650)-2)),IFERROR(VLOOKUP(UPPER(TRIM(B1650)), SETUP!$B$4:$C$11, 2, FALSE), UPPER(TRIM(B1650)))))</f>
        <v/>
      </c>
      <c r="K1650" s="23" t="str">
        <f t="shared" si="2"/>
        <v/>
      </c>
      <c r="L1650" s="17" t="str">
        <f t="shared" si="3"/>
        <v/>
      </c>
      <c r="M1650" s="17" t="str">
        <f t="shared" si="4"/>
        <v/>
      </c>
    </row>
    <row r="1651" ht="15.75" customHeight="1">
      <c r="A1651" s="12"/>
      <c r="B1651" s="11"/>
      <c r="C1651" s="11"/>
      <c r="D1651" s="11"/>
      <c r="E1651" s="11" t="str">
        <f>IF(J1651="","", C1651 * IFERROR(VLOOKUP(J1651, SETUP!$A:$D, 3, FALSE), 0))</f>
        <v/>
      </c>
      <c r="F1651" s="11" t="str">
        <f>IF(J1651="","", C1651 * IFERROR(VLOOKUP(J1651, SETUP!$A:$D, 4, FALSE), 0))</f>
        <v/>
      </c>
      <c r="G1651" s="11" t="str">
        <f t="shared" si="1"/>
        <v/>
      </c>
      <c r="H1651" s="22"/>
      <c r="I1651" s="11"/>
      <c r="J1651" s="17" t="str">
        <f>IF(TRIM(B1651)="","",IF(ISNUMBER(SEARCH(" - ",B1651)),TRIM(RIGHT(B1651,LEN(B1651)-FIND(" - ",B1651)-2)),IFERROR(VLOOKUP(UPPER(TRIM(B1651)), SETUP!$B$4:$C$11, 2, FALSE), UPPER(TRIM(B1651)))))</f>
        <v/>
      </c>
      <c r="K1651" s="23" t="str">
        <f t="shared" si="2"/>
        <v/>
      </c>
      <c r="L1651" s="17" t="str">
        <f t="shared" si="3"/>
        <v/>
      </c>
      <c r="M1651" s="17" t="str">
        <f t="shared" si="4"/>
        <v/>
      </c>
    </row>
    <row r="1652" ht="15.75" customHeight="1">
      <c r="A1652" s="12"/>
      <c r="B1652" s="11"/>
      <c r="C1652" s="11"/>
      <c r="D1652" s="11"/>
      <c r="E1652" s="11" t="str">
        <f>IF(J1652="","", C1652 * IFERROR(VLOOKUP(J1652, SETUP!$A:$D, 3, FALSE), 0))</f>
        <v/>
      </c>
      <c r="F1652" s="11" t="str">
        <f>IF(J1652="","", C1652 * IFERROR(VLOOKUP(J1652, SETUP!$A:$D, 4, FALSE), 0))</f>
        <v/>
      </c>
      <c r="G1652" s="11" t="str">
        <f t="shared" si="1"/>
        <v/>
      </c>
      <c r="H1652" s="22"/>
      <c r="I1652" s="11"/>
      <c r="J1652" s="17" t="str">
        <f>IF(TRIM(B1652)="","",IF(ISNUMBER(SEARCH(" - ",B1652)),TRIM(RIGHT(B1652,LEN(B1652)-FIND(" - ",B1652)-2)),IFERROR(VLOOKUP(UPPER(TRIM(B1652)), SETUP!$B$4:$C$11, 2, FALSE), UPPER(TRIM(B1652)))))</f>
        <v/>
      </c>
      <c r="K1652" s="23" t="str">
        <f t="shared" si="2"/>
        <v/>
      </c>
      <c r="L1652" s="17" t="str">
        <f t="shared" si="3"/>
        <v/>
      </c>
      <c r="M1652" s="17" t="str">
        <f t="shared" si="4"/>
        <v/>
      </c>
    </row>
    <row r="1653" ht="15.75" customHeight="1">
      <c r="A1653" s="12"/>
      <c r="B1653" s="11"/>
      <c r="C1653" s="11"/>
      <c r="D1653" s="11"/>
      <c r="E1653" s="11" t="str">
        <f>IF(J1653="","", C1653 * IFERROR(VLOOKUP(J1653, SETUP!$A:$D, 3, FALSE), 0))</f>
        <v/>
      </c>
      <c r="F1653" s="11" t="str">
        <f>IF(J1653="","", C1653 * IFERROR(VLOOKUP(J1653, SETUP!$A:$D, 4, FALSE), 0))</f>
        <v/>
      </c>
      <c r="G1653" s="11" t="str">
        <f t="shared" si="1"/>
        <v/>
      </c>
      <c r="H1653" s="22"/>
      <c r="I1653" s="11"/>
      <c r="J1653" s="17" t="str">
        <f>IF(TRIM(B1653)="","",IF(ISNUMBER(SEARCH(" - ",B1653)),TRIM(RIGHT(B1653,LEN(B1653)-FIND(" - ",B1653)-2)),IFERROR(VLOOKUP(UPPER(TRIM(B1653)), SETUP!$B$4:$C$11, 2, FALSE), UPPER(TRIM(B1653)))))</f>
        <v/>
      </c>
      <c r="K1653" s="23" t="str">
        <f t="shared" si="2"/>
        <v/>
      </c>
      <c r="L1653" s="17" t="str">
        <f t="shared" si="3"/>
        <v/>
      </c>
      <c r="M1653" s="17" t="str">
        <f t="shared" si="4"/>
        <v/>
      </c>
    </row>
    <row r="1654" ht="15.75" customHeight="1">
      <c r="A1654" s="12"/>
      <c r="B1654" s="11"/>
      <c r="C1654" s="11"/>
      <c r="D1654" s="11"/>
      <c r="E1654" s="11" t="str">
        <f>IF(J1654="","", C1654 * IFERROR(VLOOKUP(J1654, SETUP!$A:$D, 3, FALSE), 0))</f>
        <v/>
      </c>
      <c r="F1654" s="11" t="str">
        <f>IF(J1654="","", C1654 * IFERROR(VLOOKUP(J1654, SETUP!$A:$D, 4, FALSE), 0))</f>
        <v/>
      </c>
      <c r="G1654" s="11" t="str">
        <f t="shared" si="1"/>
        <v/>
      </c>
      <c r="H1654" s="22"/>
      <c r="I1654" s="11"/>
      <c r="J1654" s="17" t="str">
        <f>IF(TRIM(B1654)="","",IF(ISNUMBER(SEARCH(" - ",B1654)),TRIM(RIGHT(B1654,LEN(B1654)-FIND(" - ",B1654)-2)),IFERROR(VLOOKUP(UPPER(TRIM(B1654)), SETUP!$B$4:$C$11, 2, FALSE), UPPER(TRIM(B1654)))))</f>
        <v/>
      </c>
      <c r="K1654" s="23" t="str">
        <f t="shared" si="2"/>
        <v/>
      </c>
      <c r="L1654" s="17" t="str">
        <f t="shared" si="3"/>
        <v/>
      </c>
      <c r="M1654" s="17" t="str">
        <f t="shared" si="4"/>
        <v/>
      </c>
    </row>
    <row r="1655" ht="15.75" customHeight="1">
      <c r="A1655" s="12"/>
      <c r="B1655" s="11"/>
      <c r="C1655" s="11"/>
      <c r="D1655" s="11"/>
      <c r="E1655" s="11" t="str">
        <f>IF(J1655="","", C1655 * IFERROR(VLOOKUP(J1655, SETUP!$A:$D, 3, FALSE), 0))</f>
        <v/>
      </c>
      <c r="F1655" s="11" t="str">
        <f>IF(J1655="","", C1655 * IFERROR(VLOOKUP(J1655, SETUP!$A:$D, 4, FALSE), 0))</f>
        <v/>
      </c>
      <c r="G1655" s="11" t="str">
        <f t="shared" si="1"/>
        <v/>
      </c>
      <c r="H1655" s="22"/>
      <c r="I1655" s="11"/>
      <c r="J1655" s="17" t="str">
        <f>IF(TRIM(B1655)="","",IF(ISNUMBER(SEARCH(" - ",B1655)),TRIM(RIGHT(B1655,LEN(B1655)-FIND(" - ",B1655)-2)),IFERROR(VLOOKUP(UPPER(TRIM(B1655)), SETUP!$B$4:$C$11, 2, FALSE), UPPER(TRIM(B1655)))))</f>
        <v/>
      </c>
      <c r="K1655" s="23" t="str">
        <f t="shared" si="2"/>
        <v/>
      </c>
      <c r="L1655" s="17" t="str">
        <f t="shared" si="3"/>
        <v/>
      </c>
      <c r="M1655" s="17" t="str">
        <f t="shared" si="4"/>
        <v/>
      </c>
    </row>
    <row r="1656" ht="15.75" customHeight="1">
      <c r="A1656" s="12"/>
      <c r="B1656" s="11"/>
      <c r="C1656" s="11"/>
      <c r="D1656" s="11"/>
      <c r="E1656" s="11" t="str">
        <f>IF(J1656="","", C1656 * IFERROR(VLOOKUP(J1656, SETUP!$A:$D, 3, FALSE), 0))</f>
        <v/>
      </c>
      <c r="F1656" s="11" t="str">
        <f>IF(J1656="","", C1656 * IFERROR(VLOOKUP(J1656, SETUP!$A:$D, 4, FALSE), 0))</f>
        <v/>
      </c>
      <c r="G1656" s="11" t="str">
        <f t="shared" si="1"/>
        <v/>
      </c>
      <c r="H1656" s="22"/>
      <c r="I1656" s="11"/>
      <c r="J1656" s="17" t="str">
        <f>IF(TRIM(B1656)="","",IF(ISNUMBER(SEARCH(" - ",B1656)),TRIM(RIGHT(B1656,LEN(B1656)-FIND(" - ",B1656)-2)),IFERROR(VLOOKUP(UPPER(TRIM(B1656)), SETUP!$B$4:$C$11, 2, FALSE), UPPER(TRIM(B1656)))))</f>
        <v/>
      </c>
      <c r="K1656" s="23" t="str">
        <f t="shared" si="2"/>
        <v/>
      </c>
      <c r="L1656" s="17" t="str">
        <f t="shared" si="3"/>
        <v/>
      </c>
      <c r="M1656" s="17" t="str">
        <f t="shared" si="4"/>
        <v/>
      </c>
    </row>
    <row r="1657" ht="15.75" customHeight="1">
      <c r="A1657" s="12"/>
      <c r="B1657" s="11"/>
      <c r="C1657" s="11"/>
      <c r="D1657" s="11"/>
      <c r="E1657" s="11" t="str">
        <f>IF(J1657="","", C1657 * IFERROR(VLOOKUP(J1657, SETUP!$A:$D, 3, FALSE), 0))</f>
        <v/>
      </c>
      <c r="F1657" s="11" t="str">
        <f>IF(J1657="","", C1657 * IFERROR(VLOOKUP(J1657, SETUP!$A:$D, 4, FALSE), 0))</f>
        <v/>
      </c>
      <c r="G1657" s="11" t="str">
        <f t="shared" si="1"/>
        <v/>
      </c>
      <c r="H1657" s="22"/>
      <c r="I1657" s="11"/>
      <c r="J1657" s="17" t="str">
        <f>IF(TRIM(B1657)="","",IF(ISNUMBER(SEARCH(" - ",B1657)),TRIM(RIGHT(B1657,LEN(B1657)-FIND(" - ",B1657)-2)),IFERROR(VLOOKUP(UPPER(TRIM(B1657)), SETUP!$B$4:$C$11, 2, FALSE), UPPER(TRIM(B1657)))))</f>
        <v/>
      </c>
      <c r="K1657" s="23" t="str">
        <f t="shared" si="2"/>
        <v/>
      </c>
      <c r="L1657" s="17" t="str">
        <f t="shared" si="3"/>
        <v/>
      </c>
      <c r="M1657" s="17" t="str">
        <f t="shared" si="4"/>
        <v/>
      </c>
    </row>
    <row r="1658" ht="15.75" customHeight="1">
      <c r="A1658" s="12"/>
      <c r="B1658" s="11"/>
      <c r="C1658" s="11"/>
      <c r="D1658" s="11"/>
      <c r="E1658" s="11" t="str">
        <f>IF(J1658="","", C1658 * IFERROR(VLOOKUP(J1658, SETUP!$A:$D, 3, FALSE), 0))</f>
        <v/>
      </c>
      <c r="F1658" s="11" t="str">
        <f>IF(J1658="","", C1658 * IFERROR(VLOOKUP(J1658, SETUP!$A:$D, 4, FALSE), 0))</f>
        <v/>
      </c>
      <c r="G1658" s="11" t="str">
        <f t="shared" si="1"/>
        <v/>
      </c>
      <c r="H1658" s="22"/>
      <c r="I1658" s="11"/>
      <c r="J1658" s="17" t="str">
        <f>IF(TRIM(B1658)="","",IF(ISNUMBER(SEARCH(" - ",B1658)),TRIM(RIGHT(B1658,LEN(B1658)-FIND(" - ",B1658)-2)),IFERROR(VLOOKUP(UPPER(TRIM(B1658)), SETUP!$B$4:$C$11, 2, FALSE), UPPER(TRIM(B1658)))))</f>
        <v/>
      </c>
      <c r="K1658" s="23" t="str">
        <f t="shared" si="2"/>
        <v/>
      </c>
      <c r="L1658" s="17" t="str">
        <f t="shared" si="3"/>
        <v/>
      </c>
      <c r="M1658" s="17" t="str">
        <f t="shared" si="4"/>
        <v/>
      </c>
    </row>
    <row r="1659" ht="15.75" customHeight="1">
      <c r="A1659" s="12"/>
      <c r="B1659" s="11"/>
      <c r="C1659" s="11"/>
      <c r="D1659" s="11"/>
      <c r="E1659" s="11" t="str">
        <f>IF(J1659="","", C1659 * IFERROR(VLOOKUP(J1659, SETUP!$A:$D, 3, FALSE), 0))</f>
        <v/>
      </c>
      <c r="F1659" s="11" t="str">
        <f>IF(J1659="","", C1659 * IFERROR(VLOOKUP(J1659, SETUP!$A:$D, 4, FALSE), 0))</f>
        <v/>
      </c>
      <c r="G1659" s="11" t="str">
        <f t="shared" si="1"/>
        <v/>
      </c>
      <c r="H1659" s="22"/>
      <c r="I1659" s="11"/>
      <c r="J1659" s="17" t="str">
        <f>IF(TRIM(B1659)="","",IF(ISNUMBER(SEARCH(" - ",B1659)),TRIM(RIGHT(B1659,LEN(B1659)-FIND(" - ",B1659)-2)),IFERROR(VLOOKUP(UPPER(TRIM(B1659)), SETUP!$B$4:$C$11, 2, FALSE), UPPER(TRIM(B1659)))))</f>
        <v/>
      </c>
      <c r="K1659" s="23" t="str">
        <f t="shared" si="2"/>
        <v/>
      </c>
      <c r="L1659" s="17" t="str">
        <f t="shared" si="3"/>
        <v/>
      </c>
      <c r="M1659" s="17" t="str">
        <f t="shared" si="4"/>
        <v/>
      </c>
    </row>
    <row r="1660" ht="15.75" customHeight="1">
      <c r="A1660" s="12"/>
      <c r="B1660" s="11"/>
      <c r="C1660" s="11"/>
      <c r="D1660" s="11"/>
      <c r="E1660" s="11" t="str">
        <f>IF(J1660="","", C1660 * IFERROR(VLOOKUP(J1660, SETUP!$A:$D, 3, FALSE), 0))</f>
        <v/>
      </c>
      <c r="F1660" s="11" t="str">
        <f>IF(J1660="","", C1660 * IFERROR(VLOOKUP(J1660, SETUP!$A:$D, 4, FALSE), 0))</f>
        <v/>
      </c>
      <c r="G1660" s="11" t="str">
        <f t="shared" si="1"/>
        <v/>
      </c>
      <c r="H1660" s="22"/>
      <c r="I1660" s="11"/>
      <c r="J1660" s="17" t="str">
        <f>IF(TRIM(B1660)="","",IF(ISNUMBER(SEARCH(" - ",B1660)),TRIM(RIGHT(B1660,LEN(B1660)-FIND(" - ",B1660)-2)),IFERROR(VLOOKUP(UPPER(TRIM(B1660)), SETUP!$B$4:$C$11, 2, FALSE), UPPER(TRIM(B1660)))))</f>
        <v/>
      </c>
      <c r="K1660" s="23" t="str">
        <f t="shared" si="2"/>
        <v/>
      </c>
      <c r="L1660" s="17" t="str">
        <f t="shared" si="3"/>
        <v/>
      </c>
      <c r="M1660" s="17" t="str">
        <f t="shared" si="4"/>
        <v/>
      </c>
    </row>
    <row r="1661" ht="15.75" customHeight="1">
      <c r="A1661" s="12"/>
      <c r="B1661" s="11"/>
      <c r="C1661" s="11"/>
      <c r="D1661" s="11"/>
      <c r="E1661" s="11" t="str">
        <f>IF(J1661="","", C1661 * IFERROR(VLOOKUP(J1661, SETUP!$A:$D, 3, FALSE), 0))</f>
        <v/>
      </c>
      <c r="F1661" s="11" t="str">
        <f>IF(J1661="","", C1661 * IFERROR(VLOOKUP(J1661, SETUP!$A:$D, 4, FALSE), 0))</f>
        <v/>
      </c>
      <c r="G1661" s="11" t="str">
        <f t="shared" si="1"/>
        <v/>
      </c>
      <c r="H1661" s="22"/>
      <c r="I1661" s="11"/>
      <c r="J1661" s="17" t="str">
        <f>IF(TRIM(B1661)="","",IF(ISNUMBER(SEARCH(" - ",B1661)),TRIM(RIGHT(B1661,LEN(B1661)-FIND(" - ",B1661)-2)),IFERROR(VLOOKUP(UPPER(TRIM(B1661)), SETUP!$B$4:$C$11, 2, FALSE), UPPER(TRIM(B1661)))))</f>
        <v/>
      </c>
      <c r="K1661" s="23" t="str">
        <f t="shared" si="2"/>
        <v/>
      </c>
      <c r="L1661" s="17" t="str">
        <f t="shared" si="3"/>
        <v/>
      </c>
      <c r="M1661" s="17" t="str">
        <f t="shared" si="4"/>
        <v/>
      </c>
    </row>
    <row r="1662" ht="15.75" customHeight="1">
      <c r="A1662" s="12"/>
      <c r="B1662" s="11"/>
      <c r="C1662" s="11"/>
      <c r="D1662" s="11"/>
      <c r="E1662" s="11" t="str">
        <f>IF(J1662="","", C1662 * IFERROR(VLOOKUP(J1662, SETUP!$A:$D, 3, FALSE), 0))</f>
        <v/>
      </c>
      <c r="F1662" s="11" t="str">
        <f>IF(J1662="","", C1662 * IFERROR(VLOOKUP(J1662, SETUP!$A:$D, 4, FALSE), 0))</f>
        <v/>
      </c>
      <c r="G1662" s="11" t="str">
        <f t="shared" si="1"/>
        <v/>
      </c>
      <c r="H1662" s="22"/>
      <c r="I1662" s="11"/>
      <c r="J1662" s="17" t="str">
        <f>IF(TRIM(B1662)="","",IF(ISNUMBER(SEARCH(" - ",B1662)),TRIM(RIGHT(B1662,LEN(B1662)-FIND(" - ",B1662)-2)),IFERROR(VLOOKUP(UPPER(TRIM(B1662)), SETUP!$B$4:$C$11, 2, FALSE), UPPER(TRIM(B1662)))))</f>
        <v/>
      </c>
      <c r="K1662" s="23" t="str">
        <f t="shared" si="2"/>
        <v/>
      </c>
      <c r="L1662" s="17" t="str">
        <f t="shared" si="3"/>
        <v/>
      </c>
      <c r="M1662" s="17" t="str">
        <f t="shared" si="4"/>
        <v/>
      </c>
    </row>
    <row r="1663" ht="15.75" customHeight="1">
      <c r="A1663" s="12"/>
      <c r="B1663" s="11"/>
      <c r="C1663" s="11"/>
      <c r="D1663" s="11"/>
      <c r="E1663" s="11" t="str">
        <f>IF(J1663="","", C1663 * IFERROR(VLOOKUP(J1663, SETUP!$A:$D, 3, FALSE), 0))</f>
        <v/>
      </c>
      <c r="F1663" s="11" t="str">
        <f>IF(J1663="","", C1663 * IFERROR(VLOOKUP(J1663, SETUP!$A:$D, 4, FALSE), 0))</f>
        <v/>
      </c>
      <c r="G1663" s="11" t="str">
        <f t="shared" si="1"/>
        <v/>
      </c>
      <c r="H1663" s="22"/>
      <c r="I1663" s="11"/>
      <c r="J1663" s="17" t="str">
        <f>IF(TRIM(B1663)="","",IF(ISNUMBER(SEARCH(" - ",B1663)),TRIM(RIGHT(B1663,LEN(B1663)-FIND(" - ",B1663)-2)),IFERROR(VLOOKUP(UPPER(TRIM(B1663)), SETUP!$B$4:$C$11, 2, FALSE), UPPER(TRIM(B1663)))))</f>
        <v/>
      </c>
      <c r="K1663" s="23" t="str">
        <f t="shared" si="2"/>
        <v/>
      </c>
      <c r="L1663" s="17" t="str">
        <f t="shared" si="3"/>
        <v/>
      </c>
      <c r="M1663" s="17" t="str">
        <f t="shared" si="4"/>
        <v/>
      </c>
    </row>
    <row r="1664" ht="15.75" customHeight="1">
      <c r="A1664" s="12"/>
      <c r="B1664" s="11"/>
      <c r="C1664" s="11"/>
      <c r="D1664" s="11"/>
      <c r="E1664" s="11" t="str">
        <f>IF(J1664="","", C1664 * IFERROR(VLOOKUP(J1664, SETUP!$A:$D, 3, FALSE), 0))</f>
        <v/>
      </c>
      <c r="F1664" s="11" t="str">
        <f>IF(J1664="","", C1664 * IFERROR(VLOOKUP(J1664, SETUP!$A:$D, 4, FALSE), 0))</f>
        <v/>
      </c>
      <c r="G1664" s="11" t="str">
        <f t="shared" si="1"/>
        <v/>
      </c>
      <c r="H1664" s="22"/>
      <c r="I1664" s="11"/>
      <c r="J1664" s="17" t="str">
        <f>IF(TRIM(B1664)="","",IF(ISNUMBER(SEARCH(" - ",B1664)),TRIM(RIGHT(B1664,LEN(B1664)-FIND(" - ",B1664)-2)),IFERROR(VLOOKUP(UPPER(TRIM(B1664)), SETUP!$B$4:$C$11, 2, FALSE), UPPER(TRIM(B1664)))))</f>
        <v/>
      </c>
      <c r="K1664" s="23" t="str">
        <f t="shared" si="2"/>
        <v/>
      </c>
      <c r="L1664" s="17" t="str">
        <f t="shared" si="3"/>
        <v/>
      </c>
      <c r="M1664" s="17" t="str">
        <f t="shared" si="4"/>
        <v/>
      </c>
    </row>
    <row r="1665" ht="15.75" customHeight="1">
      <c r="A1665" s="12"/>
      <c r="B1665" s="11"/>
      <c r="C1665" s="11"/>
      <c r="D1665" s="11"/>
      <c r="E1665" s="11" t="str">
        <f>IF(J1665="","", C1665 * IFERROR(VLOOKUP(J1665, SETUP!$A:$D, 3, FALSE), 0))</f>
        <v/>
      </c>
      <c r="F1665" s="11" t="str">
        <f>IF(J1665="","", C1665 * IFERROR(VLOOKUP(J1665, SETUP!$A:$D, 4, FALSE), 0))</f>
        <v/>
      </c>
      <c r="G1665" s="11" t="str">
        <f t="shared" si="1"/>
        <v/>
      </c>
      <c r="H1665" s="22"/>
      <c r="I1665" s="11"/>
      <c r="J1665" s="17" t="str">
        <f>IF(TRIM(B1665)="","",IF(ISNUMBER(SEARCH(" - ",B1665)),TRIM(RIGHT(B1665,LEN(B1665)-FIND(" - ",B1665)-2)),IFERROR(VLOOKUP(UPPER(TRIM(B1665)), SETUP!$B$4:$C$11, 2, FALSE), UPPER(TRIM(B1665)))))</f>
        <v/>
      </c>
      <c r="K1665" s="23" t="str">
        <f t="shared" si="2"/>
        <v/>
      </c>
      <c r="L1665" s="17" t="str">
        <f t="shared" si="3"/>
        <v/>
      </c>
      <c r="M1665" s="17" t="str">
        <f t="shared" si="4"/>
        <v/>
      </c>
    </row>
    <row r="1666" ht="15.75" customHeight="1">
      <c r="A1666" s="12"/>
      <c r="B1666" s="11"/>
      <c r="C1666" s="11"/>
      <c r="D1666" s="11"/>
      <c r="E1666" s="11" t="str">
        <f>IF(J1666="","", C1666 * IFERROR(VLOOKUP(J1666, SETUP!$A:$D, 3, FALSE), 0))</f>
        <v/>
      </c>
      <c r="F1666" s="11" t="str">
        <f>IF(J1666="","", C1666 * IFERROR(VLOOKUP(J1666, SETUP!$A:$D, 4, FALSE), 0))</f>
        <v/>
      </c>
      <c r="G1666" s="11" t="str">
        <f t="shared" si="1"/>
        <v/>
      </c>
      <c r="H1666" s="22"/>
      <c r="I1666" s="11"/>
      <c r="J1666" s="17" t="str">
        <f>IF(TRIM(B1666)="","",IF(ISNUMBER(SEARCH(" - ",B1666)),TRIM(RIGHT(B1666,LEN(B1666)-FIND(" - ",B1666)-2)),IFERROR(VLOOKUP(UPPER(TRIM(B1666)), SETUP!$B$4:$C$11, 2, FALSE), UPPER(TRIM(B1666)))))</f>
        <v/>
      </c>
      <c r="K1666" s="23" t="str">
        <f t="shared" si="2"/>
        <v/>
      </c>
      <c r="L1666" s="17" t="str">
        <f t="shared" si="3"/>
        <v/>
      </c>
      <c r="M1666" s="17" t="str">
        <f t="shared" si="4"/>
        <v/>
      </c>
    </row>
    <row r="1667" ht="15.75" customHeight="1">
      <c r="A1667" s="12"/>
      <c r="B1667" s="11"/>
      <c r="C1667" s="11"/>
      <c r="D1667" s="11"/>
      <c r="E1667" s="11" t="str">
        <f>IF(J1667="","", C1667 * IFERROR(VLOOKUP(J1667, SETUP!$A:$D, 3, FALSE), 0))</f>
        <v/>
      </c>
      <c r="F1667" s="11" t="str">
        <f>IF(J1667="","", C1667 * IFERROR(VLOOKUP(J1667, SETUP!$A:$D, 4, FALSE), 0))</f>
        <v/>
      </c>
      <c r="G1667" s="11" t="str">
        <f t="shared" si="1"/>
        <v/>
      </c>
      <c r="H1667" s="22"/>
      <c r="I1667" s="11"/>
      <c r="J1667" s="17" t="str">
        <f>IF(TRIM(B1667)="","",IF(ISNUMBER(SEARCH(" - ",B1667)),TRIM(RIGHT(B1667,LEN(B1667)-FIND(" - ",B1667)-2)),IFERROR(VLOOKUP(UPPER(TRIM(B1667)), SETUP!$B$4:$C$11, 2, FALSE), UPPER(TRIM(B1667)))))</f>
        <v/>
      </c>
      <c r="K1667" s="23" t="str">
        <f t="shared" si="2"/>
        <v/>
      </c>
      <c r="L1667" s="17" t="str">
        <f t="shared" si="3"/>
        <v/>
      </c>
      <c r="M1667" s="17" t="str">
        <f t="shared" si="4"/>
        <v/>
      </c>
    </row>
    <row r="1668" ht="15.75" customHeight="1">
      <c r="A1668" s="12"/>
      <c r="B1668" s="11"/>
      <c r="C1668" s="11"/>
      <c r="D1668" s="11"/>
      <c r="E1668" s="11" t="str">
        <f>IF(J1668="","", C1668 * IFERROR(VLOOKUP(J1668, SETUP!$A:$D, 3, FALSE), 0))</f>
        <v/>
      </c>
      <c r="F1668" s="11" t="str">
        <f>IF(J1668="","", C1668 * IFERROR(VLOOKUP(J1668, SETUP!$A:$D, 4, FALSE), 0))</f>
        <v/>
      </c>
      <c r="G1668" s="11" t="str">
        <f t="shared" si="1"/>
        <v/>
      </c>
      <c r="H1668" s="22"/>
      <c r="I1668" s="11"/>
      <c r="J1668" s="17" t="str">
        <f>IF(TRIM(B1668)="","",IF(ISNUMBER(SEARCH(" - ",B1668)),TRIM(RIGHT(B1668,LEN(B1668)-FIND(" - ",B1668)-2)),IFERROR(VLOOKUP(UPPER(TRIM(B1668)), SETUP!$B$4:$C$11, 2, FALSE), UPPER(TRIM(B1668)))))</f>
        <v/>
      </c>
      <c r="K1668" s="23" t="str">
        <f t="shared" si="2"/>
        <v/>
      </c>
      <c r="L1668" s="17" t="str">
        <f t="shared" si="3"/>
        <v/>
      </c>
      <c r="M1668" s="17" t="str">
        <f t="shared" si="4"/>
        <v/>
      </c>
    </row>
    <row r="1669" ht="15.75" customHeight="1">
      <c r="A1669" s="12"/>
      <c r="B1669" s="11"/>
      <c r="C1669" s="11"/>
      <c r="D1669" s="11"/>
      <c r="E1669" s="11" t="str">
        <f>IF(J1669="","", C1669 * IFERROR(VLOOKUP(J1669, SETUP!$A:$D, 3, FALSE), 0))</f>
        <v/>
      </c>
      <c r="F1669" s="11" t="str">
        <f>IF(J1669="","", C1669 * IFERROR(VLOOKUP(J1669, SETUP!$A:$D, 4, FALSE), 0))</f>
        <v/>
      </c>
      <c r="G1669" s="11" t="str">
        <f t="shared" si="1"/>
        <v/>
      </c>
      <c r="H1669" s="22"/>
      <c r="I1669" s="11"/>
      <c r="J1669" s="17" t="str">
        <f>IF(TRIM(B1669)="","",IF(ISNUMBER(SEARCH(" - ",B1669)),TRIM(RIGHT(B1669,LEN(B1669)-FIND(" - ",B1669)-2)),IFERROR(VLOOKUP(UPPER(TRIM(B1669)), SETUP!$B$4:$C$11, 2, FALSE), UPPER(TRIM(B1669)))))</f>
        <v/>
      </c>
      <c r="K1669" s="23" t="str">
        <f t="shared" si="2"/>
        <v/>
      </c>
      <c r="L1669" s="17" t="str">
        <f t="shared" si="3"/>
        <v/>
      </c>
      <c r="M1669" s="17" t="str">
        <f t="shared" si="4"/>
        <v/>
      </c>
    </row>
    <row r="1670" ht="15.75" customHeight="1">
      <c r="A1670" s="12"/>
      <c r="B1670" s="11"/>
      <c r="C1670" s="11"/>
      <c r="D1670" s="11"/>
      <c r="E1670" s="11" t="str">
        <f>IF(J1670="","", C1670 * IFERROR(VLOOKUP(J1670, SETUP!$A:$D, 3, FALSE), 0))</f>
        <v/>
      </c>
      <c r="F1670" s="11" t="str">
        <f>IF(J1670="","", C1670 * IFERROR(VLOOKUP(J1670, SETUP!$A:$D, 4, FALSE), 0))</f>
        <v/>
      </c>
      <c r="G1670" s="11" t="str">
        <f t="shared" si="1"/>
        <v/>
      </c>
      <c r="H1670" s="22"/>
      <c r="I1670" s="11"/>
      <c r="J1670" s="17" t="str">
        <f>IF(TRIM(B1670)="","",IF(ISNUMBER(SEARCH(" - ",B1670)),TRIM(RIGHT(B1670,LEN(B1670)-FIND(" - ",B1670)-2)),IFERROR(VLOOKUP(UPPER(TRIM(B1670)), SETUP!$B$4:$C$11, 2, FALSE), UPPER(TRIM(B1670)))))</f>
        <v/>
      </c>
      <c r="K1670" s="23" t="str">
        <f t="shared" si="2"/>
        <v/>
      </c>
      <c r="L1670" s="17" t="str">
        <f t="shared" si="3"/>
        <v/>
      </c>
      <c r="M1670" s="17" t="str">
        <f t="shared" si="4"/>
        <v/>
      </c>
    </row>
    <row r="1671" ht="15.75" customHeight="1">
      <c r="A1671" s="12"/>
      <c r="B1671" s="11"/>
      <c r="C1671" s="11"/>
      <c r="D1671" s="11"/>
      <c r="E1671" s="11" t="str">
        <f>IF(J1671="","", C1671 * IFERROR(VLOOKUP(J1671, SETUP!$A:$D, 3, FALSE), 0))</f>
        <v/>
      </c>
      <c r="F1671" s="11" t="str">
        <f>IF(J1671="","", C1671 * IFERROR(VLOOKUP(J1671, SETUP!$A:$D, 4, FALSE), 0))</f>
        <v/>
      </c>
      <c r="G1671" s="11" t="str">
        <f t="shared" si="1"/>
        <v/>
      </c>
      <c r="H1671" s="22"/>
      <c r="I1671" s="11"/>
      <c r="J1671" s="17" t="str">
        <f>IF(TRIM(B1671)="","",IF(ISNUMBER(SEARCH(" - ",B1671)),TRIM(RIGHT(B1671,LEN(B1671)-FIND(" - ",B1671)-2)),IFERROR(VLOOKUP(UPPER(TRIM(B1671)), SETUP!$B$4:$C$11, 2, FALSE), UPPER(TRIM(B1671)))))</f>
        <v/>
      </c>
      <c r="K1671" s="23" t="str">
        <f t="shared" si="2"/>
        <v/>
      </c>
      <c r="L1671" s="17" t="str">
        <f t="shared" si="3"/>
        <v/>
      </c>
      <c r="M1671" s="17" t="str">
        <f t="shared" si="4"/>
        <v/>
      </c>
    </row>
    <row r="1672" ht="15.75" customHeight="1">
      <c r="A1672" s="12"/>
      <c r="B1672" s="11"/>
      <c r="C1672" s="11"/>
      <c r="D1672" s="11"/>
      <c r="E1672" s="11" t="str">
        <f>IF(J1672="","", C1672 * IFERROR(VLOOKUP(J1672, SETUP!$A:$D, 3, FALSE), 0))</f>
        <v/>
      </c>
      <c r="F1672" s="11" t="str">
        <f>IF(J1672="","", C1672 * IFERROR(VLOOKUP(J1672, SETUP!$A:$D, 4, FALSE), 0))</f>
        <v/>
      </c>
      <c r="G1672" s="11" t="str">
        <f t="shared" si="1"/>
        <v/>
      </c>
      <c r="H1672" s="22"/>
      <c r="I1672" s="11"/>
      <c r="J1672" s="17" t="str">
        <f>IF(TRIM(B1672)="","",IF(ISNUMBER(SEARCH(" - ",B1672)),TRIM(RIGHT(B1672,LEN(B1672)-FIND(" - ",B1672)-2)),IFERROR(VLOOKUP(UPPER(TRIM(B1672)), SETUP!$B$4:$C$11, 2, FALSE), UPPER(TRIM(B1672)))))</f>
        <v/>
      </c>
      <c r="K1672" s="23" t="str">
        <f t="shared" si="2"/>
        <v/>
      </c>
      <c r="L1672" s="17" t="str">
        <f t="shared" si="3"/>
        <v/>
      </c>
      <c r="M1672" s="17" t="str">
        <f t="shared" si="4"/>
        <v/>
      </c>
    </row>
    <row r="1673" ht="15.75" customHeight="1">
      <c r="A1673" s="12"/>
      <c r="B1673" s="11"/>
      <c r="C1673" s="11"/>
      <c r="D1673" s="11"/>
      <c r="E1673" s="11" t="str">
        <f>IF(J1673="","", C1673 * IFERROR(VLOOKUP(J1673, SETUP!$A:$D, 3, FALSE), 0))</f>
        <v/>
      </c>
      <c r="F1673" s="11" t="str">
        <f>IF(J1673="","", C1673 * IFERROR(VLOOKUP(J1673, SETUP!$A:$D, 4, FALSE), 0))</f>
        <v/>
      </c>
      <c r="G1673" s="11" t="str">
        <f t="shared" si="1"/>
        <v/>
      </c>
      <c r="H1673" s="22"/>
      <c r="I1673" s="11"/>
      <c r="J1673" s="17" t="str">
        <f>IF(TRIM(B1673)="","",IF(ISNUMBER(SEARCH(" - ",B1673)),TRIM(RIGHT(B1673,LEN(B1673)-FIND(" - ",B1673)-2)),IFERROR(VLOOKUP(UPPER(TRIM(B1673)), SETUP!$B$4:$C$11, 2, FALSE), UPPER(TRIM(B1673)))))</f>
        <v/>
      </c>
      <c r="K1673" s="23" t="str">
        <f t="shared" si="2"/>
        <v/>
      </c>
      <c r="L1673" s="17" t="str">
        <f t="shared" si="3"/>
        <v/>
      </c>
      <c r="M1673" s="17" t="str">
        <f t="shared" si="4"/>
        <v/>
      </c>
    </row>
    <row r="1674" ht="15.75" customHeight="1">
      <c r="A1674" s="12"/>
      <c r="B1674" s="11"/>
      <c r="C1674" s="11"/>
      <c r="D1674" s="11"/>
      <c r="E1674" s="11" t="str">
        <f>IF(J1674="","", C1674 * IFERROR(VLOOKUP(J1674, SETUP!$A:$D, 3, FALSE), 0))</f>
        <v/>
      </c>
      <c r="F1674" s="11" t="str">
        <f>IF(J1674="","", C1674 * IFERROR(VLOOKUP(J1674, SETUP!$A:$D, 4, FALSE), 0))</f>
        <v/>
      </c>
      <c r="G1674" s="11" t="str">
        <f t="shared" si="1"/>
        <v/>
      </c>
      <c r="H1674" s="22"/>
      <c r="I1674" s="11"/>
      <c r="J1674" s="17" t="str">
        <f>IF(TRIM(B1674)="","",IF(ISNUMBER(SEARCH(" - ",B1674)),TRIM(RIGHT(B1674,LEN(B1674)-FIND(" - ",B1674)-2)),IFERROR(VLOOKUP(UPPER(TRIM(B1674)), SETUP!$B$4:$C$11, 2, FALSE), UPPER(TRIM(B1674)))))</f>
        <v/>
      </c>
      <c r="K1674" s="23" t="str">
        <f t="shared" si="2"/>
        <v/>
      </c>
      <c r="L1674" s="17" t="str">
        <f t="shared" si="3"/>
        <v/>
      </c>
      <c r="M1674" s="17" t="str">
        <f t="shared" si="4"/>
        <v/>
      </c>
    </row>
    <row r="1675" ht="15.75" customHeight="1">
      <c r="A1675" s="12"/>
      <c r="B1675" s="11"/>
      <c r="C1675" s="11"/>
      <c r="D1675" s="11"/>
      <c r="E1675" s="11" t="str">
        <f>IF(J1675="","", C1675 * IFERROR(VLOOKUP(J1675, SETUP!$A:$D, 3, FALSE), 0))</f>
        <v/>
      </c>
      <c r="F1675" s="11" t="str">
        <f>IF(J1675="","", C1675 * IFERROR(VLOOKUP(J1675, SETUP!$A:$D, 4, FALSE), 0))</f>
        <v/>
      </c>
      <c r="G1675" s="11" t="str">
        <f t="shared" si="1"/>
        <v/>
      </c>
      <c r="H1675" s="22"/>
      <c r="I1675" s="11"/>
      <c r="J1675" s="17" t="str">
        <f>IF(TRIM(B1675)="","",IF(ISNUMBER(SEARCH(" - ",B1675)),TRIM(RIGHT(B1675,LEN(B1675)-FIND(" - ",B1675)-2)),IFERROR(VLOOKUP(UPPER(TRIM(B1675)), SETUP!$B$4:$C$11, 2, FALSE), UPPER(TRIM(B1675)))))</f>
        <v/>
      </c>
      <c r="K1675" s="23" t="str">
        <f t="shared" si="2"/>
        <v/>
      </c>
      <c r="L1675" s="17" t="str">
        <f t="shared" si="3"/>
        <v/>
      </c>
      <c r="M1675" s="17" t="str">
        <f t="shared" si="4"/>
        <v/>
      </c>
    </row>
    <row r="1676" ht="15.75" customHeight="1">
      <c r="A1676" s="12"/>
      <c r="B1676" s="11"/>
      <c r="C1676" s="11"/>
      <c r="D1676" s="11"/>
      <c r="E1676" s="11" t="str">
        <f>IF(J1676="","", C1676 * IFERROR(VLOOKUP(J1676, SETUP!$A:$D, 3, FALSE), 0))</f>
        <v/>
      </c>
      <c r="F1676" s="11" t="str">
        <f>IF(J1676="","", C1676 * IFERROR(VLOOKUP(J1676, SETUP!$A:$D, 4, FALSE), 0))</f>
        <v/>
      </c>
      <c r="G1676" s="11" t="str">
        <f t="shared" si="1"/>
        <v/>
      </c>
      <c r="H1676" s="22"/>
      <c r="I1676" s="11"/>
      <c r="J1676" s="17" t="str">
        <f>IF(TRIM(B1676)="","",IF(ISNUMBER(SEARCH(" - ",B1676)),TRIM(RIGHT(B1676,LEN(B1676)-FIND(" - ",B1676)-2)),IFERROR(VLOOKUP(UPPER(TRIM(B1676)), SETUP!$B$4:$C$11, 2, FALSE), UPPER(TRIM(B1676)))))</f>
        <v/>
      </c>
      <c r="K1676" s="23" t="str">
        <f t="shared" si="2"/>
        <v/>
      </c>
      <c r="L1676" s="17" t="str">
        <f t="shared" si="3"/>
        <v/>
      </c>
      <c r="M1676" s="17" t="str">
        <f t="shared" si="4"/>
        <v/>
      </c>
    </row>
    <row r="1677" ht="15.75" customHeight="1">
      <c r="A1677" s="12"/>
      <c r="B1677" s="11"/>
      <c r="C1677" s="11"/>
      <c r="D1677" s="11"/>
      <c r="E1677" s="11" t="str">
        <f>IF(J1677="","", C1677 * IFERROR(VLOOKUP(J1677, SETUP!$A:$D, 3, FALSE), 0))</f>
        <v/>
      </c>
      <c r="F1677" s="11" t="str">
        <f>IF(J1677="","", C1677 * IFERROR(VLOOKUP(J1677, SETUP!$A:$D, 4, FALSE), 0))</f>
        <v/>
      </c>
      <c r="G1677" s="11" t="str">
        <f t="shared" si="1"/>
        <v/>
      </c>
      <c r="H1677" s="22"/>
      <c r="I1677" s="11"/>
      <c r="J1677" s="17" t="str">
        <f>IF(TRIM(B1677)="","",IF(ISNUMBER(SEARCH(" - ",B1677)),TRIM(RIGHT(B1677,LEN(B1677)-FIND(" - ",B1677)-2)),IFERROR(VLOOKUP(UPPER(TRIM(B1677)), SETUP!$B$4:$C$11, 2, FALSE), UPPER(TRIM(B1677)))))</f>
        <v/>
      </c>
      <c r="K1677" s="23" t="str">
        <f t="shared" si="2"/>
        <v/>
      </c>
      <c r="L1677" s="17" t="str">
        <f t="shared" si="3"/>
        <v/>
      </c>
      <c r="M1677" s="17" t="str">
        <f t="shared" si="4"/>
        <v/>
      </c>
    </row>
    <row r="1678" ht="15.75" customHeight="1">
      <c r="A1678" s="12"/>
      <c r="B1678" s="11"/>
      <c r="C1678" s="11"/>
      <c r="D1678" s="11"/>
      <c r="E1678" s="11" t="str">
        <f>IF(J1678="","", C1678 * IFERROR(VLOOKUP(J1678, SETUP!$A:$D, 3, FALSE), 0))</f>
        <v/>
      </c>
      <c r="F1678" s="11" t="str">
        <f>IF(J1678="","", C1678 * IFERROR(VLOOKUP(J1678, SETUP!$A:$D, 4, FALSE), 0))</f>
        <v/>
      </c>
      <c r="G1678" s="11" t="str">
        <f t="shared" si="1"/>
        <v/>
      </c>
      <c r="H1678" s="22"/>
      <c r="I1678" s="11"/>
      <c r="J1678" s="17" t="str">
        <f>IF(TRIM(B1678)="","",IF(ISNUMBER(SEARCH(" - ",B1678)),TRIM(RIGHT(B1678,LEN(B1678)-FIND(" - ",B1678)-2)),IFERROR(VLOOKUP(UPPER(TRIM(B1678)), SETUP!$B$4:$C$11, 2, FALSE), UPPER(TRIM(B1678)))))</f>
        <v/>
      </c>
      <c r="K1678" s="23" t="str">
        <f t="shared" si="2"/>
        <v/>
      </c>
      <c r="L1678" s="17" t="str">
        <f t="shared" si="3"/>
        <v/>
      </c>
      <c r="M1678" s="17" t="str">
        <f t="shared" si="4"/>
        <v/>
      </c>
    </row>
    <row r="1679" ht="15.75" customHeight="1">
      <c r="A1679" s="12"/>
      <c r="B1679" s="11"/>
      <c r="C1679" s="11"/>
      <c r="D1679" s="11"/>
      <c r="E1679" s="11" t="str">
        <f>IF(J1679="","", C1679 * IFERROR(VLOOKUP(J1679, SETUP!$A:$D, 3, FALSE), 0))</f>
        <v/>
      </c>
      <c r="F1679" s="11" t="str">
        <f>IF(J1679="","", C1679 * IFERROR(VLOOKUP(J1679, SETUP!$A:$D, 4, FALSE), 0))</f>
        <v/>
      </c>
      <c r="G1679" s="11" t="str">
        <f t="shared" si="1"/>
        <v/>
      </c>
      <c r="H1679" s="22"/>
      <c r="I1679" s="11"/>
      <c r="J1679" s="17" t="str">
        <f>IF(TRIM(B1679)="","",IF(ISNUMBER(SEARCH(" - ",B1679)),TRIM(RIGHT(B1679,LEN(B1679)-FIND(" - ",B1679)-2)),IFERROR(VLOOKUP(UPPER(TRIM(B1679)), SETUP!$B$4:$C$11, 2, FALSE), UPPER(TRIM(B1679)))))</f>
        <v/>
      </c>
      <c r="K1679" s="23" t="str">
        <f t="shared" si="2"/>
        <v/>
      </c>
      <c r="L1679" s="17" t="str">
        <f t="shared" si="3"/>
        <v/>
      </c>
      <c r="M1679" s="17" t="str">
        <f t="shared" si="4"/>
        <v/>
      </c>
    </row>
    <row r="1680" ht="15.75" customHeight="1">
      <c r="A1680" s="12"/>
      <c r="B1680" s="11"/>
      <c r="C1680" s="11"/>
      <c r="D1680" s="11"/>
      <c r="E1680" s="11" t="str">
        <f>IF(J1680="","", C1680 * IFERROR(VLOOKUP(J1680, SETUP!$A:$D, 3, FALSE), 0))</f>
        <v/>
      </c>
      <c r="F1680" s="11" t="str">
        <f>IF(J1680="","", C1680 * IFERROR(VLOOKUP(J1680, SETUP!$A:$D, 4, FALSE), 0))</f>
        <v/>
      </c>
      <c r="G1680" s="11" t="str">
        <f t="shared" si="1"/>
        <v/>
      </c>
      <c r="H1680" s="22"/>
      <c r="I1680" s="11"/>
      <c r="J1680" s="17" t="str">
        <f>IF(TRIM(B1680)="","",IF(ISNUMBER(SEARCH(" - ",B1680)),TRIM(RIGHT(B1680,LEN(B1680)-FIND(" - ",B1680)-2)),IFERROR(VLOOKUP(UPPER(TRIM(B1680)), SETUP!$B$4:$C$11, 2, FALSE), UPPER(TRIM(B1680)))))</f>
        <v/>
      </c>
      <c r="K1680" s="23" t="str">
        <f t="shared" si="2"/>
        <v/>
      </c>
      <c r="L1680" s="17" t="str">
        <f t="shared" si="3"/>
        <v/>
      </c>
      <c r="M1680" s="17" t="str">
        <f t="shared" si="4"/>
        <v/>
      </c>
    </row>
    <row r="1681" ht="15.75" customHeight="1">
      <c r="A1681" s="12"/>
      <c r="B1681" s="11"/>
      <c r="C1681" s="11"/>
      <c r="D1681" s="11"/>
      <c r="E1681" s="11" t="str">
        <f>IF(J1681="","", C1681 * IFERROR(VLOOKUP(J1681, SETUP!$A:$D, 3, FALSE), 0))</f>
        <v/>
      </c>
      <c r="F1681" s="11" t="str">
        <f>IF(J1681="","", C1681 * IFERROR(VLOOKUP(J1681, SETUP!$A:$D, 4, FALSE), 0))</f>
        <v/>
      </c>
      <c r="G1681" s="11" t="str">
        <f t="shared" si="1"/>
        <v/>
      </c>
      <c r="H1681" s="22"/>
      <c r="I1681" s="11"/>
      <c r="J1681" s="17" t="str">
        <f>IF(TRIM(B1681)="","",IF(ISNUMBER(SEARCH(" - ",B1681)),TRIM(RIGHT(B1681,LEN(B1681)-FIND(" - ",B1681)-2)),IFERROR(VLOOKUP(UPPER(TRIM(B1681)), SETUP!$B$4:$C$11, 2, FALSE), UPPER(TRIM(B1681)))))</f>
        <v/>
      </c>
      <c r="K1681" s="23" t="str">
        <f t="shared" si="2"/>
        <v/>
      </c>
      <c r="L1681" s="17" t="str">
        <f t="shared" si="3"/>
        <v/>
      </c>
      <c r="M1681" s="17" t="str">
        <f t="shared" si="4"/>
        <v/>
      </c>
    </row>
    <row r="1682" ht="15.75" customHeight="1">
      <c r="A1682" s="12"/>
      <c r="B1682" s="11"/>
      <c r="C1682" s="11"/>
      <c r="D1682" s="11"/>
      <c r="E1682" s="11" t="str">
        <f>IF(J1682="","", C1682 * IFERROR(VLOOKUP(J1682, SETUP!$A:$D, 3, FALSE), 0))</f>
        <v/>
      </c>
      <c r="F1682" s="11" t="str">
        <f>IF(J1682="","", C1682 * IFERROR(VLOOKUP(J1682, SETUP!$A:$D, 4, FALSE), 0))</f>
        <v/>
      </c>
      <c r="G1682" s="11" t="str">
        <f t="shared" si="1"/>
        <v/>
      </c>
      <c r="H1682" s="22"/>
      <c r="I1682" s="11"/>
      <c r="J1682" s="17" t="str">
        <f>IF(TRIM(B1682)="","",IF(ISNUMBER(SEARCH(" - ",B1682)),TRIM(RIGHT(B1682,LEN(B1682)-FIND(" - ",B1682)-2)),IFERROR(VLOOKUP(UPPER(TRIM(B1682)), SETUP!$B$4:$C$11, 2, FALSE), UPPER(TRIM(B1682)))))</f>
        <v/>
      </c>
      <c r="K1682" s="23" t="str">
        <f t="shared" si="2"/>
        <v/>
      </c>
      <c r="L1682" s="17" t="str">
        <f t="shared" si="3"/>
        <v/>
      </c>
      <c r="M1682" s="17" t="str">
        <f t="shared" si="4"/>
        <v/>
      </c>
    </row>
    <row r="1683" ht="15.75" customHeight="1">
      <c r="A1683" s="12"/>
      <c r="B1683" s="11"/>
      <c r="C1683" s="11"/>
      <c r="D1683" s="11"/>
      <c r="E1683" s="11" t="str">
        <f>IF(J1683="","", C1683 * IFERROR(VLOOKUP(J1683, SETUP!$A:$D, 3, FALSE), 0))</f>
        <v/>
      </c>
      <c r="F1683" s="11" t="str">
        <f>IF(J1683="","", C1683 * IFERROR(VLOOKUP(J1683, SETUP!$A:$D, 4, FALSE), 0))</f>
        <v/>
      </c>
      <c r="G1683" s="11" t="str">
        <f t="shared" si="1"/>
        <v/>
      </c>
      <c r="H1683" s="22"/>
      <c r="I1683" s="11"/>
      <c r="J1683" s="17" t="str">
        <f>IF(TRIM(B1683)="","",IF(ISNUMBER(SEARCH(" - ",B1683)),TRIM(RIGHT(B1683,LEN(B1683)-FIND(" - ",B1683)-2)),IFERROR(VLOOKUP(UPPER(TRIM(B1683)), SETUP!$B$4:$C$11, 2, FALSE), UPPER(TRIM(B1683)))))</f>
        <v/>
      </c>
      <c r="K1683" s="23" t="str">
        <f t="shared" si="2"/>
        <v/>
      </c>
      <c r="L1683" s="17" t="str">
        <f t="shared" si="3"/>
        <v/>
      </c>
      <c r="M1683" s="17" t="str">
        <f t="shared" si="4"/>
        <v/>
      </c>
    </row>
    <row r="1684" ht="15.75" customHeight="1">
      <c r="A1684" s="12"/>
      <c r="B1684" s="11"/>
      <c r="C1684" s="11"/>
      <c r="D1684" s="11"/>
      <c r="E1684" s="11" t="str">
        <f>IF(J1684="","", C1684 * IFERROR(VLOOKUP(J1684, SETUP!$A:$D, 3, FALSE), 0))</f>
        <v/>
      </c>
      <c r="F1684" s="11" t="str">
        <f>IF(J1684="","", C1684 * IFERROR(VLOOKUP(J1684, SETUP!$A:$D, 4, FALSE), 0))</f>
        <v/>
      </c>
      <c r="G1684" s="11" t="str">
        <f t="shared" si="1"/>
        <v/>
      </c>
      <c r="H1684" s="22"/>
      <c r="I1684" s="11"/>
      <c r="J1684" s="17" t="str">
        <f>IF(TRIM(B1684)="","",IF(ISNUMBER(SEARCH(" - ",B1684)),TRIM(RIGHT(B1684,LEN(B1684)-FIND(" - ",B1684)-2)),IFERROR(VLOOKUP(UPPER(TRIM(B1684)), SETUP!$B$4:$C$11, 2, FALSE), UPPER(TRIM(B1684)))))</f>
        <v/>
      </c>
      <c r="K1684" s="23" t="str">
        <f t="shared" si="2"/>
        <v/>
      </c>
      <c r="L1684" s="17" t="str">
        <f t="shared" si="3"/>
        <v/>
      </c>
      <c r="M1684" s="17" t="str">
        <f t="shared" si="4"/>
        <v/>
      </c>
    </row>
    <row r="1685" ht="15.75" customHeight="1">
      <c r="A1685" s="12"/>
      <c r="B1685" s="11"/>
      <c r="C1685" s="11"/>
      <c r="D1685" s="11"/>
      <c r="E1685" s="11" t="str">
        <f>IF(J1685="","", C1685 * IFERROR(VLOOKUP(J1685, SETUP!$A:$D, 3, FALSE), 0))</f>
        <v/>
      </c>
      <c r="F1685" s="11" t="str">
        <f>IF(J1685="","", C1685 * IFERROR(VLOOKUP(J1685, SETUP!$A:$D, 4, FALSE), 0))</f>
        <v/>
      </c>
      <c r="G1685" s="11" t="str">
        <f t="shared" si="1"/>
        <v/>
      </c>
      <c r="H1685" s="22"/>
      <c r="I1685" s="11"/>
      <c r="J1685" s="17" t="str">
        <f>IF(TRIM(B1685)="","",IF(ISNUMBER(SEARCH(" - ",B1685)),TRIM(RIGHT(B1685,LEN(B1685)-FIND(" - ",B1685)-2)),IFERROR(VLOOKUP(UPPER(TRIM(B1685)), SETUP!$B$4:$C$11, 2, FALSE), UPPER(TRIM(B1685)))))</f>
        <v/>
      </c>
      <c r="K1685" s="23" t="str">
        <f t="shared" si="2"/>
        <v/>
      </c>
      <c r="L1685" s="17" t="str">
        <f t="shared" si="3"/>
        <v/>
      </c>
      <c r="M1685" s="17" t="str">
        <f t="shared" si="4"/>
        <v/>
      </c>
    </row>
    <row r="1686" ht="15.75" customHeight="1">
      <c r="A1686" s="12"/>
      <c r="B1686" s="11"/>
      <c r="C1686" s="11"/>
      <c r="D1686" s="11"/>
      <c r="E1686" s="11" t="str">
        <f>IF(J1686="","", C1686 * IFERROR(VLOOKUP(J1686, SETUP!$A:$D, 3, FALSE), 0))</f>
        <v/>
      </c>
      <c r="F1686" s="11" t="str">
        <f>IF(J1686="","", C1686 * IFERROR(VLOOKUP(J1686, SETUP!$A:$D, 4, FALSE), 0))</f>
        <v/>
      </c>
      <c r="G1686" s="11" t="str">
        <f t="shared" si="1"/>
        <v/>
      </c>
      <c r="H1686" s="22"/>
      <c r="I1686" s="11"/>
      <c r="J1686" s="17" t="str">
        <f>IF(TRIM(B1686)="","",IF(ISNUMBER(SEARCH(" - ",B1686)),TRIM(RIGHT(B1686,LEN(B1686)-FIND(" - ",B1686)-2)),IFERROR(VLOOKUP(UPPER(TRIM(B1686)), SETUP!$B$4:$C$11, 2, FALSE), UPPER(TRIM(B1686)))))</f>
        <v/>
      </c>
      <c r="K1686" s="23" t="str">
        <f t="shared" si="2"/>
        <v/>
      </c>
      <c r="L1686" s="17" t="str">
        <f t="shared" si="3"/>
        <v/>
      </c>
      <c r="M1686" s="17" t="str">
        <f t="shared" si="4"/>
        <v/>
      </c>
    </row>
    <row r="1687" ht="15.75" customHeight="1">
      <c r="A1687" s="12"/>
      <c r="B1687" s="11"/>
      <c r="C1687" s="11"/>
      <c r="D1687" s="11"/>
      <c r="E1687" s="11" t="str">
        <f>IF(J1687="","", C1687 * IFERROR(VLOOKUP(J1687, SETUP!$A:$D, 3, FALSE), 0))</f>
        <v/>
      </c>
      <c r="F1687" s="11" t="str">
        <f>IF(J1687="","", C1687 * IFERROR(VLOOKUP(J1687, SETUP!$A:$D, 4, FALSE), 0))</f>
        <v/>
      </c>
      <c r="G1687" s="11" t="str">
        <f t="shared" si="1"/>
        <v/>
      </c>
      <c r="H1687" s="22"/>
      <c r="I1687" s="11"/>
      <c r="J1687" s="17" t="str">
        <f>IF(TRIM(B1687)="","",IF(ISNUMBER(SEARCH(" - ",B1687)),TRIM(RIGHT(B1687,LEN(B1687)-FIND(" - ",B1687)-2)),IFERROR(VLOOKUP(UPPER(TRIM(B1687)), SETUP!$B$4:$C$11, 2, FALSE), UPPER(TRIM(B1687)))))</f>
        <v/>
      </c>
      <c r="K1687" s="23" t="str">
        <f t="shared" si="2"/>
        <v/>
      </c>
      <c r="L1687" s="17" t="str">
        <f t="shared" si="3"/>
        <v/>
      </c>
      <c r="M1687" s="17" t="str">
        <f t="shared" si="4"/>
        <v/>
      </c>
    </row>
    <row r="1688" ht="15.75" customHeight="1">
      <c r="A1688" s="12"/>
      <c r="B1688" s="11"/>
      <c r="C1688" s="11"/>
      <c r="D1688" s="11"/>
      <c r="E1688" s="11" t="str">
        <f>IF(J1688="","", C1688 * IFERROR(VLOOKUP(J1688, SETUP!$A:$D, 3, FALSE), 0))</f>
        <v/>
      </c>
      <c r="F1688" s="11" t="str">
        <f>IF(J1688="","", C1688 * IFERROR(VLOOKUP(J1688, SETUP!$A:$D, 4, FALSE), 0))</f>
        <v/>
      </c>
      <c r="G1688" s="11" t="str">
        <f t="shared" si="1"/>
        <v/>
      </c>
      <c r="H1688" s="22"/>
      <c r="I1688" s="11"/>
      <c r="J1688" s="17" t="str">
        <f>IF(TRIM(B1688)="","",IF(ISNUMBER(SEARCH(" - ",B1688)),TRIM(RIGHT(B1688,LEN(B1688)-FIND(" - ",B1688)-2)),IFERROR(VLOOKUP(UPPER(TRIM(B1688)), SETUP!$B$4:$C$11, 2, FALSE), UPPER(TRIM(B1688)))))</f>
        <v/>
      </c>
      <c r="K1688" s="23" t="str">
        <f t="shared" si="2"/>
        <v/>
      </c>
      <c r="L1688" s="17" t="str">
        <f t="shared" si="3"/>
        <v/>
      </c>
      <c r="M1688" s="17" t="str">
        <f t="shared" si="4"/>
        <v/>
      </c>
    </row>
    <row r="1689" ht="15.75" customHeight="1">
      <c r="A1689" s="12"/>
      <c r="B1689" s="11"/>
      <c r="C1689" s="11"/>
      <c r="D1689" s="11"/>
      <c r="E1689" s="11" t="str">
        <f>IF(J1689="","", C1689 * IFERROR(VLOOKUP(J1689, SETUP!$A:$D, 3, FALSE), 0))</f>
        <v/>
      </c>
      <c r="F1689" s="11" t="str">
        <f>IF(J1689="","", C1689 * IFERROR(VLOOKUP(J1689, SETUP!$A:$D, 4, FALSE), 0))</f>
        <v/>
      </c>
      <c r="G1689" s="11" t="str">
        <f t="shared" si="1"/>
        <v/>
      </c>
      <c r="H1689" s="22"/>
      <c r="I1689" s="11"/>
      <c r="J1689" s="17" t="str">
        <f>IF(TRIM(B1689)="","",IF(ISNUMBER(SEARCH(" - ",B1689)),TRIM(RIGHT(B1689,LEN(B1689)-FIND(" - ",B1689)-2)),IFERROR(VLOOKUP(UPPER(TRIM(B1689)), SETUP!$B$4:$C$11, 2, FALSE), UPPER(TRIM(B1689)))))</f>
        <v/>
      </c>
      <c r="K1689" s="23" t="str">
        <f t="shared" si="2"/>
        <v/>
      </c>
      <c r="L1689" s="17" t="str">
        <f t="shared" si="3"/>
        <v/>
      </c>
      <c r="M1689" s="17" t="str">
        <f t="shared" si="4"/>
        <v/>
      </c>
    </row>
    <row r="1690" ht="15.75" customHeight="1">
      <c r="A1690" s="12"/>
      <c r="B1690" s="11"/>
      <c r="C1690" s="11"/>
      <c r="D1690" s="11"/>
      <c r="E1690" s="11" t="str">
        <f>IF(J1690="","", C1690 * IFERROR(VLOOKUP(J1690, SETUP!$A:$D, 3, FALSE), 0))</f>
        <v/>
      </c>
      <c r="F1690" s="11" t="str">
        <f>IF(J1690="","", C1690 * IFERROR(VLOOKUP(J1690, SETUP!$A:$D, 4, FALSE), 0))</f>
        <v/>
      </c>
      <c r="G1690" s="11" t="str">
        <f t="shared" si="1"/>
        <v/>
      </c>
      <c r="H1690" s="22"/>
      <c r="I1690" s="11"/>
      <c r="J1690" s="17" t="str">
        <f>IF(TRIM(B1690)="","",IF(ISNUMBER(SEARCH(" - ",B1690)),TRIM(RIGHT(B1690,LEN(B1690)-FIND(" - ",B1690)-2)),IFERROR(VLOOKUP(UPPER(TRIM(B1690)), SETUP!$B$4:$C$11, 2, FALSE), UPPER(TRIM(B1690)))))</f>
        <v/>
      </c>
      <c r="K1690" s="23" t="str">
        <f t="shared" si="2"/>
        <v/>
      </c>
      <c r="L1690" s="17" t="str">
        <f t="shared" si="3"/>
        <v/>
      </c>
      <c r="M1690" s="17" t="str">
        <f t="shared" si="4"/>
        <v/>
      </c>
    </row>
    <row r="1691" ht="15.75" customHeight="1">
      <c r="A1691" s="12"/>
      <c r="B1691" s="11"/>
      <c r="C1691" s="11"/>
      <c r="D1691" s="11"/>
      <c r="E1691" s="11" t="str">
        <f>IF(J1691="","", C1691 * IFERROR(VLOOKUP(J1691, SETUP!$A:$D, 3, FALSE), 0))</f>
        <v/>
      </c>
      <c r="F1691" s="11" t="str">
        <f>IF(J1691="","", C1691 * IFERROR(VLOOKUP(J1691, SETUP!$A:$D, 4, FALSE), 0))</f>
        <v/>
      </c>
      <c r="G1691" s="11" t="str">
        <f t="shared" si="1"/>
        <v/>
      </c>
      <c r="H1691" s="22"/>
      <c r="I1691" s="11"/>
      <c r="J1691" s="17" t="str">
        <f>IF(TRIM(B1691)="","",IF(ISNUMBER(SEARCH(" - ",B1691)),TRIM(RIGHT(B1691,LEN(B1691)-FIND(" - ",B1691)-2)),IFERROR(VLOOKUP(UPPER(TRIM(B1691)), SETUP!$B$4:$C$11, 2, FALSE), UPPER(TRIM(B1691)))))</f>
        <v/>
      </c>
      <c r="K1691" s="23" t="str">
        <f t="shared" si="2"/>
        <v/>
      </c>
      <c r="L1691" s="17" t="str">
        <f t="shared" si="3"/>
        <v/>
      </c>
      <c r="M1691" s="17" t="str">
        <f t="shared" si="4"/>
        <v/>
      </c>
    </row>
    <row r="1692" ht="15.75" customHeight="1">
      <c r="A1692" s="12"/>
      <c r="B1692" s="11"/>
      <c r="C1692" s="11"/>
      <c r="D1692" s="11"/>
      <c r="E1692" s="11" t="str">
        <f>IF(J1692="","", C1692 * IFERROR(VLOOKUP(J1692, SETUP!$A:$D, 3, FALSE), 0))</f>
        <v/>
      </c>
      <c r="F1692" s="11" t="str">
        <f>IF(J1692="","", C1692 * IFERROR(VLOOKUP(J1692, SETUP!$A:$D, 4, FALSE), 0))</f>
        <v/>
      </c>
      <c r="G1692" s="11" t="str">
        <f t="shared" si="1"/>
        <v/>
      </c>
      <c r="H1692" s="22"/>
      <c r="I1692" s="11"/>
      <c r="J1692" s="17" t="str">
        <f>IF(TRIM(B1692)="","",IF(ISNUMBER(SEARCH(" - ",B1692)),TRIM(RIGHT(B1692,LEN(B1692)-FIND(" - ",B1692)-2)),IFERROR(VLOOKUP(UPPER(TRIM(B1692)), SETUP!$B$4:$C$11, 2, FALSE), UPPER(TRIM(B1692)))))</f>
        <v/>
      </c>
      <c r="K1692" s="23" t="str">
        <f t="shared" si="2"/>
        <v/>
      </c>
      <c r="L1692" s="17" t="str">
        <f t="shared" si="3"/>
        <v/>
      </c>
      <c r="M1692" s="17" t="str">
        <f t="shared" si="4"/>
        <v/>
      </c>
    </row>
    <row r="1693" ht="15.75" customHeight="1">
      <c r="A1693" s="12"/>
      <c r="B1693" s="11"/>
      <c r="C1693" s="11"/>
      <c r="D1693" s="11"/>
      <c r="E1693" s="11" t="str">
        <f>IF(J1693="","", C1693 * IFERROR(VLOOKUP(J1693, SETUP!$A:$D, 3, FALSE), 0))</f>
        <v/>
      </c>
      <c r="F1693" s="11" t="str">
        <f>IF(J1693="","", C1693 * IFERROR(VLOOKUP(J1693, SETUP!$A:$D, 4, FALSE), 0))</f>
        <v/>
      </c>
      <c r="G1693" s="11" t="str">
        <f t="shared" si="1"/>
        <v/>
      </c>
      <c r="H1693" s="22"/>
      <c r="I1693" s="11"/>
      <c r="J1693" s="17" t="str">
        <f>IF(TRIM(B1693)="","",IF(ISNUMBER(SEARCH(" - ",B1693)),TRIM(RIGHT(B1693,LEN(B1693)-FIND(" - ",B1693)-2)),IFERROR(VLOOKUP(UPPER(TRIM(B1693)), SETUP!$B$4:$C$11, 2, FALSE), UPPER(TRIM(B1693)))))</f>
        <v/>
      </c>
      <c r="K1693" s="23" t="str">
        <f t="shared" si="2"/>
        <v/>
      </c>
      <c r="L1693" s="17" t="str">
        <f t="shared" si="3"/>
        <v/>
      </c>
      <c r="M1693" s="17" t="str">
        <f t="shared" si="4"/>
        <v/>
      </c>
    </row>
    <row r="1694" ht="15.75" customHeight="1">
      <c r="A1694" s="12"/>
      <c r="B1694" s="11"/>
      <c r="C1694" s="11"/>
      <c r="D1694" s="11"/>
      <c r="E1694" s="11" t="str">
        <f>IF(J1694="","", C1694 * IFERROR(VLOOKUP(J1694, SETUP!$A:$D, 3, FALSE), 0))</f>
        <v/>
      </c>
      <c r="F1694" s="11" t="str">
        <f>IF(J1694="","", C1694 * IFERROR(VLOOKUP(J1694, SETUP!$A:$D, 4, FALSE), 0))</f>
        <v/>
      </c>
      <c r="G1694" s="11" t="str">
        <f t="shared" si="1"/>
        <v/>
      </c>
      <c r="H1694" s="22"/>
      <c r="I1694" s="11"/>
      <c r="J1694" s="17" t="str">
        <f>IF(TRIM(B1694)="","",IF(ISNUMBER(SEARCH(" - ",B1694)),TRIM(RIGHT(B1694,LEN(B1694)-FIND(" - ",B1694)-2)),IFERROR(VLOOKUP(UPPER(TRIM(B1694)), SETUP!$B$4:$C$11, 2, FALSE), UPPER(TRIM(B1694)))))</f>
        <v/>
      </c>
      <c r="K1694" s="23" t="str">
        <f t="shared" si="2"/>
        <v/>
      </c>
      <c r="L1694" s="17" t="str">
        <f t="shared" si="3"/>
        <v/>
      </c>
      <c r="M1694" s="17" t="str">
        <f t="shared" si="4"/>
        <v/>
      </c>
    </row>
    <row r="1695" ht="15.75" customHeight="1">
      <c r="A1695" s="12"/>
      <c r="B1695" s="11"/>
      <c r="C1695" s="11"/>
      <c r="D1695" s="11"/>
      <c r="E1695" s="11" t="str">
        <f>IF(J1695="","", C1695 * IFERROR(VLOOKUP(J1695, SETUP!$A:$D, 3, FALSE), 0))</f>
        <v/>
      </c>
      <c r="F1695" s="11" t="str">
        <f>IF(J1695="","", C1695 * IFERROR(VLOOKUP(J1695, SETUP!$A:$D, 4, FALSE), 0))</f>
        <v/>
      </c>
      <c r="G1695" s="11" t="str">
        <f t="shared" si="1"/>
        <v/>
      </c>
      <c r="H1695" s="22"/>
      <c r="I1695" s="11"/>
      <c r="J1695" s="17" t="str">
        <f>IF(TRIM(B1695)="","",IF(ISNUMBER(SEARCH(" - ",B1695)),TRIM(RIGHT(B1695,LEN(B1695)-FIND(" - ",B1695)-2)),IFERROR(VLOOKUP(UPPER(TRIM(B1695)), SETUP!$B$4:$C$11, 2, FALSE), UPPER(TRIM(B1695)))))</f>
        <v/>
      </c>
      <c r="K1695" s="23" t="str">
        <f t="shared" si="2"/>
        <v/>
      </c>
      <c r="L1695" s="17" t="str">
        <f t="shared" si="3"/>
        <v/>
      </c>
      <c r="M1695" s="17" t="str">
        <f t="shared" si="4"/>
        <v/>
      </c>
    </row>
    <row r="1696" ht="15.75" customHeight="1">
      <c r="A1696" s="12"/>
      <c r="B1696" s="11"/>
      <c r="C1696" s="11"/>
      <c r="D1696" s="11"/>
      <c r="E1696" s="11" t="str">
        <f>IF(J1696="","", C1696 * IFERROR(VLOOKUP(J1696, SETUP!$A:$D, 3, FALSE), 0))</f>
        <v/>
      </c>
      <c r="F1696" s="11" t="str">
        <f>IF(J1696="","", C1696 * IFERROR(VLOOKUP(J1696, SETUP!$A:$D, 4, FALSE), 0))</f>
        <v/>
      </c>
      <c r="G1696" s="11" t="str">
        <f t="shared" si="1"/>
        <v/>
      </c>
      <c r="H1696" s="22"/>
      <c r="I1696" s="11"/>
      <c r="J1696" s="17" t="str">
        <f>IF(TRIM(B1696)="","",IF(ISNUMBER(SEARCH(" - ",B1696)),TRIM(RIGHT(B1696,LEN(B1696)-FIND(" - ",B1696)-2)),IFERROR(VLOOKUP(UPPER(TRIM(B1696)), SETUP!$B$4:$C$11, 2, FALSE), UPPER(TRIM(B1696)))))</f>
        <v/>
      </c>
      <c r="K1696" s="23" t="str">
        <f t="shared" si="2"/>
        <v/>
      </c>
      <c r="L1696" s="17" t="str">
        <f t="shared" si="3"/>
        <v/>
      </c>
      <c r="M1696" s="17" t="str">
        <f t="shared" si="4"/>
        <v/>
      </c>
    </row>
    <row r="1697" ht="15.75" customHeight="1">
      <c r="A1697" s="12"/>
      <c r="B1697" s="11"/>
      <c r="C1697" s="11"/>
      <c r="D1697" s="11"/>
      <c r="E1697" s="11" t="str">
        <f>IF(J1697="","", C1697 * IFERROR(VLOOKUP(J1697, SETUP!$A:$D, 3, FALSE), 0))</f>
        <v/>
      </c>
      <c r="F1697" s="11" t="str">
        <f>IF(J1697="","", C1697 * IFERROR(VLOOKUP(J1697, SETUP!$A:$D, 4, FALSE), 0))</f>
        <v/>
      </c>
      <c r="G1697" s="11" t="str">
        <f t="shared" si="1"/>
        <v/>
      </c>
      <c r="H1697" s="22"/>
      <c r="I1697" s="11"/>
      <c r="J1697" s="17" t="str">
        <f>IF(TRIM(B1697)="","",IF(ISNUMBER(SEARCH(" - ",B1697)),TRIM(RIGHT(B1697,LEN(B1697)-FIND(" - ",B1697)-2)),IFERROR(VLOOKUP(UPPER(TRIM(B1697)), SETUP!$B$4:$C$11, 2, FALSE), UPPER(TRIM(B1697)))))</f>
        <v/>
      </c>
      <c r="K1697" s="23" t="str">
        <f t="shared" si="2"/>
        <v/>
      </c>
      <c r="L1697" s="17" t="str">
        <f t="shared" si="3"/>
        <v/>
      </c>
      <c r="M1697" s="17" t="str">
        <f t="shared" si="4"/>
        <v/>
      </c>
    </row>
    <row r="1698" ht="15.75" customHeight="1">
      <c r="A1698" s="12"/>
      <c r="B1698" s="11"/>
      <c r="C1698" s="11"/>
      <c r="D1698" s="11"/>
      <c r="E1698" s="11" t="str">
        <f>IF(J1698="","", C1698 * IFERROR(VLOOKUP(J1698, SETUP!$A:$D, 3, FALSE), 0))</f>
        <v/>
      </c>
      <c r="F1698" s="11" t="str">
        <f>IF(J1698="","", C1698 * IFERROR(VLOOKUP(J1698, SETUP!$A:$D, 4, FALSE), 0))</f>
        <v/>
      </c>
      <c r="G1698" s="11" t="str">
        <f t="shared" si="1"/>
        <v/>
      </c>
      <c r="H1698" s="22"/>
      <c r="I1698" s="11"/>
      <c r="J1698" s="17" t="str">
        <f>IF(TRIM(B1698)="","",IF(ISNUMBER(SEARCH(" - ",B1698)),TRIM(RIGHT(B1698,LEN(B1698)-FIND(" - ",B1698)-2)),IFERROR(VLOOKUP(UPPER(TRIM(B1698)), SETUP!$B$4:$C$11, 2, FALSE), UPPER(TRIM(B1698)))))</f>
        <v/>
      </c>
      <c r="K1698" s="23" t="str">
        <f t="shared" si="2"/>
        <v/>
      </c>
      <c r="L1698" s="17" t="str">
        <f t="shared" si="3"/>
        <v/>
      </c>
      <c r="M1698" s="17" t="str">
        <f t="shared" si="4"/>
        <v/>
      </c>
    </row>
    <row r="1699" ht="15.75" customHeight="1">
      <c r="A1699" s="12"/>
      <c r="B1699" s="11"/>
      <c r="C1699" s="11"/>
      <c r="D1699" s="11"/>
      <c r="E1699" s="11" t="str">
        <f>IF(J1699="","", C1699 * IFERROR(VLOOKUP(J1699, SETUP!$A:$D, 3, FALSE), 0))</f>
        <v/>
      </c>
      <c r="F1699" s="11" t="str">
        <f>IF(J1699="","", C1699 * IFERROR(VLOOKUP(J1699, SETUP!$A:$D, 4, FALSE), 0))</f>
        <v/>
      </c>
      <c r="G1699" s="11" t="str">
        <f t="shared" si="1"/>
        <v/>
      </c>
      <c r="H1699" s="22"/>
      <c r="I1699" s="11"/>
      <c r="J1699" s="17" t="str">
        <f>IF(TRIM(B1699)="","",IF(ISNUMBER(SEARCH(" - ",B1699)),TRIM(RIGHT(B1699,LEN(B1699)-FIND(" - ",B1699)-2)),IFERROR(VLOOKUP(UPPER(TRIM(B1699)), SETUP!$B$4:$C$11, 2, FALSE), UPPER(TRIM(B1699)))))</f>
        <v/>
      </c>
      <c r="K1699" s="23" t="str">
        <f t="shared" si="2"/>
        <v/>
      </c>
      <c r="L1699" s="17" t="str">
        <f t="shared" si="3"/>
        <v/>
      </c>
      <c r="M1699" s="17" t="str">
        <f t="shared" si="4"/>
        <v/>
      </c>
    </row>
    <row r="1700" ht="15.75" customHeight="1">
      <c r="A1700" s="12"/>
      <c r="B1700" s="11"/>
      <c r="C1700" s="11"/>
      <c r="D1700" s="11"/>
      <c r="E1700" s="11" t="str">
        <f>IF(J1700="","", C1700 * IFERROR(VLOOKUP(J1700, SETUP!$A:$D, 3, FALSE), 0))</f>
        <v/>
      </c>
      <c r="F1700" s="11" t="str">
        <f>IF(J1700="","", C1700 * IFERROR(VLOOKUP(J1700, SETUP!$A:$D, 4, FALSE), 0))</f>
        <v/>
      </c>
      <c r="G1700" s="11" t="str">
        <f t="shared" si="1"/>
        <v/>
      </c>
      <c r="H1700" s="22"/>
      <c r="I1700" s="11"/>
      <c r="J1700" s="17" t="str">
        <f>IF(TRIM(B1700)="","",IF(ISNUMBER(SEARCH(" - ",B1700)),TRIM(RIGHT(B1700,LEN(B1700)-FIND(" - ",B1700)-2)),IFERROR(VLOOKUP(UPPER(TRIM(B1700)), SETUP!$B$4:$C$11, 2, FALSE), UPPER(TRIM(B1700)))))</f>
        <v/>
      </c>
      <c r="K1700" s="23" t="str">
        <f t="shared" si="2"/>
        <v/>
      </c>
      <c r="L1700" s="17" t="str">
        <f t="shared" si="3"/>
        <v/>
      </c>
      <c r="M1700" s="17" t="str">
        <f t="shared" si="4"/>
        <v/>
      </c>
    </row>
    <row r="1701" ht="15.75" customHeight="1">
      <c r="A1701" s="12"/>
      <c r="B1701" s="11"/>
      <c r="C1701" s="11"/>
      <c r="D1701" s="11"/>
      <c r="E1701" s="11" t="str">
        <f>IF(J1701="","", C1701 * IFERROR(VLOOKUP(J1701, SETUP!$A:$D, 3, FALSE), 0))</f>
        <v/>
      </c>
      <c r="F1701" s="11" t="str">
        <f>IF(J1701="","", C1701 * IFERROR(VLOOKUP(J1701, SETUP!$A:$D, 4, FALSE), 0))</f>
        <v/>
      </c>
      <c r="G1701" s="11" t="str">
        <f t="shared" si="1"/>
        <v/>
      </c>
      <c r="H1701" s="22"/>
      <c r="I1701" s="11"/>
      <c r="J1701" s="17" t="str">
        <f>IF(TRIM(B1701)="","",IF(ISNUMBER(SEARCH(" - ",B1701)),TRIM(RIGHT(B1701,LEN(B1701)-FIND(" - ",B1701)-2)),IFERROR(VLOOKUP(UPPER(TRIM(B1701)), SETUP!$B$4:$C$11, 2, FALSE), UPPER(TRIM(B1701)))))</f>
        <v/>
      </c>
      <c r="K1701" s="23" t="str">
        <f t="shared" si="2"/>
        <v/>
      </c>
      <c r="L1701" s="17" t="str">
        <f t="shared" si="3"/>
        <v/>
      </c>
      <c r="M1701" s="17" t="str">
        <f t="shared" si="4"/>
        <v/>
      </c>
    </row>
    <row r="1702" ht="15.75" customHeight="1">
      <c r="A1702" s="12"/>
      <c r="B1702" s="11"/>
      <c r="C1702" s="11"/>
      <c r="D1702" s="11"/>
      <c r="E1702" s="11" t="str">
        <f>IF(J1702="","", C1702 * IFERROR(VLOOKUP(J1702, SETUP!$A:$D, 3, FALSE), 0))</f>
        <v/>
      </c>
      <c r="F1702" s="11" t="str">
        <f>IF(J1702="","", C1702 * IFERROR(VLOOKUP(J1702, SETUP!$A:$D, 4, FALSE), 0))</f>
        <v/>
      </c>
      <c r="G1702" s="11" t="str">
        <f t="shared" si="1"/>
        <v/>
      </c>
      <c r="H1702" s="22"/>
      <c r="I1702" s="11"/>
      <c r="J1702" s="17" t="str">
        <f>IF(TRIM(B1702)="","",IF(ISNUMBER(SEARCH(" - ",B1702)),TRIM(RIGHT(B1702,LEN(B1702)-FIND(" - ",B1702)-2)),IFERROR(VLOOKUP(UPPER(TRIM(B1702)), SETUP!$B$4:$C$11, 2, FALSE), UPPER(TRIM(B1702)))))</f>
        <v/>
      </c>
      <c r="K1702" s="23" t="str">
        <f t="shared" si="2"/>
        <v/>
      </c>
      <c r="L1702" s="17" t="str">
        <f t="shared" si="3"/>
        <v/>
      </c>
      <c r="M1702" s="17" t="str">
        <f t="shared" si="4"/>
        <v/>
      </c>
    </row>
    <row r="1703" ht="15.75" customHeight="1">
      <c r="A1703" s="12"/>
      <c r="B1703" s="11"/>
      <c r="C1703" s="11"/>
      <c r="D1703" s="11"/>
      <c r="E1703" s="11" t="str">
        <f>IF(J1703="","", C1703 * IFERROR(VLOOKUP(J1703, SETUP!$A:$D, 3, FALSE), 0))</f>
        <v/>
      </c>
      <c r="F1703" s="11" t="str">
        <f>IF(J1703="","", C1703 * IFERROR(VLOOKUP(J1703, SETUP!$A:$D, 4, FALSE), 0))</f>
        <v/>
      </c>
      <c r="G1703" s="11" t="str">
        <f t="shared" si="1"/>
        <v/>
      </c>
      <c r="H1703" s="22"/>
      <c r="I1703" s="11"/>
      <c r="J1703" s="17" t="str">
        <f>IF(TRIM(B1703)="","",IF(ISNUMBER(SEARCH(" - ",B1703)),TRIM(RIGHT(B1703,LEN(B1703)-FIND(" - ",B1703)-2)),IFERROR(VLOOKUP(UPPER(TRIM(B1703)), SETUP!$B$4:$C$11, 2, FALSE), UPPER(TRIM(B1703)))))</f>
        <v/>
      </c>
      <c r="K1703" s="23" t="str">
        <f t="shared" si="2"/>
        <v/>
      </c>
      <c r="L1703" s="17" t="str">
        <f t="shared" si="3"/>
        <v/>
      </c>
      <c r="M1703" s="17" t="str">
        <f t="shared" si="4"/>
        <v/>
      </c>
    </row>
    <row r="1704" ht="15.75" customHeight="1">
      <c r="A1704" s="12"/>
      <c r="B1704" s="11"/>
      <c r="C1704" s="11"/>
      <c r="D1704" s="11"/>
      <c r="E1704" s="11" t="str">
        <f>IF(J1704="","", C1704 * IFERROR(VLOOKUP(J1704, SETUP!$A:$D, 3, FALSE), 0))</f>
        <v/>
      </c>
      <c r="F1704" s="11" t="str">
        <f>IF(J1704="","", C1704 * IFERROR(VLOOKUP(J1704, SETUP!$A:$D, 4, FALSE), 0))</f>
        <v/>
      </c>
      <c r="G1704" s="11" t="str">
        <f t="shared" si="1"/>
        <v/>
      </c>
      <c r="H1704" s="22"/>
      <c r="I1704" s="11"/>
      <c r="J1704" s="17" t="str">
        <f>IF(TRIM(B1704)="","",IF(ISNUMBER(SEARCH(" - ",B1704)),TRIM(RIGHT(B1704,LEN(B1704)-FIND(" - ",B1704)-2)),IFERROR(VLOOKUP(UPPER(TRIM(B1704)), SETUP!$B$4:$C$11, 2, FALSE), UPPER(TRIM(B1704)))))</f>
        <v/>
      </c>
      <c r="K1704" s="23" t="str">
        <f t="shared" si="2"/>
        <v/>
      </c>
      <c r="L1704" s="17" t="str">
        <f t="shared" si="3"/>
        <v/>
      </c>
      <c r="M1704" s="17" t="str">
        <f t="shared" si="4"/>
        <v/>
      </c>
    </row>
    <row r="1705" ht="15.75" customHeight="1">
      <c r="A1705" s="12"/>
      <c r="B1705" s="11"/>
      <c r="C1705" s="11"/>
      <c r="D1705" s="11"/>
      <c r="E1705" s="11" t="str">
        <f>IF(J1705="","", C1705 * IFERROR(VLOOKUP(J1705, SETUP!$A:$D, 3, FALSE), 0))</f>
        <v/>
      </c>
      <c r="F1705" s="11" t="str">
        <f>IF(J1705="","", C1705 * IFERROR(VLOOKUP(J1705, SETUP!$A:$D, 4, FALSE), 0))</f>
        <v/>
      </c>
      <c r="G1705" s="11" t="str">
        <f t="shared" si="1"/>
        <v/>
      </c>
      <c r="H1705" s="22"/>
      <c r="I1705" s="11"/>
      <c r="J1705" s="17" t="str">
        <f>IF(TRIM(B1705)="","",IF(ISNUMBER(SEARCH(" - ",B1705)),TRIM(RIGHT(B1705,LEN(B1705)-FIND(" - ",B1705)-2)),IFERROR(VLOOKUP(UPPER(TRIM(B1705)), SETUP!$B$4:$C$11, 2, FALSE), UPPER(TRIM(B1705)))))</f>
        <v/>
      </c>
      <c r="K1705" s="23" t="str">
        <f t="shared" si="2"/>
        <v/>
      </c>
      <c r="L1705" s="17" t="str">
        <f t="shared" si="3"/>
        <v/>
      </c>
      <c r="M1705" s="17" t="str">
        <f t="shared" si="4"/>
        <v/>
      </c>
    </row>
    <row r="1706" ht="15.75" customHeight="1">
      <c r="A1706" s="12"/>
      <c r="B1706" s="11"/>
      <c r="C1706" s="11"/>
      <c r="D1706" s="11"/>
      <c r="E1706" s="11" t="str">
        <f>IF(J1706="","", C1706 * IFERROR(VLOOKUP(J1706, SETUP!$A:$D, 3, FALSE), 0))</f>
        <v/>
      </c>
      <c r="F1706" s="11" t="str">
        <f>IF(J1706="","", C1706 * IFERROR(VLOOKUP(J1706, SETUP!$A:$D, 4, FALSE), 0))</f>
        <v/>
      </c>
      <c r="G1706" s="11" t="str">
        <f t="shared" si="1"/>
        <v/>
      </c>
      <c r="H1706" s="22"/>
      <c r="I1706" s="11"/>
      <c r="J1706" s="17" t="str">
        <f>IF(TRIM(B1706)="","",IF(ISNUMBER(SEARCH(" - ",B1706)),TRIM(RIGHT(B1706,LEN(B1706)-FIND(" - ",B1706)-2)),IFERROR(VLOOKUP(UPPER(TRIM(B1706)), SETUP!$B$4:$C$11, 2, FALSE), UPPER(TRIM(B1706)))))</f>
        <v/>
      </c>
      <c r="K1706" s="23" t="str">
        <f t="shared" si="2"/>
        <v/>
      </c>
      <c r="L1706" s="17" t="str">
        <f t="shared" si="3"/>
        <v/>
      </c>
      <c r="M1706" s="17" t="str">
        <f t="shared" si="4"/>
        <v/>
      </c>
    </row>
    <row r="1707" ht="15.75" customHeight="1">
      <c r="A1707" s="12"/>
      <c r="B1707" s="11"/>
      <c r="C1707" s="11"/>
      <c r="D1707" s="11"/>
      <c r="E1707" s="11" t="str">
        <f>IF(J1707="","", C1707 * IFERROR(VLOOKUP(J1707, SETUP!$A:$D, 3, FALSE), 0))</f>
        <v/>
      </c>
      <c r="F1707" s="11" t="str">
        <f>IF(J1707="","", C1707 * IFERROR(VLOOKUP(J1707, SETUP!$A:$D, 4, FALSE), 0))</f>
        <v/>
      </c>
      <c r="G1707" s="11" t="str">
        <f t="shared" si="1"/>
        <v/>
      </c>
      <c r="H1707" s="22"/>
      <c r="I1707" s="11"/>
      <c r="J1707" s="17" t="str">
        <f>IF(TRIM(B1707)="","",IF(ISNUMBER(SEARCH(" - ",B1707)),TRIM(RIGHT(B1707,LEN(B1707)-FIND(" - ",B1707)-2)),IFERROR(VLOOKUP(UPPER(TRIM(B1707)), SETUP!$B$4:$C$11, 2, FALSE), UPPER(TRIM(B1707)))))</f>
        <v/>
      </c>
      <c r="K1707" s="23" t="str">
        <f t="shared" si="2"/>
        <v/>
      </c>
      <c r="L1707" s="17" t="str">
        <f t="shared" si="3"/>
        <v/>
      </c>
      <c r="M1707" s="17" t="str">
        <f t="shared" si="4"/>
        <v/>
      </c>
    </row>
    <row r="1708" ht="15.75" customHeight="1">
      <c r="A1708" s="12"/>
      <c r="B1708" s="11"/>
      <c r="C1708" s="11"/>
      <c r="D1708" s="11"/>
      <c r="E1708" s="11" t="str">
        <f>IF(J1708="","", C1708 * IFERROR(VLOOKUP(J1708, SETUP!$A:$D, 3, FALSE), 0))</f>
        <v/>
      </c>
      <c r="F1708" s="11" t="str">
        <f>IF(J1708="","", C1708 * IFERROR(VLOOKUP(J1708, SETUP!$A:$D, 4, FALSE), 0))</f>
        <v/>
      </c>
      <c r="G1708" s="11" t="str">
        <f t="shared" si="1"/>
        <v/>
      </c>
      <c r="H1708" s="22"/>
      <c r="I1708" s="11"/>
      <c r="J1708" s="17" t="str">
        <f>IF(TRIM(B1708)="","",IF(ISNUMBER(SEARCH(" - ",B1708)),TRIM(RIGHT(B1708,LEN(B1708)-FIND(" - ",B1708)-2)),IFERROR(VLOOKUP(UPPER(TRIM(B1708)), SETUP!$B$4:$C$11, 2, FALSE), UPPER(TRIM(B1708)))))</f>
        <v/>
      </c>
      <c r="K1708" s="23" t="str">
        <f t="shared" si="2"/>
        <v/>
      </c>
      <c r="L1708" s="17" t="str">
        <f t="shared" si="3"/>
        <v/>
      </c>
      <c r="M1708" s="17" t="str">
        <f t="shared" si="4"/>
        <v/>
      </c>
    </row>
    <row r="1709" ht="15.75" customHeight="1">
      <c r="A1709" s="12"/>
      <c r="B1709" s="11"/>
      <c r="C1709" s="11"/>
      <c r="D1709" s="11"/>
      <c r="E1709" s="11" t="str">
        <f>IF(J1709="","", C1709 * IFERROR(VLOOKUP(J1709, SETUP!$A:$D, 3, FALSE), 0))</f>
        <v/>
      </c>
      <c r="F1709" s="11" t="str">
        <f>IF(J1709="","", C1709 * IFERROR(VLOOKUP(J1709, SETUP!$A:$D, 4, FALSE), 0))</f>
        <v/>
      </c>
      <c r="G1709" s="11" t="str">
        <f t="shared" si="1"/>
        <v/>
      </c>
      <c r="H1709" s="22"/>
      <c r="I1709" s="11"/>
      <c r="J1709" s="17" t="str">
        <f>IF(TRIM(B1709)="","",IF(ISNUMBER(SEARCH(" - ",B1709)),TRIM(RIGHT(B1709,LEN(B1709)-FIND(" - ",B1709)-2)),IFERROR(VLOOKUP(UPPER(TRIM(B1709)), SETUP!$B$4:$C$11, 2, FALSE), UPPER(TRIM(B1709)))))</f>
        <v/>
      </c>
      <c r="K1709" s="23" t="str">
        <f t="shared" si="2"/>
        <v/>
      </c>
      <c r="L1709" s="17" t="str">
        <f t="shared" si="3"/>
        <v/>
      </c>
      <c r="M1709" s="17" t="str">
        <f t="shared" si="4"/>
        <v/>
      </c>
    </row>
    <row r="1710" ht="15.75" customHeight="1">
      <c r="A1710" s="12"/>
      <c r="B1710" s="11"/>
      <c r="C1710" s="11"/>
      <c r="D1710" s="11"/>
      <c r="E1710" s="11" t="str">
        <f>IF(J1710="","", C1710 * IFERROR(VLOOKUP(J1710, SETUP!$A:$D, 3, FALSE), 0))</f>
        <v/>
      </c>
      <c r="F1710" s="11" t="str">
        <f>IF(J1710="","", C1710 * IFERROR(VLOOKUP(J1710, SETUP!$A:$D, 4, FALSE), 0))</f>
        <v/>
      </c>
      <c r="G1710" s="11" t="str">
        <f t="shared" si="1"/>
        <v/>
      </c>
      <c r="H1710" s="22"/>
      <c r="I1710" s="11"/>
      <c r="J1710" s="17" t="str">
        <f>IF(TRIM(B1710)="","",IF(ISNUMBER(SEARCH(" - ",B1710)),TRIM(RIGHT(B1710,LEN(B1710)-FIND(" - ",B1710)-2)),IFERROR(VLOOKUP(UPPER(TRIM(B1710)), SETUP!$B$4:$C$11, 2, FALSE), UPPER(TRIM(B1710)))))</f>
        <v/>
      </c>
      <c r="K1710" s="23" t="str">
        <f t="shared" si="2"/>
        <v/>
      </c>
      <c r="L1710" s="17" t="str">
        <f t="shared" si="3"/>
        <v/>
      </c>
      <c r="M1710" s="17" t="str">
        <f t="shared" si="4"/>
        <v/>
      </c>
    </row>
    <row r="1711" ht="15.75" customHeight="1">
      <c r="A1711" s="12"/>
      <c r="B1711" s="11"/>
      <c r="C1711" s="11"/>
      <c r="D1711" s="11"/>
      <c r="E1711" s="11" t="str">
        <f>IF(J1711="","", C1711 * IFERROR(VLOOKUP(J1711, SETUP!$A:$D, 3, FALSE), 0))</f>
        <v/>
      </c>
      <c r="F1711" s="11" t="str">
        <f>IF(J1711="","", C1711 * IFERROR(VLOOKUP(J1711, SETUP!$A:$D, 4, FALSE), 0))</f>
        <v/>
      </c>
      <c r="G1711" s="11" t="str">
        <f t="shared" si="1"/>
        <v/>
      </c>
      <c r="H1711" s="22"/>
      <c r="I1711" s="11"/>
      <c r="J1711" s="17" t="str">
        <f>IF(TRIM(B1711)="","",IF(ISNUMBER(SEARCH(" - ",B1711)),TRIM(RIGHT(B1711,LEN(B1711)-FIND(" - ",B1711)-2)),IFERROR(VLOOKUP(UPPER(TRIM(B1711)), SETUP!$B$4:$C$11, 2, FALSE), UPPER(TRIM(B1711)))))</f>
        <v/>
      </c>
      <c r="K1711" s="23" t="str">
        <f t="shared" si="2"/>
        <v/>
      </c>
      <c r="L1711" s="17" t="str">
        <f t="shared" si="3"/>
        <v/>
      </c>
      <c r="M1711" s="17" t="str">
        <f t="shared" si="4"/>
        <v/>
      </c>
    </row>
    <row r="1712" ht="15.75" customHeight="1">
      <c r="A1712" s="12"/>
      <c r="B1712" s="11"/>
      <c r="C1712" s="11"/>
      <c r="D1712" s="11"/>
      <c r="E1712" s="11" t="str">
        <f>IF(J1712="","", C1712 * IFERROR(VLOOKUP(J1712, SETUP!$A:$D, 3, FALSE), 0))</f>
        <v/>
      </c>
      <c r="F1712" s="11" t="str">
        <f>IF(J1712="","", C1712 * IFERROR(VLOOKUP(J1712, SETUP!$A:$D, 4, FALSE), 0))</f>
        <v/>
      </c>
      <c r="G1712" s="11" t="str">
        <f t="shared" si="1"/>
        <v/>
      </c>
      <c r="H1712" s="22"/>
      <c r="I1712" s="11"/>
      <c r="J1712" s="17" t="str">
        <f>IF(TRIM(B1712)="","",IF(ISNUMBER(SEARCH(" - ",B1712)),TRIM(RIGHT(B1712,LEN(B1712)-FIND(" - ",B1712)-2)),IFERROR(VLOOKUP(UPPER(TRIM(B1712)), SETUP!$B$4:$C$11, 2, FALSE), UPPER(TRIM(B1712)))))</f>
        <v/>
      </c>
      <c r="K1712" s="23" t="str">
        <f t="shared" si="2"/>
        <v/>
      </c>
      <c r="L1712" s="17" t="str">
        <f t="shared" si="3"/>
        <v/>
      </c>
      <c r="M1712" s="17" t="str">
        <f t="shared" si="4"/>
        <v/>
      </c>
    </row>
    <row r="1713" ht="15.75" customHeight="1">
      <c r="A1713" s="12"/>
      <c r="B1713" s="11"/>
      <c r="C1713" s="11"/>
      <c r="D1713" s="11"/>
      <c r="E1713" s="11" t="str">
        <f>IF(J1713="","", C1713 * IFERROR(VLOOKUP(J1713, SETUP!$A:$D, 3, FALSE), 0))</f>
        <v/>
      </c>
      <c r="F1713" s="11" t="str">
        <f>IF(J1713="","", C1713 * IFERROR(VLOOKUP(J1713, SETUP!$A:$D, 4, FALSE), 0))</f>
        <v/>
      </c>
      <c r="G1713" s="11" t="str">
        <f t="shared" si="1"/>
        <v/>
      </c>
      <c r="H1713" s="22"/>
      <c r="I1713" s="11"/>
      <c r="J1713" s="17" t="str">
        <f>IF(TRIM(B1713)="","",IF(ISNUMBER(SEARCH(" - ",B1713)),TRIM(RIGHT(B1713,LEN(B1713)-FIND(" - ",B1713)-2)),IFERROR(VLOOKUP(UPPER(TRIM(B1713)), SETUP!$B$4:$C$11, 2, FALSE), UPPER(TRIM(B1713)))))</f>
        <v/>
      </c>
      <c r="K1713" s="23" t="str">
        <f t="shared" si="2"/>
        <v/>
      </c>
      <c r="L1713" s="17" t="str">
        <f t="shared" si="3"/>
        <v/>
      </c>
      <c r="M1713" s="17" t="str">
        <f t="shared" si="4"/>
        <v/>
      </c>
    </row>
    <row r="1714" ht="15.75" customHeight="1">
      <c r="A1714" s="12"/>
      <c r="B1714" s="11"/>
      <c r="C1714" s="11"/>
      <c r="D1714" s="11"/>
      <c r="E1714" s="11" t="str">
        <f>IF(J1714="","", C1714 * IFERROR(VLOOKUP(J1714, SETUP!$A:$D, 3, FALSE), 0))</f>
        <v/>
      </c>
      <c r="F1714" s="11" t="str">
        <f>IF(J1714="","", C1714 * IFERROR(VLOOKUP(J1714, SETUP!$A:$D, 4, FALSE), 0))</f>
        <v/>
      </c>
      <c r="G1714" s="11" t="str">
        <f t="shared" si="1"/>
        <v/>
      </c>
      <c r="H1714" s="22"/>
      <c r="I1714" s="11"/>
      <c r="J1714" s="17" t="str">
        <f>IF(TRIM(B1714)="","",IF(ISNUMBER(SEARCH(" - ",B1714)),TRIM(RIGHT(B1714,LEN(B1714)-FIND(" - ",B1714)-2)),IFERROR(VLOOKUP(UPPER(TRIM(B1714)), SETUP!$B$4:$C$11, 2, FALSE), UPPER(TRIM(B1714)))))</f>
        <v/>
      </c>
      <c r="K1714" s="23" t="str">
        <f t="shared" si="2"/>
        <v/>
      </c>
      <c r="L1714" s="17" t="str">
        <f t="shared" si="3"/>
        <v/>
      </c>
      <c r="M1714" s="17" t="str">
        <f t="shared" si="4"/>
        <v/>
      </c>
    </row>
    <row r="1715" ht="15.75" customHeight="1">
      <c r="A1715" s="12"/>
      <c r="B1715" s="11"/>
      <c r="C1715" s="11"/>
      <c r="D1715" s="11"/>
      <c r="E1715" s="11" t="str">
        <f>IF(J1715="","", C1715 * IFERROR(VLOOKUP(J1715, SETUP!$A:$D, 3, FALSE), 0))</f>
        <v/>
      </c>
      <c r="F1715" s="11" t="str">
        <f>IF(J1715="","", C1715 * IFERROR(VLOOKUP(J1715, SETUP!$A:$D, 4, FALSE), 0))</f>
        <v/>
      </c>
      <c r="G1715" s="11" t="str">
        <f t="shared" si="1"/>
        <v/>
      </c>
      <c r="H1715" s="22"/>
      <c r="I1715" s="11"/>
      <c r="J1715" s="17" t="str">
        <f>IF(TRIM(B1715)="","",IF(ISNUMBER(SEARCH(" - ",B1715)),TRIM(RIGHT(B1715,LEN(B1715)-FIND(" - ",B1715)-2)),IFERROR(VLOOKUP(UPPER(TRIM(B1715)), SETUP!$B$4:$C$11, 2, FALSE), UPPER(TRIM(B1715)))))</f>
        <v/>
      </c>
      <c r="K1715" s="23" t="str">
        <f t="shared" si="2"/>
        <v/>
      </c>
      <c r="L1715" s="17" t="str">
        <f t="shared" si="3"/>
        <v/>
      </c>
      <c r="M1715" s="17" t="str">
        <f t="shared" si="4"/>
        <v/>
      </c>
    </row>
    <row r="1716" ht="15.75" customHeight="1">
      <c r="A1716" s="12"/>
      <c r="B1716" s="11"/>
      <c r="C1716" s="11"/>
      <c r="D1716" s="11"/>
      <c r="E1716" s="11" t="str">
        <f>IF(J1716="","", C1716 * IFERROR(VLOOKUP(J1716, SETUP!$A:$D, 3, FALSE), 0))</f>
        <v/>
      </c>
      <c r="F1716" s="11" t="str">
        <f>IF(J1716="","", C1716 * IFERROR(VLOOKUP(J1716, SETUP!$A:$D, 4, FALSE), 0))</f>
        <v/>
      </c>
      <c r="G1716" s="11" t="str">
        <f t="shared" si="1"/>
        <v/>
      </c>
      <c r="H1716" s="22"/>
      <c r="I1716" s="11"/>
      <c r="J1716" s="17" t="str">
        <f>IF(TRIM(B1716)="","",IF(ISNUMBER(SEARCH(" - ",B1716)),TRIM(RIGHT(B1716,LEN(B1716)-FIND(" - ",B1716)-2)),IFERROR(VLOOKUP(UPPER(TRIM(B1716)), SETUP!$B$4:$C$11, 2, FALSE), UPPER(TRIM(B1716)))))</f>
        <v/>
      </c>
      <c r="K1716" s="23" t="str">
        <f t="shared" si="2"/>
        <v/>
      </c>
      <c r="L1716" s="17" t="str">
        <f t="shared" si="3"/>
        <v/>
      </c>
      <c r="M1716" s="17" t="str">
        <f t="shared" si="4"/>
        <v/>
      </c>
    </row>
    <row r="1717" ht="15.75" customHeight="1">
      <c r="A1717" s="12"/>
      <c r="B1717" s="11"/>
      <c r="C1717" s="11"/>
      <c r="D1717" s="11"/>
      <c r="E1717" s="11" t="str">
        <f>IF(J1717="","", C1717 * IFERROR(VLOOKUP(J1717, SETUP!$A:$D, 3, FALSE), 0))</f>
        <v/>
      </c>
      <c r="F1717" s="11" t="str">
        <f>IF(J1717="","", C1717 * IFERROR(VLOOKUP(J1717, SETUP!$A:$D, 4, FALSE), 0))</f>
        <v/>
      </c>
      <c r="G1717" s="11" t="str">
        <f t="shared" si="1"/>
        <v/>
      </c>
      <c r="H1717" s="22"/>
      <c r="I1717" s="11"/>
      <c r="J1717" s="17" t="str">
        <f>IF(TRIM(B1717)="","",IF(ISNUMBER(SEARCH(" - ",B1717)),TRIM(RIGHT(B1717,LEN(B1717)-FIND(" - ",B1717)-2)),IFERROR(VLOOKUP(UPPER(TRIM(B1717)), SETUP!$B$4:$C$11, 2, FALSE), UPPER(TRIM(B1717)))))</f>
        <v/>
      </c>
      <c r="K1717" s="23" t="str">
        <f t="shared" si="2"/>
        <v/>
      </c>
      <c r="L1717" s="17" t="str">
        <f t="shared" si="3"/>
        <v/>
      </c>
      <c r="M1717" s="17" t="str">
        <f t="shared" si="4"/>
        <v/>
      </c>
    </row>
    <row r="1718" ht="15.75" customHeight="1">
      <c r="A1718" s="12"/>
      <c r="B1718" s="11"/>
      <c r="C1718" s="11"/>
      <c r="D1718" s="11"/>
      <c r="E1718" s="11" t="str">
        <f>IF(J1718="","", C1718 * IFERROR(VLOOKUP(J1718, SETUP!$A:$D, 3, FALSE), 0))</f>
        <v/>
      </c>
      <c r="F1718" s="11" t="str">
        <f>IF(J1718="","", C1718 * IFERROR(VLOOKUP(J1718, SETUP!$A:$D, 4, FALSE), 0))</f>
        <v/>
      </c>
      <c r="G1718" s="11" t="str">
        <f t="shared" si="1"/>
        <v/>
      </c>
      <c r="H1718" s="22"/>
      <c r="I1718" s="11"/>
      <c r="J1718" s="17" t="str">
        <f>IF(TRIM(B1718)="","",IF(ISNUMBER(SEARCH(" - ",B1718)),TRIM(RIGHT(B1718,LEN(B1718)-FIND(" - ",B1718)-2)),IFERROR(VLOOKUP(UPPER(TRIM(B1718)), SETUP!$B$4:$C$11, 2, FALSE), UPPER(TRIM(B1718)))))</f>
        <v/>
      </c>
      <c r="K1718" s="23" t="str">
        <f t="shared" si="2"/>
        <v/>
      </c>
      <c r="L1718" s="17" t="str">
        <f t="shared" si="3"/>
        <v/>
      </c>
      <c r="M1718" s="17" t="str">
        <f t="shared" si="4"/>
        <v/>
      </c>
    </row>
    <row r="1719" ht="15.75" customHeight="1">
      <c r="A1719" s="12"/>
      <c r="B1719" s="11"/>
      <c r="C1719" s="11"/>
      <c r="D1719" s="11"/>
      <c r="E1719" s="11" t="str">
        <f>IF(J1719="","", C1719 * IFERROR(VLOOKUP(J1719, SETUP!$A:$D, 3, FALSE), 0))</f>
        <v/>
      </c>
      <c r="F1719" s="11" t="str">
        <f>IF(J1719="","", C1719 * IFERROR(VLOOKUP(J1719, SETUP!$A:$D, 4, FALSE), 0))</f>
        <v/>
      </c>
      <c r="G1719" s="11" t="str">
        <f t="shared" si="1"/>
        <v/>
      </c>
      <c r="H1719" s="22"/>
      <c r="I1719" s="11"/>
      <c r="J1719" s="17" t="str">
        <f>IF(TRIM(B1719)="","",IF(ISNUMBER(SEARCH(" - ",B1719)),TRIM(RIGHT(B1719,LEN(B1719)-FIND(" - ",B1719)-2)),IFERROR(VLOOKUP(UPPER(TRIM(B1719)), SETUP!$B$4:$C$11, 2, FALSE), UPPER(TRIM(B1719)))))</f>
        <v/>
      </c>
      <c r="K1719" s="23" t="str">
        <f t="shared" si="2"/>
        <v/>
      </c>
      <c r="L1719" s="17" t="str">
        <f t="shared" si="3"/>
        <v/>
      </c>
      <c r="M1719" s="17" t="str">
        <f t="shared" si="4"/>
        <v/>
      </c>
    </row>
    <row r="1720" ht="15.75" customHeight="1">
      <c r="A1720" s="12"/>
      <c r="B1720" s="11"/>
      <c r="C1720" s="11"/>
      <c r="D1720" s="11"/>
      <c r="E1720" s="11" t="str">
        <f>IF(J1720="","", C1720 * IFERROR(VLOOKUP(J1720, SETUP!$A:$D, 3, FALSE), 0))</f>
        <v/>
      </c>
      <c r="F1720" s="11" t="str">
        <f>IF(J1720="","", C1720 * IFERROR(VLOOKUP(J1720, SETUP!$A:$D, 4, FALSE), 0))</f>
        <v/>
      </c>
      <c r="G1720" s="11" t="str">
        <f t="shared" si="1"/>
        <v/>
      </c>
      <c r="H1720" s="22"/>
      <c r="I1720" s="11"/>
      <c r="J1720" s="17" t="str">
        <f>IF(TRIM(B1720)="","",IF(ISNUMBER(SEARCH(" - ",B1720)),TRIM(RIGHT(B1720,LEN(B1720)-FIND(" - ",B1720)-2)),IFERROR(VLOOKUP(UPPER(TRIM(B1720)), SETUP!$B$4:$C$11, 2, FALSE), UPPER(TRIM(B1720)))))</f>
        <v/>
      </c>
      <c r="K1720" s="23" t="str">
        <f t="shared" si="2"/>
        <v/>
      </c>
      <c r="L1720" s="17" t="str">
        <f t="shared" si="3"/>
        <v/>
      </c>
      <c r="M1720" s="17" t="str">
        <f t="shared" si="4"/>
        <v/>
      </c>
    </row>
    <row r="1721" ht="15.75" customHeight="1">
      <c r="A1721" s="12"/>
      <c r="B1721" s="11"/>
      <c r="C1721" s="11"/>
      <c r="D1721" s="11"/>
      <c r="E1721" s="11" t="str">
        <f>IF(J1721="","", C1721 * IFERROR(VLOOKUP(J1721, SETUP!$A:$D, 3, FALSE), 0))</f>
        <v/>
      </c>
      <c r="F1721" s="11" t="str">
        <f>IF(J1721="","", C1721 * IFERROR(VLOOKUP(J1721, SETUP!$A:$D, 4, FALSE), 0))</f>
        <v/>
      </c>
      <c r="G1721" s="11" t="str">
        <f t="shared" si="1"/>
        <v/>
      </c>
      <c r="H1721" s="22"/>
      <c r="I1721" s="11"/>
      <c r="J1721" s="17" t="str">
        <f>IF(TRIM(B1721)="","",IF(ISNUMBER(SEARCH(" - ",B1721)),TRIM(RIGHT(B1721,LEN(B1721)-FIND(" - ",B1721)-2)),IFERROR(VLOOKUP(UPPER(TRIM(B1721)), SETUP!$B$4:$C$11, 2, FALSE), UPPER(TRIM(B1721)))))</f>
        <v/>
      </c>
      <c r="K1721" s="23" t="str">
        <f t="shared" si="2"/>
        <v/>
      </c>
      <c r="L1721" s="17" t="str">
        <f t="shared" si="3"/>
        <v/>
      </c>
      <c r="M1721" s="17" t="str">
        <f t="shared" si="4"/>
        <v/>
      </c>
    </row>
    <row r="1722" ht="15.75" customHeight="1">
      <c r="A1722" s="12"/>
      <c r="B1722" s="11"/>
      <c r="C1722" s="11"/>
      <c r="D1722" s="11"/>
      <c r="E1722" s="11" t="str">
        <f>IF(J1722="","", C1722 * IFERROR(VLOOKUP(J1722, SETUP!$A:$D, 3, FALSE), 0))</f>
        <v/>
      </c>
      <c r="F1722" s="11" t="str">
        <f>IF(J1722="","", C1722 * IFERROR(VLOOKUP(J1722, SETUP!$A:$D, 4, FALSE), 0))</f>
        <v/>
      </c>
      <c r="G1722" s="11" t="str">
        <f t="shared" si="1"/>
        <v/>
      </c>
      <c r="H1722" s="22"/>
      <c r="I1722" s="11"/>
      <c r="J1722" s="17" t="str">
        <f>IF(TRIM(B1722)="","",IF(ISNUMBER(SEARCH(" - ",B1722)),TRIM(RIGHT(B1722,LEN(B1722)-FIND(" - ",B1722)-2)),IFERROR(VLOOKUP(UPPER(TRIM(B1722)), SETUP!$B$4:$C$11, 2, FALSE), UPPER(TRIM(B1722)))))</f>
        <v/>
      </c>
      <c r="K1722" s="23" t="str">
        <f t="shared" si="2"/>
        <v/>
      </c>
      <c r="L1722" s="17" t="str">
        <f t="shared" si="3"/>
        <v/>
      </c>
      <c r="M1722" s="17" t="str">
        <f t="shared" si="4"/>
        <v/>
      </c>
    </row>
    <row r="1723" ht="15.75" customHeight="1">
      <c r="A1723" s="12"/>
      <c r="B1723" s="11"/>
      <c r="C1723" s="11"/>
      <c r="D1723" s="11"/>
      <c r="E1723" s="11" t="str">
        <f>IF(J1723="","", C1723 * IFERROR(VLOOKUP(J1723, SETUP!$A:$D, 3, FALSE), 0))</f>
        <v/>
      </c>
      <c r="F1723" s="11" t="str">
        <f>IF(J1723="","", C1723 * IFERROR(VLOOKUP(J1723, SETUP!$A:$D, 4, FALSE), 0))</f>
        <v/>
      </c>
      <c r="G1723" s="11" t="str">
        <f t="shared" si="1"/>
        <v/>
      </c>
      <c r="H1723" s="22"/>
      <c r="I1723" s="11"/>
      <c r="J1723" s="17" t="str">
        <f>IF(TRIM(B1723)="","",IF(ISNUMBER(SEARCH(" - ",B1723)),TRIM(RIGHT(B1723,LEN(B1723)-FIND(" - ",B1723)-2)),IFERROR(VLOOKUP(UPPER(TRIM(B1723)), SETUP!$B$4:$C$11, 2, FALSE), UPPER(TRIM(B1723)))))</f>
        <v/>
      </c>
      <c r="K1723" s="23" t="str">
        <f t="shared" si="2"/>
        <v/>
      </c>
      <c r="L1723" s="17" t="str">
        <f t="shared" si="3"/>
        <v/>
      </c>
      <c r="M1723" s="17" t="str">
        <f t="shared" si="4"/>
        <v/>
      </c>
    </row>
    <row r="1724" ht="15.75" customHeight="1">
      <c r="A1724" s="12"/>
      <c r="B1724" s="11"/>
      <c r="C1724" s="11"/>
      <c r="D1724" s="11"/>
      <c r="E1724" s="11" t="str">
        <f>IF(J1724="","", C1724 * IFERROR(VLOOKUP(J1724, SETUP!$A:$D, 3, FALSE), 0))</f>
        <v/>
      </c>
      <c r="F1724" s="11" t="str">
        <f>IF(J1724="","", C1724 * IFERROR(VLOOKUP(J1724, SETUP!$A:$D, 4, FALSE), 0))</f>
        <v/>
      </c>
      <c r="G1724" s="11" t="str">
        <f t="shared" si="1"/>
        <v/>
      </c>
      <c r="H1724" s="22"/>
      <c r="I1724" s="11"/>
      <c r="J1724" s="17" t="str">
        <f>IF(TRIM(B1724)="","",IF(ISNUMBER(SEARCH(" - ",B1724)),TRIM(RIGHT(B1724,LEN(B1724)-FIND(" - ",B1724)-2)),IFERROR(VLOOKUP(UPPER(TRIM(B1724)), SETUP!$B$4:$C$11, 2, FALSE), UPPER(TRIM(B1724)))))</f>
        <v/>
      </c>
      <c r="K1724" s="23" t="str">
        <f t="shared" si="2"/>
        <v/>
      </c>
      <c r="L1724" s="17" t="str">
        <f t="shared" si="3"/>
        <v/>
      </c>
      <c r="M1724" s="17" t="str">
        <f t="shared" si="4"/>
        <v/>
      </c>
    </row>
    <row r="1725" ht="15.75" customHeight="1">
      <c r="A1725" s="12"/>
      <c r="B1725" s="11"/>
      <c r="C1725" s="11"/>
      <c r="D1725" s="11"/>
      <c r="E1725" s="11" t="str">
        <f>IF(J1725="","", C1725 * IFERROR(VLOOKUP(J1725, SETUP!$A:$D, 3, FALSE), 0))</f>
        <v/>
      </c>
      <c r="F1725" s="11" t="str">
        <f>IF(J1725="","", C1725 * IFERROR(VLOOKUP(J1725, SETUP!$A:$D, 4, FALSE), 0))</f>
        <v/>
      </c>
      <c r="G1725" s="11" t="str">
        <f t="shared" si="1"/>
        <v/>
      </c>
      <c r="H1725" s="22"/>
      <c r="I1725" s="11"/>
      <c r="J1725" s="17" t="str">
        <f>IF(TRIM(B1725)="","",IF(ISNUMBER(SEARCH(" - ",B1725)),TRIM(RIGHT(B1725,LEN(B1725)-FIND(" - ",B1725)-2)),IFERROR(VLOOKUP(UPPER(TRIM(B1725)), SETUP!$B$4:$C$11, 2, FALSE), UPPER(TRIM(B1725)))))</f>
        <v/>
      </c>
      <c r="K1725" s="23" t="str">
        <f t="shared" si="2"/>
        <v/>
      </c>
      <c r="L1725" s="17" t="str">
        <f t="shared" si="3"/>
        <v/>
      </c>
      <c r="M1725" s="17" t="str">
        <f t="shared" si="4"/>
        <v/>
      </c>
    </row>
    <row r="1726" ht="15.75" customHeight="1">
      <c r="A1726" s="12"/>
      <c r="B1726" s="11"/>
      <c r="C1726" s="11"/>
      <c r="D1726" s="11"/>
      <c r="E1726" s="11" t="str">
        <f>IF(J1726="","", C1726 * IFERROR(VLOOKUP(J1726, SETUP!$A:$D, 3, FALSE), 0))</f>
        <v/>
      </c>
      <c r="F1726" s="11" t="str">
        <f>IF(J1726="","", C1726 * IFERROR(VLOOKUP(J1726, SETUP!$A:$D, 4, FALSE), 0))</f>
        <v/>
      </c>
      <c r="G1726" s="11" t="str">
        <f t="shared" si="1"/>
        <v/>
      </c>
      <c r="H1726" s="22"/>
      <c r="I1726" s="11"/>
      <c r="J1726" s="17" t="str">
        <f>IF(TRIM(B1726)="","",IF(ISNUMBER(SEARCH(" - ",B1726)),TRIM(RIGHT(B1726,LEN(B1726)-FIND(" - ",B1726)-2)),IFERROR(VLOOKUP(UPPER(TRIM(B1726)), SETUP!$B$4:$C$11, 2, FALSE), UPPER(TRIM(B1726)))))</f>
        <v/>
      </c>
      <c r="K1726" s="23" t="str">
        <f t="shared" si="2"/>
        <v/>
      </c>
      <c r="L1726" s="17" t="str">
        <f t="shared" si="3"/>
        <v/>
      </c>
      <c r="M1726" s="17" t="str">
        <f t="shared" si="4"/>
        <v/>
      </c>
    </row>
    <row r="1727" ht="15.75" customHeight="1">
      <c r="A1727" s="12"/>
      <c r="B1727" s="11"/>
      <c r="C1727" s="11"/>
      <c r="D1727" s="11"/>
      <c r="E1727" s="11" t="str">
        <f>IF(J1727="","", C1727 * IFERROR(VLOOKUP(J1727, SETUP!$A:$D, 3, FALSE), 0))</f>
        <v/>
      </c>
      <c r="F1727" s="11" t="str">
        <f>IF(J1727="","", C1727 * IFERROR(VLOOKUP(J1727, SETUP!$A:$D, 4, FALSE), 0))</f>
        <v/>
      </c>
      <c r="G1727" s="11" t="str">
        <f t="shared" si="1"/>
        <v/>
      </c>
      <c r="H1727" s="22"/>
      <c r="I1727" s="11"/>
      <c r="J1727" s="17" t="str">
        <f>IF(TRIM(B1727)="","",IF(ISNUMBER(SEARCH(" - ",B1727)),TRIM(RIGHT(B1727,LEN(B1727)-FIND(" - ",B1727)-2)),IFERROR(VLOOKUP(UPPER(TRIM(B1727)), SETUP!$B$4:$C$11, 2, FALSE), UPPER(TRIM(B1727)))))</f>
        <v/>
      </c>
      <c r="K1727" s="23" t="str">
        <f t="shared" si="2"/>
        <v/>
      </c>
      <c r="L1727" s="17" t="str">
        <f t="shared" si="3"/>
        <v/>
      </c>
      <c r="M1727" s="17" t="str">
        <f t="shared" si="4"/>
        <v/>
      </c>
    </row>
    <row r="1728" ht="15.75" customHeight="1">
      <c r="A1728" s="12"/>
      <c r="B1728" s="11"/>
      <c r="C1728" s="11"/>
      <c r="D1728" s="11"/>
      <c r="E1728" s="11" t="str">
        <f>IF(J1728="","", C1728 * IFERROR(VLOOKUP(J1728, SETUP!$A:$D, 3, FALSE), 0))</f>
        <v/>
      </c>
      <c r="F1728" s="11" t="str">
        <f>IF(J1728="","", C1728 * IFERROR(VLOOKUP(J1728, SETUP!$A:$D, 4, FALSE), 0))</f>
        <v/>
      </c>
      <c r="G1728" s="11" t="str">
        <f t="shared" si="1"/>
        <v/>
      </c>
      <c r="H1728" s="22"/>
      <c r="I1728" s="11"/>
      <c r="J1728" s="17" t="str">
        <f>IF(TRIM(B1728)="","",IF(ISNUMBER(SEARCH(" - ",B1728)),TRIM(RIGHT(B1728,LEN(B1728)-FIND(" - ",B1728)-2)),IFERROR(VLOOKUP(UPPER(TRIM(B1728)), SETUP!$B$4:$C$11, 2, FALSE), UPPER(TRIM(B1728)))))</f>
        <v/>
      </c>
      <c r="K1728" s="23" t="str">
        <f t="shared" si="2"/>
        <v/>
      </c>
      <c r="L1728" s="17" t="str">
        <f t="shared" si="3"/>
        <v/>
      </c>
      <c r="M1728" s="17" t="str">
        <f t="shared" si="4"/>
        <v/>
      </c>
    </row>
    <row r="1729" ht="15.75" customHeight="1">
      <c r="A1729" s="12"/>
      <c r="B1729" s="11"/>
      <c r="C1729" s="11"/>
      <c r="D1729" s="11"/>
      <c r="E1729" s="11" t="str">
        <f>IF(J1729="","", C1729 * IFERROR(VLOOKUP(J1729, SETUP!$A:$D, 3, FALSE), 0))</f>
        <v/>
      </c>
      <c r="F1729" s="11" t="str">
        <f>IF(J1729="","", C1729 * IFERROR(VLOOKUP(J1729, SETUP!$A:$D, 4, FALSE), 0))</f>
        <v/>
      </c>
      <c r="G1729" s="11" t="str">
        <f t="shared" si="1"/>
        <v/>
      </c>
      <c r="H1729" s="22"/>
      <c r="I1729" s="11"/>
      <c r="J1729" s="17" t="str">
        <f>IF(TRIM(B1729)="","",IF(ISNUMBER(SEARCH(" - ",B1729)),TRIM(RIGHT(B1729,LEN(B1729)-FIND(" - ",B1729)-2)),IFERROR(VLOOKUP(UPPER(TRIM(B1729)), SETUP!$B$4:$C$11, 2, FALSE), UPPER(TRIM(B1729)))))</f>
        <v/>
      </c>
      <c r="K1729" s="23" t="str">
        <f t="shared" si="2"/>
        <v/>
      </c>
      <c r="L1729" s="17" t="str">
        <f t="shared" si="3"/>
        <v/>
      </c>
      <c r="M1729" s="17" t="str">
        <f t="shared" si="4"/>
        <v/>
      </c>
    </row>
    <row r="1730" ht="15.75" customHeight="1">
      <c r="A1730" s="12"/>
      <c r="B1730" s="11"/>
      <c r="C1730" s="11"/>
      <c r="D1730" s="11"/>
      <c r="E1730" s="11" t="str">
        <f>IF(J1730="","", C1730 * IFERROR(VLOOKUP(J1730, SETUP!$A:$D, 3, FALSE), 0))</f>
        <v/>
      </c>
      <c r="F1730" s="11" t="str">
        <f>IF(J1730="","", C1730 * IFERROR(VLOOKUP(J1730, SETUP!$A:$D, 4, FALSE), 0))</f>
        <v/>
      </c>
      <c r="G1730" s="11" t="str">
        <f t="shared" si="1"/>
        <v/>
      </c>
      <c r="H1730" s="22"/>
      <c r="I1730" s="11"/>
      <c r="J1730" s="17" t="str">
        <f>IF(TRIM(B1730)="","",IF(ISNUMBER(SEARCH(" - ",B1730)),TRIM(RIGHT(B1730,LEN(B1730)-FIND(" - ",B1730)-2)),IFERROR(VLOOKUP(UPPER(TRIM(B1730)), SETUP!$B$4:$C$11, 2, FALSE), UPPER(TRIM(B1730)))))</f>
        <v/>
      </c>
      <c r="K1730" s="23" t="str">
        <f t="shared" si="2"/>
        <v/>
      </c>
      <c r="L1730" s="17" t="str">
        <f t="shared" si="3"/>
        <v/>
      </c>
      <c r="M1730" s="17" t="str">
        <f t="shared" si="4"/>
        <v/>
      </c>
    </row>
    <row r="1731" ht="15.75" customHeight="1">
      <c r="A1731" s="12"/>
      <c r="B1731" s="11"/>
      <c r="C1731" s="11"/>
      <c r="D1731" s="11"/>
      <c r="E1731" s="11" t="str">
        <f>IF(J1731="","", C1731 * IFERROR(VLOOKUP(J1731, SETUP!$A:$D, 3, FALSE), 0))</f>
        <v/>
      </c>
      <c r="F1731" s="11" t="str">
        <f>IF(J1731="","", C1731 * IFERROR(VLOOKUP(J1731, SETUP!$A:$D, 4, FALSE), 0))</f>
        <v/>
      </c>
      <c r="G1731" s="11" t="str">
        <f t="shared" si="1"/>
        <v/>
      </c>
      <c r="H1731" s="22"/>
      <c r="I1731" s="11"/>
      <c r="J1731" s="17" t="str">
        <f>IF(TRIM(B1731)="","",IF(ISNUMBER(SEARCH(" - ",B1731)),TRIM(RIGHT(B1731,LEN(B1731)-FIND(" - ",B1731)-2)),IFERROR(VLOOKUP(UPPER(TRIM(B1731)), SETUP!$B$4:$C$11, 2, FALSE), UPPER(TRIM(B1731)))))</f>
        <v/>
      </c>
      <c r="K1731" s="23" t="str">
        <f t="shared" si="2"/>
        <v/>
      </c>
      <c r="L1731" s="17" t="str">
        <f t="shared" si="3"/>
        <v/>
      </c>
      <c r="M1731" s="17" t="str">
        <f t="shared" si="4"/>
        <v/>
      </c>
    </row>
    <row r="1732" ht="15.75" customHeight="1">
      <c r="A1732" s="12"/>
      <c r="B1732" s="11"/>
      <c r="C1732" s="11"/>
      <c r="D1732" s="11"/>
      <c r="E1732" s="11" t="str">
        <f>IF(J1732="","", C1732 * IFERROR(VLOOKUP(J1732, SETUP!$A:$D, 3, FALSE), 0))</f>
        <v/>
      </c>
      <c r="F1732" s="11" t="str">
        <f>IF(J1732="","", C1732 * IFERROR(VLOOKUP(J1732, SETUP!$A:$D, 4, FALSE), 0))</f>
        <v/>
      </c>
      <c r="G1732" s="11" t="str">
        <f t="shared" si="1"/>
        <v/>
      </c>
      <c r="H1732" s="22"/>
      <c r="I1732" s="11"/>
      <c r="J1732" s="17" t="str">
        <f>IF(TRIM(B1732)="","",IF(ISNUMBER(SEARCH(" - ",B1732)),TRIM(RIGHT(B1732,LEN(B1732)-FIND(" - ",B1732)-2)),IFERROR(VLOOKUP(UPPER(TRIM(B1732)), SETUP!$B$4:$C$11, 2, FALSE), UPPER(TRIM(B1732)))))</f>
        <v/>
      </c>
      <c r="K1732" s="23" t="str">
        <f t="shared" si="2"/>
        <v/>
      </c>
      <c r="L1732" s="17" t="str">
        <f t="shared" si="3"/>
        <v/>
      </c>
      <c r="M1732" s="17" t="str">
        <f t="shared" si="4"/>
        <v/>
      </c>
    </row>
    <row r="1733" ht="15.75" customHeight="1">
      <c r="A1733" s="12"/>
      <c r="B1733" s="11"/>
      <c r="C1733" s="11"/>
      <c r="D1733" s="11"/>
      <c r="E1733" s="11" t="str">
        <f>IF(J1733="","", C1733 * IFERROR(VLOOKUP(J1733, SETUP!$A:$D, 3, FALSE), 0))</f>
        <v/>
      </c>
      <c r="F1733" s="11" t="str">
        <f>IF(J1733="","", C1733 * IFERROR(VLOOKUP(J1733, SETUP!$A:$D, 4, FALSE), 0))</f>
        <v/>
      </c>
      <c r="G1733" s="11" t="str">
        <f t="shared" si="1"/>
        <v/>
      </c>
      <c r="H1733" s="22"/>
      <c r="I1733" s="11"/>
      <c r="J1733" s="17" t="str">
        <f>IF(TRIM(B1733)="","",IF(ISNUMBER(SEARCH(" - ",B1733)),TRIM(RIGHT(B1733,LEN(B1733)-FIND(" - ",B1733)-2)),IFERROR(VLOOKUP(UPPER(TRIM(B1733)), SETUP!$B$4:$C$11, 2, FALSE), UPPER(TRIM(B1733)))))</f>
        <v/>
      </c>
      <c r="K1733" s="23" t="str">
        <f t="shared" si="2"/>
        <v/>
      </c>
      <c r="L1733" s="17" t="str">
        <f t="shared" si="3"/>
        <v/>
      </c>
      <c r="M1733" s="17" t="str">
        <f t="shared" si="4"/>
        <v/>
      </c>
    </row>
    <row r="1734" ht="15.75" customHeight="1">
      <c r="A1734" s="12"/>
      <c r="B1734" s="11"/>
      <c r="C1734" s="11"/>
      <c r="D1734" s="11"/>
      <c r="E1734" s="11" t="str">
        <f>IF(J1734="","", C1734 * IFERROR(VLOOKUP(J1734, SETUP!$A:$D, 3, FALSE), 0))</f>
        <v/>
      </c>
      <c r="F1734" s="11" t="str">
        <f>IF(J1734="","", C1734 * IFERROR(VLOOKUP(J1734, SETUP!$A:$D, 4, FALSE), 0))</f>
        <v/>
      </c>
      <c r="G1734" s="11" t="str">
        <f t="shared" si="1"/>
        <v/>
      </c>
      <c r="H1734" s="22"/>
      <c r="I1734" s="11"/>
      <c r="J1734" s="17" t="str">
        <f>IF(TRIM(B1734)="","",IF(ISNUMBER(SEARCH(" - ",B1734)),TRIM(RIGHT(B1734,LEN(B1734)-FIND(" - ",B1734)-2)),IFERROR(VLOOKUP(UPPER(TRIM(B1734)), SETUP!$B$4:$C$11, 2, FALSE), UPPER(TRIM(B1734)))))</f>
        <v/>
      </c>
      <c r="K1734" s="23" t="str">
        <f t="shared" si="2"/>
        <v/>
      </c>
      <c r="L1734" s="17" t="str">
        <f t="shared" si="3"/>
        <v/>
      </c>
      <c r="M1734" s="17" t="str">
        <f t="shared" si="4"/>
        <v/>
      </c>
    </row>
    <row r="1735" ht="15.75" customHeight="1">
      <c r="A1735" s="12"/>
      <c r="B1735" s="11"/>
      <c r="C1735" s="11"/>
      <c r="D1735" s="11"/>
      <c r="E1735" s="11" t="str">
        <f>IF(J1735="","", C1735 * IFERROR(VLOOKUP(J1735, SETUP!$A:$D, 3, FALSE), 0))</f>
        <v/>
      </c>
      <c r="F1735" s="11" t="str">
        <f>IF(J1735="","", C1735 * IFERROR(VLOOKUP(J1735, SETUP!$A:$D, 4, FALSE), 0))</f>
        <v/>
      </c>
      <c r="G1735" s="11" t="str">
        <f t="shared" si="1"/>
        <v/>
      </c>
      <c r="H1735" s="22"/>
      <c r="I1735" s="11"/>
      <c r="J1735" s="17" t="str">
        <f>IF(TRIM(B1735)="","",IF(ISNUMBER(SEARCH(" - ",B1735)),TRIM(RIGHT(B1735,LEN(B1735)-FIND(" - ",B1735)-2)),IFERROR(VLOOKUP(UPPER(TRIM(B1735)), SETUP!$B$4:$C$11, 2, FALSE), UPPER(TRIM(B1735)))))</f>
        <v/>
      </c>
      <c r="K1735" s="23" t="str">
        <f t="shared" si="2"/>
        <v/>
      </c>
      <c r="L1735" s="17" t="str">
        <f t="shared" si="3"/>
        <v/>
      </c>
      <c r="M1735" s="17" t="str">
        <f t="shared" si="4"/>
        <v/>
      </c>
    </row>
    <row r="1736" ht="15.75" customHeight="1">
      <c r="A1736" s="12"/>
      <c r="B1736" s="11"/>
      <c r="C1736" s="11"/>
      <c r="D1736" s="11"/>
      <c r="E1736" s="11" t="str">
        <f>IF(J1736="","", C1736 * IFERROR(VLOOKUP(J1736, SETUP!$A:$D, 3, FALSE), 0))</f>
        <v/>
      </c>
      <c r="F1736" s="11" t="str">
        <f>IF(J1736="","", C1736 * IFERROR(VLOOKUP(J1736, SETUP!$A:$D, 4, FALSE), 0))</f>
        <v/>
      </c>
      <c r="G1736" s="11" t="str">
        <f t="shared" si="1"/>
        <v/>
      </c>
      <c r="H1736" s="22"/>
      <c r="I1736" s="11"/>
      <c r="J1736" s="17" t="str">
        <f>IF(TRIM(B1736)="","",IF(ISNUMBER(SEARCH(" - ",B1736)),TRIM(RIGHT(B1736,LEN(B1736)-FIND(" - ",B1736)-2)),IFERROR(VLOOKUP(UPPER(TRIM(B1736)), SETUP!$B$4:$C$11, 2, FALSE), UPPER(TRIM(B1736)))))</f>
        <v/>
      </c>
      <c r="K1736" s="23" t="str">
        <f t="shared" si="2"/>
        <v/>
      </c>
      <c r="L1736" s="17" t="str">
        <f t="shared" si="3"/>
        <v/>
      </c>
      <c r="M1736" s="17" t="str">
        <f t="shared" si="4"/>
        <v/>
      </c>
    </row>
    <row r="1737" ht="15.75" customHeight="1">
      <c r="A1737" s="12"/>
      <c r="B1737" s="11"/>
      <c r="C1737" s="11"/>
      <c r="D1737" s="11"/>
      <c r="E1737" s="11" t="str">
        <f>IF(J1737="","", C1737 * IFERROR(VLOOKUP(J1737, SETUP!$A:$D, 3, FALSE), 0))</f>
        <v/>
      </c>
      <c r="F1737" s="11" t="str">
        <f>IF(J1737="","", C1737 * IFERROR(VLOOKUP(J1737, SETUP!$A:$D, 4, FALSE), 0))</f>
        <v/>
      </c>
      <c r="G1737" s="11" t="str">
        <f t="shared" si="1"/>
        <v/>
      </c>
      <c r="H1737" s="22"/>
      <c r="I1737" s="11"/>
      <c r="J1737" s="17" t="str">
        <f>IF(TRIM(B1737)="","",IF(ISNUMBER(SEARCH(" - ",B1737)),TRIM(RIGHT(B1737,LEN(B1737)-FIND(" - ",B1737)-2)),IFERROR(VLOOKUP(UPPER(TRIM(B1737)), SETUP!$B$4:$C$11, 2, FALSE), UPPER(TRIM(B1737)))))</f>
        <v/>
      </c>
      <c r="K1737" s="23" t="str">
        <f t="shared" si="2"/>
        <v/>
      </c>
      <c r="L1737" s="17" t="str">
        <f t="shared" si="3"/>
        <v/>
      </c>
      <c r="M1737" s="17" t="str">
        <f t="shared" si="4"/>
        <v/>
      </c>
    </row>
    <row r="1738" ht="15.75" customHeight="1">
      <c r="A1738" s="12"/>
      <c r="B1738" s="11"/>
      <c r="C1738" s="11"/>
      <c r="D1738" s="11"/>
      <c r="E1738" s="11" t="str">
        <f>IF(J1738="","", C1738 * IFERROR(VLOOKUP(J1738, SETUP!$A:$D, 3, FALSE), 0))</f>
        <v/>
      </c>
      <c r="F1738" s="11" t="str">
        <f>IF(J1738="","", C1738 * IFERROR(VLOOKUP(J1738, SETUP!$A:$D, 4, FALSE), 0))</f>
        <v/>
      </c>
      <c r="G1738" s="11" t="str">
        <f t="shared" si="1"/>
        <v/>
      </c>
      <c r="H1738" s="22"/>
      <c r="I1738" s="11"/>
      <c r="J1738" s="17" t="str">
        <f>IF(TRIM(B1738)="","",IF(ISNUMBER(SEARCH(" - ",B1738)),TRIM(RIGHT(B1738,LEN(B1738)-FIND(" - ",B1738)-2)),IFERROR(VLOOKUP(UPPER(TRIM(B1738)), SETUP!$B$4:$C$11, 2, FALSE), UPPER(TRIM(B1738)))))</f>
        <v/>
      </c>
      <c r="K1738" s="23" t="str">
        <f t="shared" si="2"/>
        <v/>
      </c>
      <c r="L1738" s="17" t="str">
        <f t="shared" si="3"/>
        <v/>
      </c>
      <c r="M1738" s="17" t="str">
        <f t="shared" si="4"/>
        <v/>
      </c>
    </row>
    <row r="1739" ht="15.75" customHeight="1">
      <c r="A1739" s="12"/>
      <c r="B1739" s="11"/>
      <c r="C1739" s="11"/>
      <c r="D1739" s="11"/>
      <c r="E1739" s="11" t="str">
        <f>IF(J1739="","", C1739 * IFERROR(VLOOKUP(J1739, SETUP!$A:$D, 3, FALSE), 0))</f>
        <v/>
      </c>
      <c r="F1739" s="11" t="str">
        <f>IF(J1739="","", C1739 * IFERROR(VLOOKUP(J1739, SETUP!$A:$D, 4, FALSE), 0))</f>
        <v/>
      </c>
      <c r="G1739" s="11" t="str">
        <f t="shared" si="1"/>
        <v/>
      </c>
      <c r="H1739" s="22"/>
      <c r="I1739" s="11"/>
      <c r="J1739" s="17" t="str">
        <f>IF(TRIM(B1739)="","",IF(ISNUMBER(SEARCH(" - ",B1739)),TRIM(RIGHT(B1739,LEN(B1739)-FIND(" - ",B1739)-2)),IFERROR(VLOOKUP(UPPER(TRIM(B1739)), SETUP!$B$4:$C$11, 2, FALSE), UPPER(TRIM(B1739)))))</f>
        <v/>
      </c>
      <c r="K1739" s="23" t="str">
        <f t="shared" si="2"/>
        <v/>
      </c>
      <c r="L1739" s="17" t="str">
        <f t="shared" si="3"/>
        <v/>
      </c>
      <c r="M1739" s="17" t="str">
        <f t="shared" si="4"/>
        <v/>
      </c>
    </row>
    <row r="1740" ht="15.75" customHeight="1">
      <c r="A1740" s="12"/>
      <c r="B1740" s="11"/>
      <c r="C1740" s="11"/>
      <c r="D1740" s="11"/>
      <c r="E1740" s="11" t="str">
        <f>IF(J1740="","", C1740 * IFERROR(VLOOKUP(J1740, SETUP!$A:$D, 3, FALSE), 0))</f>
        <v/>
      </c>
      <c r="F1740" s="11" t="str">
        <f>IF(J1740="","", C1740 * IFERROR(VLOOKUP(J1740, SETUP!$A:$D, 4, FALSE), 0))</f>
        <v/>
      </c>
      <c r="G1740" s="11" t="str">
        <f t="shared" si="1"/>
        <v/>
      </c>
      <c r="H1740" s="22"/>
      <c r="I1740" s="11"/>
      <c r="J1740" s="17" t="str">
        <f>IF(TRIM(B1740)="","",IF(ISNUMBER(SEARCH(" - ",B1740)),TRIM(RIGHT(B1740,LEN(B1740)-FIND(" - ",B1740)-2)),IFERROR(VLOOKUP(UPPER(TRIM(B1740)), SETUP!$B$4:$C$11, 2, FALSE), UPPER(TRIM(B1740)))))</f>
        <v/>
      </c>
      <c r="K1740" s="23" t="str">
        <f t="shared" si="2"/>
        <v/>
      </c>
      <c r="L1740" s="17" t="str">
        <f t="shared" si="3"/>
        <v/>
      </c>
      <c r="M1740" s="17" t="str">
        <f t="shared" si="4"/>
        <v/>
      </c>
    </row>
    <row r="1741" ht="15.75" customHeight="1">
      <c r="A1741" s="12"/>
      <c r="B1741" s="11"/>
      <c r="C1741" s="11"/>
      <c r="D1741" s="11"/>
      <c r="E1741" s="11" t="str">
        <f>IF(J1741="","", C1741 * IFERROR(VLOOKUP(J1741, SETUP!$A:$D, 3, FALSE), 0))</f>
        <v/>
      </c>
      <c r="F1741" s="11" t="str">
        <f>IF(J1741="","", C1741 * IFERROR(VLOOKUP(J1741, SETUP!$A:$D, 4, FALSE), 0))</f>
        <v/>
      </c>
      <c r="G1741" s="11" t="str">
        <f t="shared" si="1"/>
        <v/>
      </c>
      <c r="H1741" s="22"/>
      <c r="I1741" s="11"/>
      <c r="J1741" s="17" t="str">
        <f>IF(TRIM(B1741)="","",IF(ISNUMBER(SEARCH(" - ",B1741)),TRIM(RIGHT(B1741,LEN(B1741)-FIND(" - ",B1741)-2)),IFERROR(VLOOKUP(UPPER(TRIM(B1741)), SETUP!$B$4:$C$11, 2, FALSE), UPPER(TRIM(B1741)))))</f>
        <v/>
      </c>
      <c r="K1741" s="23" t="str">
        <f t="shared" si="2"/>
        <v/>
      </c>
      <c r="L1741" s="17" t="str">
        <f t="shared" si="3"/>
        <v/>
      </c>
      <c r="M1741" s="17" t="str">
        <f t="shared" si="4"/>
        <v/>
      </c>
    </row>
    <row r="1742" ht="15.75" customHeight="1">
      <c r="A1742" s="12"/>
      <c r="B1742" s="11"/>
      <c r="C1742" s="11"/>
      <c r="D1742" s="11"/>
      <c r="E1742" s="11" t="str">
        <f>IF(J1742="","", C1742 * IFERROR(VLOOKUP(J1742, SETUP!$A:$D, 3, FALSE), 0))</f>
        <v/>
      </c>
      <c r="F1742" s="11" t="str">
        <f>IF(J1742="","", C1742 * IFERROR(VLOOKUP(J1742, SETUP!$A:$D, 4, FALSE), 0))</f>
        <v/>
      </c>
      <c r="G1742" s="11" t="str">
        <f t="shared" si="1"/>
        <v/>
      </c>
      <c r="H1742" s="22"/>
      <c r="I1742" s="11"/>
      <c r="J1742" s="17" t="str">
        <f>IF(TRIM(B1742)="","",IF(ISNUMBER(SEARCH(" - ",B1742)),TRIM(RIGHT(B1742,LEN(B1742)-FIND(" - ",B1742)-2)),IFERROR(VLOOKUP(UPPER(TRIM(B1742)), SETUP!$B$4:$C$11, 2, FALSE), UPPER(TRIM(B1742)))))</f>
        <v/>
      </c>
      <c r="K1742" s="23" t="str">
        <f t="shared" si="2"/>
        <v/>
      </c>
      <c r="L1742" s="17" t="str">
        <f t="shared" si="3"/>
        <v/>
      </c>
      <c r="M1742" s="17" t="str">
        <f t="shared" si="4"/>
        <v/>
      </c>
    </row>
    <row r="1743" ht="15.75" customHeight="1">
      <c r="A1743" s="12"/>
      <c r="B1743" s="11"/>
      <c r="C1743" s="11"/>
      <c r="D1743" s="11"/>
      <c r="E1743" s="11" t="str">
        <f>IF(J1743="","", C1743 * IFERROR(VLOOKUP(J1743, SETUP!$A:$D, 3, FALSE), 0))</f>
        <v/>
      </c>
      <c r="F1743" s="11" t="str">
        <f>IF(J1743="","", C1743 * IFERROR(VLOOKUP(J1743, SETUP!$A:$D, 4, FALSE), 0))</f>
        <v/>
      </c>
      <c r="G1743" s="11" t="str">
        <f t="shared" si="1"/>
        <v/>
      </c>
      <c r="H1743" s="22"/>
      <c r="I1743" s="11"/>
      <c r="J1743" s="17" t="str">
        <f>IF(TRIM(B1743)="","",IF(ISNUMBER(SEARCH(" - ",B1743)),TRIM(RIGHT(B1743,LEN(B1743)-FIND(" - ",B1743)-2)),IFERROR(VLOOKUP(UPPER(TRIM(B1743)), SETUP!$B$4:$C$11, 2, FALSE), UPPER(TRIM(B1743)))))</f>
        <v/>
      </c>
      <c r="K1743" s="23" t="str">
        <f t="shared" si="2"/>
        <v/>
      </c>
      <c r="L1743" s="17" t="str">
        <f t="shared" si="3"/>
        <v/>
      </c>
      <c r="M1743" s="17" t="str">
        <f t="shared" si="4"/>
        <v/>
      </c>
    </row>
    <row r="1744" ht="15.75" customHeight="1">
      <c r="A1744" s="12"/>
      <c r="B1744" s="11"/>
      <c r="C1744" s="11"/>
      <c r="D1744" s="11"/>
      <c r="E1744" s="11" t="str">
        <f>IF(J1744="","", C1744 * IFERROR(VLOOKUP(J1744, SETUP!$A:$D, 3, FALSE), 0))</f>
        <v/>
      </c>
      <c r="F1744" s="11" t="str">
        <f>IF(J1744="","", C1744 * IFERROR(VLOOKUP(J1744, SETUP!$A:$D, 4, FALSE), 0))</f>
        <v/>
      </c>
      <c r="G1744" s="11" t="str">
        <f t="shared" si="1"/>
        <v/>
      </c>
      <c r="H1744" s="22"/>
      <c r="I1744" s="11"/>
      <c r="J1744" s="17" t="str">
        <f>IF(TRIM(B1744)="","",IF(ISNUMBER(SEARCH(" - ",B1744)),TRIM(RIGHT(B1744,LEN(B1744)-FIND(" - ",B1744)-2)),IFERROR(VLOOKUP(UPPER(TRIM(B1744)), SETUP!$B$4:$C$11, 2, FALSE), UPPER(TRIM(B1744)))))</f>
        <v/>
      </c>
      <c r="K1744" s="23" t="str">
        <f t="shared" si="2"/>
        <v/>
      </c>
      <c r="L1744" s="17" t="str">
        <f t="shared" si="3"/>
        <v/>
      </c>
      <c r="M1744" s="17" t="str">
        <f t="shared" si="4"/>
        <v/>
      </c>
    </row>
    <row r="1745" ht="15.75" customHeight="1">
      <c r="A1745" s="12"/>
      <c r="B1745" s="11"/>
      <c r="C1745" s="11"/>
      <c r="D1745" s="11"/>
      <c r="E1745" s="11" t="str">
        <f>IF(J1745="","", C1745 * IFERROR(VLOOKUP(J1745, SETUP!$A:$D, 3, FALSE), 0))</f>
        <v/>
      </c>
      <c r="F1745" s="11" t="str">
        <f>IF(J1745="","", C1745 * IFERROR(VLOOKUP(J1745, SETUP!$A:$D, 4, FALSE), 0))</f>
        <v/>
      </c>
      <c r="G1745" s="11" t="str">
        <f t="shared" si="1"/>
        <v/>
      </c>
      <c r="H1745" s="22"/>
      <c r="I1745" s="11"/>
      <c r="J1745" s="17" t="str">
        <f>IF(TRIM(B1745)="","",IF(ISNUMBER(SEARCH(" - ",B1745)),TRIM(RIGHT(B1745,LEN(B1745)-FIND(" - ",B1745)-2)),IFERROR(VLOOKUP(UPPER(TRIM(B1745)), SETUP!$B$4:$C$11, 2, FALSE), UPPER(TRIM(B1745)))))</f>
        <v/>
      </c>
      <c r="K1745" s="23" t="str">
        <f t="shared" si="2"/>
        <v/>
      </c>
      <c r="L1745" s="17" t="str">
        <f t="shared" si="3"/>
        <v/>
      </c>
      <c r="M1745" s="17" t="str">
        <f t="shared" si="4"/>
        <v/>
      </c>
    </row>
    <row r="1746" ht="15.75" customHeight="1">
      <c r="A1746" s="12"/>
      <c r="B1746" s="11"/>
      <c r="C1746" s="11"/>
      <c r="D1746" s="11"/>
      <c r="E1746" s="11" t="str">
        <f>IF(J1746="","", C1746 * IFERROR(VLOOKUP(J1746, SETUP!$A:$D, 3, FALSE), 0))</f>
        <v/>
      </c>
      <c r="F1746" s="11" t="str">
        <f>IF(J1746="","", C1746 * IFERROR(VLOOKUP(J1746, SETUP!$A:$D, 4, FALSE), 0))</f>
        <v/>
      </c>
      <c r="G1746" s="11" t="str">
        <f t="shared" si="1"/>
        <v/>
      </c>
      <c r="H1746" s="22"/>
      <c r="I1746" s="11"/>
      <c r="J1746" s="17" t="str">
        <f>IF(TRIM(B1746)="","",IF(ISNUMBER(SEARCH(" - ",B1746)),TRIM(RIGHT(B1746,LEN(B1746)-FIND(" - ",B1746)-2)),IFERROR(VLOOKUP(UPPER(TRIM(B1746)), SETUP!$B$4:$C$11, 2, FALSE), UPPER(TRIM(B1746)))))</f>
        <v/>
      </c>
      <c r="K1746" s="23" t="str">
        <f t="shared" si="2"/>
        <v/>
      </c>
      <c r="L1746" s="17" t="str">
        <f t="shared" si="3"/>
        <v/>
      </c>
      <c r="M1746" s="17" t="str">
        <f t="shared" si="4"/>
        <v/>
      </c>
    </row>
    <row r="1747" ht="15.75" customHeight="1">
      <c r="A1747" s="12"/>
      <c r="B1747" s="11"/>
      <c r="C1747" s="11"/>
      <c r="D1747" s="11"/>
      <c r="E1747" s="11" t="str">
        <f>IF(J1747="","", C1747 * IFERROR(VLOOKUP(J1747, SETUP!$A:$D, 3, FALSE), 0))</f>
        <v/>
      </c>
      <c r="F1747" s="11" t="str">
        <f>IF(J1747="","", C1747 * IFERROR(VLOOKUP(J1747, SETUP!$A:$D, 4, FALSE), 0))</f>
        <v/>
      </c>
      <c r="G1747" s="11" t="str">
        <f t="shared" si="1"/>
        <v/>
      </c>
      <c r="H1747" s="22"/>
      <c r="I1747" s="11"/>
      <c r="J1747" s="17" t="str">
        <f>IF(TRIM(B1747)="","",IF(ISNUMBER(SEARCH(" - ",B1747)),TRIM(RIGHT(B1747,LEN(B1747)-FIND(" - ",B1747)-2)),IFERROR(VLOOKUP(UPPER(TRIM(B1747)), SETUP!$B$4:$C$11, 2, FALSE), UPPER(TRIM(B1747)))))</f>
        <v/>
      </c>
      <c r="K1747" s="23" t="str">
        <f t="shared" si="2"/>
        <v/>
      </c>
      <c r="L1747" s="17" t="str">
        <f t="shared" si="3"/>
        <v/>
      </c>
      <c r="M1747" s="17" t="str">
        <f t="shared" si="4"/>
        <v/>
      </c>
    </row>
    <row r="1748" ht="15.75" customHeight="1">
      <c r="A1748" s="12"/>
      <c r="B1748" s="11"/>
      <c r="C1748" s="11"/>
      <c r="D1748" s="11"/>
      <c r="E1748" s="11" t="str">
        <f>IF(J1748="","", C1748 * IFERROR(VLOOKUP(J1748, SETUP!$A:$D, 3, FALSE), 0))</f>
        <v/>
      </c>
      <c r="F1748" s="11" t="str">
        <f>IF(J1748="","", C1748 * IFERROR(VLOOKUP(J1748, SETUP!$A:$D, 4, FALSE), 0))</f>
        <v/>
      </c>
      <c r="G1748" s="11" t="str">
        <f t="shared" si="1"/>
        <v/>
      </c>
      <c r="H1748" s="22"/>
      <c r="I1748" s="11"/>
      <c r="J1748" s="17" t="str">
        <f>IF(TRIM(B1748)="","",IF(ISNUMBER(SEARCH(" - ",B1748)),TRIM(RIGHT(B1748,LEN(B1748)-FIND(" - ",B1748)-2)),IFERROR(VLOOKUP(UPPER(TRIM(B1748)), SETUP!$B$4:$C$11, 2, FALSE), UPPER(TRIM(B1748)))))</f>
        <v/>
      </c>
      <c r="K1748" s="23" t="str">
        <f t="shared" si="2"/>
        <v/>
      </c>
      <c r="L1748" s="17" t="str">
        <f t="shared" si="3"/>
        <v/>
      </c>
      <c r="M1748" s="17" t="str">
        <f t="shared" si="4"/>
        <v/>
      </c>
    </row>
    <row r="1749" ht="15.75" customHeight="1">
      <c r="A1749" s="12"/>
      <c r="B1749" s="11"/>
      <c r="C1749" s="11"/>
      <c r="D1749" s="11"/>
      <c r="E1749" s="11" t="str">
        <f>IF(J1749="","", C1749 * IFERROR(VLOOKUP(J1749, SETUP!$A:$D, 3, FALSE), 0))</f>
        <v/>
      </c>
      <c r="F1749" s="11" t="str">
        <f>IF(J1749="","", C1749 * IFERROR(VLOOKUP(J1749, SETUP!$A:$D, 4, FALSE), 0))</f>
        <v/>
      </c>
      <c r="G1749" s="11" t="str">
        <f t="shared" si="1"/>
        <v/>
      </c>
      <c r="H1749" s="22"/>
      <c r="I1749" s="11"/>
      <c r="J1749" s="17" t="str">
        <f>IF(TRIM(B1749)="","",IF(ISNUMBER(SEARCH(" - ",B1749)),TRIM(RIGHT(B1749,LEN(B1749)-FIND(" - ",B1749)-2)),IFERROR(VLOOKUP(UPPER(TRIM(B1749)), SETUP!$B$4:$C$11, 2, FALSE), UPPER(TRIM(B1749)))))</f>
        <v/>
      </c>
      <c r="K1749" s="23" t="str">
        <f t="shared" si="2"/>
        <v/>
      </c>
      <c r="L1749" s="17" t="str">
        <f t="shared" si="3"/>
        <v/>
      </c>
      <c r="M1749" s="17" t="str">
        <f t="shared" si="4"/>
        <v/>
      </c>
    </row>
    <row r="1750" ht="15.75" customHeight="1">
      <c r="A1750" s="12"/>
      <c r="B1750" s="11"/>
      <c r="C1750" s="11"/>
      <c r="D1750" s="11"/>
      <c r="E1750" s="11" t="str">
        <f>IF(J1750="","", C1750 * IFERROR(VLOOKUP(J1750, SETUP!$A:$D, 3, FALSE), 0))</f>
        <v/>
      </c>
      <c r="F1750" s="11" t="str">
        <f>IF(J1750="","", C1750 * IFERROR(VLOOKUP(J1750, SETUP!$A:$D, 4, FALSE), 0))</f>
        <v/>
      </c>
      <c r="G1750" s="11" t="str">
        <f t="shared" si="1"/>
        <v/>
      </c>
      <c r="H1750" s="22"/>
      <c r="I1750" s="11"/>
      <c r="J1750" s="17" t="str">
        <f>IF(TRIM(B1750)="","",IF(ISNUMBER(SEARCH(" - ",B1750)),TRIM(RIGHT(B1750,LEN(B1750)-FIND(" - ",B1750)-2)),IFERROR(VLOOKUP(UPPER(TRIM(B1750)), SETUP!$B$4:$C$11, 2, FALSE), UPPER(TRIM(B1750)))))</f>
        <v/>
      </c>
      <c r="K1750" s="23" t="str">
        <f t="shared" si="2"/>
        <v/>
      </c>
      <c r="L1750" s="17" t="str">
        <f t="shared" si="3"/>
        <v/>
      </c>
      <c r="M1750" s="17" t="str">
        <f t="shared" si="4"/>
        <v/>
      </c>
    </row>
    <row r="1751" ht="15.75" customHeight="1">
      <c r="A1751" s="12"/>
      <c r="B1751" s="11"/>
      <c r="C1751" s="11"/>
      <c r="D1751" s="11"/>
      <c r="E1751" s="11" t="str">
        <f>IF(J1751="","", C1751 * IFERROR(VLOOKUP(J1751, SETUP!$A:$D, 3, FALSE), 0))</f>
        <v/>
      </c>
      <c r="F1751" s="11" t="str">
        <f>IF(J1751="","", C1751 * IFERROR(VLOOKUP(J1751, SETUP!$A:$D, 4, FALSE), 0))</f>
        <v/>
      </c>
      <c r="G1751" s="11" t="str">
        <f t="shared" si="1"/>
        <v/>
      </c>
      <c r="H1751" s="22"/>
      <c r="I1751" s="11"/>
      <c r="J1751" s="17" t="str">
        <f>IF(TRIM(B1751)="","",IF(ISNUMBER(SEARCH(" - ",B1751)),TRIM(RIGHT(B1751,LEN(B1751)-FIND(" - ",B1751)-2)),IFERROR(VLOOKUP(UPPER(TRIM(B1751)), SETUP!$B$4:$C$11, 2, FALSE), UPPER(TRIM(B1751)))))</f>
        <v/>
      </c>
      <c r="K1751" s="23" t="str">
        <f t="shared" si="2"/>
        <v/>
      </c>
      <c r="L1751" s="17" t="str">
        <f t="shared" si="3"/>
        <v/>
      </c>
      <c r="M1751" s="17" t="str">
        <f t="shared" si="4"/>
        <v/>
      </c>
    </row>
    <row r="1752" ht="15.75" customHeight="1">
      <c r="A1752" s="12"/>
      <c r="B1752" s="11"/>
      <c r="C1752" s="11"/>
      <c r="D1752" s="11"/>
      <c r="E1752" s="11" t="str">
        <f>IF(J1752="","", C1752 * IFERROR(VLOOKUP(J1752, SETUP!$A:$D, 3, FALSE), 0))</f>
        <v/>
      </c>
      <c r="F1752" s="11" t="str">
        <f>IF(J1752="","", C1752 * IFERROR(VLOOKUP(J1752, SETUP!$A:$D, 4, FALSE), 0))</f>
        <v/>
      </c>
      <c r="G1752" s="11" t="str">
        <f t="shared" si="1"/>
        <v/>
      </c>
      <c r="H1752" s="22"/>
      <c r="I1752" s="11"/>
      <c r="J1752" s="17" t="str">
        <f>IF(TRIM(B1752)="","",IF(ISNUMBER(SEARCH(" - ",B1752)),TRIM(RIGHT(B1752,LEN(B1752)-FIND(" - ",B1752)-2)),IFERROR(VLOOKUP(UPPER(TRIM(B1752)), SETUP!$B$4:$C$11, 2, FALSE), UPPER(TRIM(B1752)))))</f>
        <v/>
      </c>
      <c r="K1752" s="23" t="str">
        <f t="shared" si="2"/>
        <v/>
      </c>
      <c r="L1752" s="17" t="str">
        <f t="shared" si="3"/>
        <v/>
      </c>
      <c r="M1752" s="17" t="str">
        <f t="shared" si="4"/>
        <v/>
      </c>
    </row>
    <row r="1753" ht="15.75" customHeight="1">
      <c r="A1753" s="12"/>
      <c r="B1753" s="11"/>
      <c r="C1753" s="11"/>
      <c r="D1753" s="11"/>
      <c r="E1753" s="11" t="str">
        <f>IF(J1753="","", C1753 * IFERROR(VLOOKUP(J1753, SETUP!$A:$D, 3, FALSE), 0))</f>
        <v/>
      </c>
      <c r="F1753" s="11" t="str">
        <f>IF(J1753="","", C1753 * IFERROR(VLOOKUP(J1753, SETUP!$A:$D, 4, FALSE), 0))</f>
        <v/>
      </c>
      <c r="G1753" s="11" t="str">
        <f t="shared" si="1"/>
        <v/>
      </c>
      <c r="H1753" s="22"/>
      <c r="I1753" s="11"/>
      <c r="J1753" s="17" t="str">
        <f>IF(TRIM(B1753)="","",IF(ISNUMBER(SEARCH(" - ",B1753)),TRIM(RIGHT(B1753,LEN(B1753)-FIND(" - ",B1753)-2)),IFERROR(VLOOKUP(UPPER(TRIM(B1753)), SETUP!$B$4:$C$11, 2, FALSE), UPPER(TRIM(B1753)))))</f>
        <v/>
      </c>
      <c r="K1753" s="23" t="str">
        <f t="shared" si="2"/>
        <v/>
      </c>
      <c r="L1753" s="17" t="str">
        <f t="shared" si="3"/>
        <v/>
      </c>
      <c r="M1753" s="17" t="str">
        <f t="shared" si="4"/>
        <v/>
      </c>
    </row>
    <row r="1754" ht="15.75" customHeight="1">
      <c r="A1754" s="12"/>
      <c r="B1754" s="11"/>
      <c r="C1754" s="11"/>
      <c r="D1754" s="11"/>
      <c r="E1754" s="11" t="str">
        <f>IF(J1754="","", C1754 * IFERROR(VLOOKUP(J1754, SETUP!$A:$D, 3, FALSE), 0))</f>
        <v/>
      </c>
      <c r="F1754" s="11" t="str">
        <f>IF(J1754="","", C1754 * IFERROR(VLOOKUP(J1754, SETUP!$A:$D, 4, FALSE), 0))</f>
        <v/>
      </c>
      <c r="G1754" s="11" t="str">
        <f t="shared" si="1"/>
        <v/>
      </c>
      <c r="H1754" s="22"/>
      <c r="I1754" s="11"/>
      <c r="J1754" s="17" t="str">
        <f>IF(TRIM(B1754)="","",IF(ISNUMBER(SEARCH(" - ",B1754)),TRIM(RIGHT(B1754,LEN(B1754)-FIND(" - ",B1754)-2)),IFERROR(VLOOKUP(UPPER(TRIM(B1754)), SETUP!$B$4:$C$11, 2, FALSE), UPPER(TRIM(B1754)))))</f>
        <v/>
      </c>
      <c r="K1754" s="23" t="str">
        <f t="shared" si="2"/>
        <v/>
      </c>
      <c r="L1754" s="17" t="str">
        <f t="shared" si="3"/>
        <v/>
      </c>
      <c r="M1754" s="17" t="str">
        <f t="shared" si="4"/>
        <v/>
      </c>
    </row>
    <row r="1755" ht="15.75" customHeight="1">
      <c r="A1755" s="12"/>
      <c r="B1755" s="11"/>
      <c r="C1755" s="11"/>
      <c r="D1755" s="11"/>
      <c r="E1755" s="11" t="str">
        <f>IF(J1755="","", C1755 * IFERROR(VLOOKUP(J1755, SETUP!$A:$D, 3, FALSE), 0))</f>
        <v/>
      </c>
      <c r="F1755" s="11" t="str">
        <f>IF(J1755="","", C1755 * IFERROR(VLOOKUP(J1755, SETUP!$A:$D, 4, FALSE), 0))</f>
        <v/>
      </c>
      <c r="G1755" s="11" t="str">
        <f t="shared" si="1"/>
        <v/>
      </c>
      <c r="H1755" s="22"/>
      <c r="I1755" s="11"/>
      <c r="J1755" s="17" t="str">
        <f>IF(TRIM(B1755)="","",IF(ISNUMBER(SEARCH(" - ",B1755)),TRIM(RIGHT(B1755,LEN(B1755)-FIND(" - ",B1755)-2)),IFERROR(VLOOKUP(UPPER(TRIM(B1755)), SETUP!$B$4:$C$11, 2, FALSE), UPPER(TRIM(B1755)))))</f>
        <v/>
      </c>
      <c r="K1755" s="23" t="str">
        <f t="shared" si="2"/>
        <v/>
      </c>
      <c r="L1755" s="17" t="str">
        <f t="shared" si="3"/>
        <v/>
      </c>
      <c r="M1755" s="17" t="str">
        <f t="shared" si="4"/>
        <v/>
      </c>
    </row>
    <row r="1756" ht="15.75" customHeight="1">
      <c r="A1756" s="12"/>
      <c r="B1756" s="11"/>
      <c r="C1756" s="11"/>
      <c r="D1756" s="11"/>
      <c r="E1756" s="11" t="str">
        <f>IF(J1756="","", C1756 * IFERROR(VLOOKUP(J1756, SETUP!$A:$D, 3, FALSE), 0))</f>
        <v/>
      </c>
      <c r="F1756" s="11" t="str">
        <f>IF(J1756="","", C1756 * IFERROR(VLOOKUP(J1756, SETUP!$A:$D, 4, FALSE), 0))</f>
        <v/>
      </c>
      <c r="G1756" s="11" t="str">
        <f t="shared" si="1"/>
        <v/>
      </c>
      <c r="H1756" s="22"/>
      <c r="I1756" s="11"/>
      <c r="J1756" s="17" t="str">
        <f>IF(TRIM(B1756)="","",IF(ISNUMBER(SEARCH(" - ",B1756)),TRIM(RIGHT(B1756,LEN(B1756)-FIND(" - ",B1756)-2)),IFERROR(VLOOKUP(UPPER(TRIM(B1756)), SETUP!$B$4:$C$11, 2, FALSE), UPPER(TRIM(B1756)))))</f>
        <v/>
      </c>
      <c r="K1756" s="23" t="str">
        <f t="shared" si="2"/>
        <v/>
      </c>
      <c r="L1756" s="17" t="str">
        <f t="shared" si="3"/>
        <v/>
      </c>
      <c r="M1756" s="17" t="str">
        <f t="shared" si="4"/>
        <v/>
      </c>
    </row>
    <row r="1757" ht="15.75" customHeight="1">
      <c r="A1757" s="12"/>
      <c r="B1757" s="11"/>
      <c r="C1757" s="11"/>
      <c r="D1757" s="11"/>
      <c r="E1757" s="11" t="str">
        <f>IF(J1757="","", C1757 * IFERROR(VLOOKUP(J1757, SETUP!$A:$D, 3, FALSE), 0))</f>
        <v/>
      </c>
      <c r="F1757" s="11" t="str">
        <f>IF(J1757="","", C1757 * IFERROR(VLOOKUP(J1757, SETUP!$A:$D, 4, FALSE), 0))</f>
        <v/>
      </c>
      <c r="G1757" s="11" t="str">
        <f t="shared" si="1"/>
        <v/>
      </c>
      <c r="H1757" s="22"/>
      <c r="I1757" s="11"/>
      <c r="J1757" s="17" t="str">
        <f>IF(TRIM(B1757)="","",IF(ISNUMBER(SEARCH(" - ",B1757)),TRIM(RIGHT(B1757,LEN(B1757)-FIND(" - ",B1757)-2)),IFERROR(VLOOKUP(UPPER(TRIM(B1757)), SETUP!$B$4:$C$11, 2, FALSE), UPPER(TRIM(B1757)))))</f>
        <v/>
      </c>
      <c r="K1757" s="23" t="str">
        <f t="shared" si="2"/>
        <v/>
      </c>
      <c r="L1757" s="17" t="str">
        <f t="shared" si="3"/>
        <v/>
      </c>
      <c r="M1757" s="17" t="str">
        <f t="shared" si="4"/>
        <v/>
      </c>
    </row>
    <row r="1758" ht="15.75" customHeight="1">
      <c r="A1758" s="12"/>
      <c r="B1758" s="11"/>
      <c r="C1758" s="11"/>
      <c r="D1758" s="11"/>
      <c r="E1758" s="11" t="str">
        <f>IF(J1758="","", C1758 * IFERROR(VLOOKUP(J1758, SETUP!$A:$D, 3, FALSE), 0))</f>
        <v/>
      </c>
      <c r="F1758" s="11" t="str">
        <f>IF(J1758="","", C1758 * IFERROR(VLOOKUP(J1758, SETUP!$A:$D, 4, FALSE), 0))</f>
        <v/>
      </c>
      <c r="G1758" s="11" t="str">
        <f t="shared" si="1"/>
        <v/>
      </c>
      <c r="H1758" s="22"/>
      <c r="I1758" s="11"/>
      <c r="J1758" s="17" t="str">
        <f>IF(TRIM(B1758)="","",IF(ISNUMBER(SEARCH(" - ",B1758)),TRIM(RIGHT(B1758,LEN(B1758)-FIND(" - ",B1758)-2)),IFERROR(VLOOKUP(UPPER(TRIM(B1758)), SETUP!$B$4:$C$11, 2, FALSE), UPPER(TRIM(B1758)))))</f>
        <v/>
      </c>
      <c r="K1758" s="23" t="str">
        <f t="shared" si="2"/>
        <v/>
      </c>
      <c r="L1758" s="17" t="str">
        <f t="shared" si="3"/>
        <v/>
      </c>
      <c r="M1758" s="17" t="str">
        <f t="shared" si="4"/>
        <v/>
      </c>
    </row>
    <row r="1759" ht="15.75" customHeight="1">
      <c r="A1759" s="12"/>
      <c r="B1759" s="11"/>
      <c r="C1759" s="11"/>
      <c r="D1759" s="11"/>
      <c r="E1759" s="11" t="str">
        <f>IF(J1759="","", C1759 * IFERROR(VLOOKUP(J1759, SETUP!$A:$D, 3, FALSE), 0))</f>
        <v/>
      </c>
      <c r="F1759" s="11" t="str">
        <f>IF(J1759="","", C1759 * IFERROR(VLOOKUP(J1759, SETUP!$A:$D, 4, FALSE), 0))</f>
        <v/>
      </c>
      <c r="G1759" s="11" t="str">
        <f t="shared" si="1"/>
        <v/>
      </c>
      <c r="H1759" s="22"/>
      <c r="I1759" s="11"/>
      <c r="J1759" s="17" t="str">
        <f>IF(TRIM(B1759)="","",IF(ISNUMBER(SEARCH(" - ",B1759)),TRIM(RIGHT(B1759,LEN(B1759)-FIND(" - ",B1759)-2)),IFERROR(VLOOKUP(UPPER(TRIM(B1759)), SETUP!$B$4:$C$11, 2, FALSE), UPPER(TRIM(B1759)))))</f>
        <v/>
      </c>
      <c r="K1759" s="23" t="str">
        <f t="shared" si="2"/>
        <v/>
      </c>
      <c r="L1759" s="17" t="str">
        <f t="shared" si="3"/>
        <v/>
      </c>
      <c r="M1759" s="17" t="str">
        <f t="shared" si="4"/>
        <v/>
      </c>
    </row>
    <row r="1760" ht="15.75" customHeight="1">
      <c r="A1760" s="12"/>
      <c r="B1760" s="11"/>
      <c r="C1760" s="11"/>
      <c r="D1760" s="11"/>
      <c r="E1760" s="11" t="str">
        <f>IF(J1760="","", C1760 * IFERROR(VLOOKUP(J1760, SETUP!$A:$D, 3, FALSE), 0))</f>
        <v/>
      </c>
      <c r="F1760" s="11" t="str">
        <f>IF(J1760="","", C1760 * IFERROR(VLOOKUP(J1760, SETUP!$A:$D, 4, FALSE), 0))</f>
        <v/>
      </c>
      <c r="G1760" s="11" t="str">
        <f t="shared" si="1"/>
        <v/>
      </c>
      <c r="H1760" s="22"/>
      <c r="I1760" s="11"/>
      <c r="J1760" s="17" t="str">
        <f>IF(TRIM(B1760)="","",IF(ISNUMBER(SEARCH(" - ",B1760)),TRIM(RIGHT(B1760,LEN(B1760)-FIND(" - ",B1760)-2)),IFERROR(VLOOKUP(UPPER(TRIM(B1760)), SETUP!$B$4:$C$11, 2, FALSE), UPPER(TRIM(B1760)))))</f>
        <v/>
      </c>
      <c r="K1760" s="23" t="str">
        <f t="shared" si="2"/>
        <v/>
      </c>
      <c r="L1760" s="17" t="str">
        <f t="shared" si="3"/>
        <v/>
      </c>
      <c r="M1760" s="17" t="str">
        <f t="shared" si="4"/>
        <v/>
      </c>
    </row>
    <row r="1761" ht="15.75" customHeight="1">
      <c r="A1761" s="12"/>
      <c r="B1761" s="11"/>
      <c r="C1761" s="11"/>
      <c r="D1761" s="11"/>
      <c r="E1761" s="11" t="str">
        <f>IF(J1761="","", C1761 * IFERROR(VLOOKUP(J1761, SETUP!$A:$D, 3, FALSE), 0))</f>
        <v/>
      </c>
      <c r="F1761" s="11" t="str">
        <f>IF(J1761="","", C1761 * IFERROR(VLOOKUP(J1761, SETUP!$A:$D, 4, FALSE), 0))</f>
        <v/>
      </c>
      <c r="G1761" s="11" t="str">
        <f t="shared" si="1"/>
        <v/>
      </c>
      <c r="H1761" s="22"/>
      <c r="I1761" s="11"/>
      <c r="J1761" s="17" t="str">
        <f>IF(TRIM(B1761)="","",IF(ISNUMBER(SEARCH(" - ",B1761)),TRIM(RIGHT(B1761,LEN(B1761)-FIND(" - ",B1761)-2)),IFERROR(VLOOKUP(UPPER(TRIM(B1761)), SETUP!$B$4:$C$11, 2, FALSE), UPPER(TRIM(B1761)))))</f>
        <v/>
      </c>
      <c r="K1761" s="23" t="str">
        <f t="shared" si="2"/>
        <v/>
      </c>
      <c r="L1761" s="17" t="str">
        <f t="shared" si="3"/>
        <v/>
      </c>
      <c r="M1761" s="17" t="str">
        <f t="shared" si="4"/>
        <v/>
      </c>
    </row>
    <row r="1762" ht="15.75" customHeight="1">
      <c r="A1762" s="12"/>
      <c r="B1762" s="11"/>
      <c r="C1762" s="11"/>
      <c r="D1762" s="11"/>
      <c r="E1762" s="11" t="str">
        <f>IF(J1762="","", C1762 * IFERROR(VLOOKUP(J1762, SETUP!$A:$D, 3, FALSE), 0))</f>
        <v/>
      </c>
      <c r="F1762" s="11" t="str">
        <f>IF(J1762="","", C1762 * IFERROR(VLOOKUP(J1762, SETUP!$A:$D, 4, FALSE), 0))</f>
        <v/>
      </c>
      <c r="G1762" s="11" t="str">
        <f t="shared" si="1"/>
        <v/>
      </c>
      <c r="H1762" s="22"/>
      <c r="I1762" s="11"/>
      <c r="J1762" s="17" t="str">
        <f>IF(TRIM(B1762)="","",IF(ISNUMBER(SEARCH(" - ",B1762)),TRIM(RIGHT(B1762,LEN(B1762)-FIND(" - ",B1762)-2)),IFERROR(VLOOKUP(UPPER(TRIM(B1762)), SETUP!$B$4:$C$11, 2, FALSE), UPPER(TRIM(B1762)))))</f>
        <v/>
      </c>
      <c r="K1762" s="23" t="str">
        <f t="shared" si="2"/>
        <v/>
      </c>
      <c r="L1762" s="17" t="str">
        <f t="shared" si="3"/>
        <v/>
      </c>
      <c r="M1762" s="17" t="str">
        <f t="shared" si="4"/>
        <v/>
      </c>
    </row>
    <row r="1763" ht="15.75" customHeight="1">
      <c r="A1763" s="12"/>
      <c r="B1763" s="11"/>
      <c r="C1763" s="11"/>
      <c r="D1763" s="11"/>
      <c r="E1763" s="11" t="str">
        <f>IF(J1763="","", C1763 * IFERROR(VLOOKUP(J1763, SETUP!$A:$D, 3, FALSE), 0))</f>
        <v/>
      </c>
      <c r="F1763" s="11" t="str">
        <f>IF(J1763="","", C1763 * IFERROR(VLOOKUP(J1763, SETUP!$A:$D, 4, FALSE), 0))</f>
        <v/>
      </c>
      <c r="G1763" s="11" t="str">
        <f t="shared" si="1"/>
        <v/>
      </c>
      <c r="H1763" s="22"/>
      <c r="I1763" s="11"/>
      <c r="J1763" s="17" t="str">
        <f>IF(TRIM(B1763)="","",IF(ISNUMBER(SEARCH(" - ",B1763)),TRIM(RIGHT(B1763,LEN(B1763)-FIND(" - ",B1763)-2)),IFERROR(VLOOKUP(UPPER(TRIM(B1763)), SETUP!$B$4:$C$11, 2, FALSE), UPPER(TRIM(B1763)))))</f>
        <v/>
      </c>
      <c r="K1763" s="23" t="str">
        <f t="shared" si="2"/>
        <v/>
      </c>
      <c r="L1763" s="17" t="str">
        <f t="shared" si="3"/>
        <v/>
      </c>
      <c r="M1763" s="17" t="str">
        <f t="shared" si="4"/>
        <v/>
      </c>
    </row>
    <row r="1764" ht="15.75" customHeight="1">
      <c r="A1764" s="12"/>
      <c r="B1764" s="11"/>
      <c r="C1764" s="11"/>
      <c r="D1764" s="11"/>
      <c r="E1764" s="11" t="str">
        <f>IF(J1764="","", C1764 * IFERROR(VLOOKUP(J1764, SETUP!$A:$D, 3, FALSE), 0))</f>
        <v/>
      </c>
      <c r="F1764" s="11" t="str">
        <f>IF(J1764="","", C1764 * IFERROR(VLOOKUP(J1764, SETUP!$A:$D, 4, FALSE), 0))</f>
        <v/>
      </c>
      <c r="G1764" s="11" t="str">
        <f t="shared" si="1"/>
        <v/>
      </c>
      <c r="H1764" s="22"/>
      <c r="I1764" s="11"/>
      <c r="J1764" s="17" t="str">
        <f>IF(TRIM(B1764)="","",IF(ISNUMBER(SEARCH(" - ",B1764)),TRIM(RIGHT(B1764,LEN(B1764)-FIND(" - ",B1764)-2)),IFERROR(VLOOKUP(UPPER(TRIM(B1764)), SETUP!$B$4:$C$11, 2, FALSE), UPPER(TRIM(B1764)))))</f>
        <v/>
      </c>
      <c r="K1764" s="23" t="str">
        <f t="shared" si="2"/>
        <v/>
      </c>
      <c r="L1764" s="17" t="str">
        <f t="shared" si="3"/>
        <v/>
      </c>
      <c r="M1764" s="17" t="str">
        <f t="shared" si="4"/>
        <v/>
      </c>
    </row>
    <row r="1765" ht="15.75" customHeight="1">
      <c r="A1765" s="12"/>
      <c r="B1765" s="11"/>
      <c r="C1765" s="11"/>
      <c r="D1765" s="11"/>
      <c r="E1765" s="11" t="str">
        <f>IF(J1765="","", C1765 * IFERROR(VLOOKUP(J1765, SETUP!$A:$D, 3, FALSE), 0))</f>
        <v/>
      </c>
      <c r="F1765" s="11" t="str">
        <f>IF(J1765="","", C1765 * IFERROR(VLOOKUP(J1765, SETUP!$A:$D, 4, FALSE), 0))</f>
        <v/>
      </c>
      <c r="G1765" s="11" t="str">
        <f t="shared" si="1"/>
        <v/>
      </c>
      <c r="H1765" s="22"/>
      <c r="I1765" s="11"/>
      <c r="J1765" s="17" t="str">
        <f>IF(TRIM(B1765)="","",IF(ISNUMBER(SEARCH(" - ",B1765)),TRIM(RIGHT(B1765,LEN(B1765)-FIND(" - ",B1765)-2)),IFERROR(VLOOKUP(UPPER(TRIM(B1765)), SETUP!$B$4:$C$11, 2, FALSE), UPPER(TRIM(B1765)))))</f>
        <v/>
      </c>
      <c r="K1765" s="23" t="str">
        <f t="shared" si="2"/>
        <v/>
      </c>
      <c r="L1765" s="17" t="str">
        <f t="shared" si="3"/>
        <v/>
      </c>
      <c r="M1765" s="17" t="str">
        <f t="shared" si="4"/>
        <v/>
      </c>
    </row>
    <row r="1766" ht="15.75" customHeight="1">
      <c r="A1766" s="12"/>
      <c r="B1766" s="11"/>
      <c r="C1766" s="11"/>
      <c r="D1766" s="11"/>
      <c r="E1766" s="11" t="str">
        <f>IF(J1766="","", C1766 * IFERROR(VLOOKUP(J1766, SETUP!$A:$D, 3, FALSE), 0))</f>
        <v/>
      </c>
      <c r="F1766" s="11" t="str">
        <f>IF(J1766="","", C1766 * IFERROR(VLOOKUP(J1766, SETUP!$A:$D, 4, FALSE), 0))</f>
        <v/>
      </c>
      <c r="G1766" s="11" t="str">
        <f t="shared" si="1"/>
        <v/>
      </c>
      <c r="H1766" s="22"/>
      <c r="I1766" s="11"/>
      <c r="J1766" s="17" t="str">
        <f>IF(TRIM(B1766)="","",IF(ISNUMBER(SEARCH(" - ",B1766)),TRIM(RIGHT(B1766,LEN(B1766)-FIND(" - ",B1766)-2)),IFERROR(VLOOKUP(UPPER(TRIM(B1766)), SETUP!$B$4:$C$11, 2, FALSE), UPPER(TRIM(B1766)))))</f>
        <v/>
      </c>
      <c r="K1766" s="23" t="str">
        <f t="shared" si="2"/>
        <v/>
      </c>
      <c r="L1766" s="17" t="str">
        <f t="shared" si="3"/>
        <v/>
      </c>
      <c r="M1766" s="17" t="str">
        <f t="shared" si="4"/>
        <v/>
      </c>
    </row>
    <row r="1767" ht="15.75" customHeight="1">
      <c r="A1767" s="12"/>
      <c r="B1767" s="11"/>
      <c r="C1767" s="11"/>
      <c r="D1767" s="11"/>
      <c r="E1767" s="11" t="str">
        <f>IF(J1767="","", C1767 * IFERROR(VLOOKUP(J1767, SETUP!$A:$D, 3, FALSE), 0))</f>
        <v/>
      </c>
      <c r="F1767" s="11" t="str">
        <f>IF(J1767="","", C1767 * IFERROR(VLOOKUP(J1767, SETUP!$A:$D, 4, FALSE), 0))</f>
        <v/>
      </c>
      <c r="G1767" s="11" t="str">
        <f t="shared" si="1"/>
        <v/>
      </c>
      <c r="H1767" s="22"/>
      <c r="I1767" s="11"/>
      <c r="J1767" s="17" t="str">
        <f>IF(TRIM(B1767)="","",IF(ISNUMBER(SEARCH(" - ",B1767)),TRIM(RIGHT(B1767,LEN(B1767)-FIND(" - ",B1767)-2)),IFERROR(VLOOKUP(UPPER(TRIM(B1767)), SETUP!$B$4:$C$11, 2, FALSE), UPPER(TRIM(B1767)))))</f>
        <v/>
      </c>
      <c r="K1767" s="23" t="str">
        <f t="shared" si="2"/>
        <v/>
      </c>
      <c r="L1767" s="17" t="str">
        <f t="shared" si="3"/>
        <v/>
      </c>
      <c r="M1767" s="17" t="str">
        <f t="shared" si="4"/>
        <v/>
      </c>
    </row>
    <row r="1768" ht="15.75" customHeight="1">
      <c r="A1768" s="12"/>
      <c r="B1768" s="11"/>
      <c r="C1768" s="11"/>
      <c r="D1768" s="11"/>
      <c r="E1768" s="11" t="str">
        <f>IF(J1768="","", C1768 * IFERROR(VLOOKUP(J1768, SETUP!$A:$D, 3, FALSE), 0))</f>
        <v/>
      </c>
      <c r="F1768" s="11" t="str">
        <f>IF(J1768="","", C1768 * IFERROR(VLOOKUP(J1768, SETUP!$A:$D, 4, FALSE), 0))</f>
        <v/>
      </c>
      <c r="G1768" s="11" t="str">
        <f t="shared" si="1"/>
        <v/>
      </c>
      <c r="H1768" s="22"/>
      <c r="I1768" s="11"/>
      <c r="J1768" s="17" t="str">
        <f>IF(TRIM(B1768)="","",IF(ISNUMBER(SEARCH(" - ",B1768)),TRIM(RIGHT(B1768,LEN(B1768)-FIND(" - ",B1768)-2)),IFERROR(VLOOKUP(UPPER(TRIM(B1768)), SETUP!$B$4:$C$11, 2, FALSE), UPPER(TRIM(B1768)))))</f>
        <v/>
      </c>
      <c r="K1768" s="23" t="str">
        <f t="shared" si="2"/>
        <v/>
      </c>
      <c r="L1768" s="17" t="str">
        <f t="shared" si="3"/>
        <v/>
      </c>
      <c r="M1768" s="17" t="str">
        <f t="shared" si="4"/>
        <v/>
      </c>
    </row>
    <row r="1769" ht="15.75" customHeight="1">
      <c r="A1769" s="12"/>
      <c r="B1769" s="11"/>
      <c r="C1769" s="11"/>
      <c r="D1769" s="11"/>
      <c r="E1769" s="11" t="str">
        <f>IF(J1769="","", C1769 * IFERROR(VLOOKUP(J1769, SETUP!$A:$D, 3, FALSE), 0))</f>
        <v/>
      </c>
      <c r="F1769" s="11" t="str">
        <f>IF(J1769="","", C1769 * IFERROR(VLOOKUP(J1769, SETUP!$A:$D, 4, FALSE), 0))</f>
        <v/>
      </c>
      <c r="G1769" s="11" t="str">
        <f t="shared" si="1"/>
        <v/>
      </c>
      <c r="H1769" s="22"/>
      <c r="I1769" s="11"/>
      <c r="J1769" s="17" t="str">
        <f>IF(TRIM(B1769)="","",IF(ISNUMBER(SEARCH(" - ",B1769)),TRIM(RIGHT(B1769,LEN(B1769)-FIND(" - ",B1769)-2)),IFERROR(VLOOKUP(UPPER(TRIM(B1769)), SETUP!$B$4:$C$11, 2, FALSE), UPPER(TRIM(B1769)))))</f>
        <v/>
      </c>
      <c r="K1769" s="23" t="str">
        <f t="shared" si="2"/>
        <v/>
      </c>
      <c r="L1769" s="17" t="str">
        <f t="shared" si="3"/>
        <v/>
      </c>
      <c r="M1769" s="17" t="str">
        <f t="shared" si="4"/>
        <v/>
      </c>
    </row>
    <row r="1770" ht="15.75" customHeight="1">
      <c r="A1770" s="12"/>
      <c r="B1770" s="11"/>
      <c r="C1770" s="11"/>
      <c r="D1770" s="11"/>
      <c r="E1770" s="11" t="str">
        <f>IF(J1770="","", C1770 * IFERROR(VLOOKUP(J1770, SETUP!$A:$D, 3, FALSE), 0))</f>
        <v/>
      </c>
      <c r="F1770" s="11" t="str">
        <f>IF(J1770="","", C1770 * IFERROR(VLOOKUP(J1770, SETUP!$A:$D, 4, FALSE), 0))</f>
        <v/>
      </c>
      <c r="G1770" s="11" t="str">
        <f t="shared" si="1"/>
        <v/>
      </c>
      <c r="H1770" s="22"/>
      <c r="I1770" s="11"/>
      <c r="J1770" s="17" t="str">
        <f>IF(TRIM(B1770)="","",IF(ISNUMBER(SEARCH(" - ",B1770)),TRIM(RIGHT(B1770,LEN(B1770)-FIND(" - ",B1770)-2)),IFERROR(VLOOKUP(UPPER(TRIM(B1770)), SETUP!$B$4:$C$11, 2, FALSE), UPPER(TRIM(B1770)))))</f>
        <v/>
      </c>
      <c r="K1770" s="23" t="str">
        <f t="shared" si="2"/>
        <v/>
      </c>
      <c r="L1770" s="17" t="str">
        <f t="shared" si="3"/>
        <v/>
      </c>
      <c r="M1770" s="17" t="str">
        <f t="shared" si="4"/>
        <v/>
      </c>
    </row>
    <row r="1771" ht="15.75" customHeight="1">
      <c r="A1771" s="12"/>
      <c r="B1771" s="11"/>
      <c r="C1771" s="11"/>
      <c r="D1771" s="11"/>
      <c r="E1771" s="11" t="str">
        <f>IF(J1771="","", C1771 * IFERROR(VLOOKUP(J1771, SETUP!$A:$D, 3, FALSE), 0))</f>
        <v/>
      </c>
      <c r="F1771" s="11" t="str">
        <f>IF(J1771="","", C1771 * IFERROR(VLOOKUP(J1771, SETUP!$A:$D, 4, FALSE), 0))</f>
        <v/>
      </c>
      <c r="G1771" s="11" t="str">
        <f t="shared" si="1"/>
        <v/>
      </c>
      <c r="H1771" s="22"/>
      <c r="I1771" s="11"/>
      <c r="J1771" s="17" t="str">
        <f>IF(TRIM(B1771)="","",IF(ISNUMBER(SEARCH(" - ",B1771)),TRIM(RIGHT(B1771,LEN(B1771)-FIND(" - ",B1771)-2)),IFERROR(VLOOKUP(UPPER(TRIM(B1771)), SETUP!$B$4:$C$11, 2, FALSE), UPPER(TRIM(B1771)))))</f>
        <v/>
      </c>
      <c r="K1771" s="23" t="str">
        <f t="shared" si="2"/>
        <v/>
      </c>
      <c r="L1771" s="17" t="str">
        <f t="shared" si="3"/>
        <v/>
      </c>
      <c r="M1771" s="17" t="str">
        <f t="shared" si="4"/>
        <v/>
      </c>
    </row>
    <row r="1772" ht="15.75" customHeight="1">
      <c r="A1772" s="12"/>
      <c r="B1772" s="11"/>
      <c r="C1772" s="11"/>
      <c r="D1772" s="11"/>
      <c r="E1772" s="11" t="str">
        <f>IF(J1772="","", C1772 * IFERROR(VLOOKUP(J1772, SETUP!$A:$D, 3, FALSE), 0))</f>
        <v/>
      </c>
      <c r="F1772" s="11" t="str">
        <f>IF(J1772="","", C1772 * IFERROR(VLOOKUP(J1772, SETUP!$A:$D, 4, FALSE), 0))</f>
        <v/>
      </c>
      <c r="G1772" s="11" t="str">
        <f t="shared" si="1"/>
        <v/>
      </c>
      <c r="H1772" s="22"/>
      <c r="I1772" s="11"/>
      <c r="J1772" s="17" t="str">
        <f>IF(TRIM(B1772)="","",IF(ISNUMBER(SEARCH(" - ",B1772)),TRIM(RIGHT(B1772,LEN(B1772)-FIND(" - ",B1772)-2)),IFERROR(VLOOKUP(UPPER(TRIM(B1772)), SETUP!$B$4:$C$11, 2, FALSE), UPPER(TRIM(B1772)))))</f>
        <v/>
      </c>
      <c r="K1772" s="23" t="str">
        <f t="shared" si="2"/>
        <v/>
      </c>
      <c r="L1772" s="17" t="str">
        <f t="shared" si="3"/>
        <v/>
      </c>
      <c r="M1772" s="17" t="str">
        <f t="shared" si="4"/>
        <v/>
      </c>
    </row>
    <row r="1773" ht="15.75" customHeight="1">
      <c r="A1773" s="12"/>
      <c r="B1773" s="11"/>
      <c r="C1773" s="11"/>
      <c r="D1773" s="11"/>
      <c r="E1773" s="11" t="str">
        <f>IF(J1773="","", C1773 * IFERROR(VLOOKUP(J1773, SETUP!$A:$D, 3, FALSE), 0))</f>
        <v/>
      </c>
      <c r="F1773" s="11" t="str">
        <f>IF(J1773="","", C1773 * IFERROR(VLOOKUP(J1773, SETUP!$A:$D, 4, FALSE), 0))</f>
        <v/>
      </c>
      <c r="G1773" s="11" t="str">
        <f t="shared" si="1"/>
        <v/>
      </c>
      <c r="H1773" s="22"/>
      <c r="I1773" s="11"/>
      <c r="J1773" s="17" t="str">
        <f>IF(TRIM(B1773)="","",IF(ISNUMBER(SEARCH(" - ",B1773)),TRIM(RIGHT(B1773,LEN(B1773)-FIND(" - ",B1773)-2)),IFERROR(VLOOKUP(UPPER(TRIM(B1773)), SETUP!$B$4:$C$11, 2, FALSE), UPPER(TRIM(B1773)))))</f>
        <v/>
      </c>
      <c r="K1773" s="23" t="str">
        <f t="shared" si="2"/>
        <v/>
      </c>
      <c r="L1773" s="17" t="str">
        <f t="shared" si="3"/>
        <v/>
      </c>
      <c r="M1773" s="17" t="str">
        <f t="shared" si="4"/>
        <v/>
      </c>
    </row>
    <row r="1774" ht="15.75" customHeight="1">
      <c r="A1774" s="12"/>
      <c r="B1774" s="11"/>
      <c r="C1774" s="11"/>
      <c r="D1774" s="11"/>
      <c r="E1774" s="11" t="str">
        <f>IF(J1774="","", C1774 * IFERROR(VLOOKUP(J1774, SETUP!$A:$D, 3, FALSE), 0))</f>
        <v/>
      </c>
      <c r="F1774" s="11" t="str">
        <f>IF(J1774="","", C1774 * IFERROR(VLOOKUP(J1774, SETUP!$A:$D, 4, FALSE), 0))</f>
        <v/>
      </c>
      <c r="G1774" s="11" t="str">
        <f t="shared" si="1"/>
        <v/>
      </c>
      <c r="H1774" s="22"/>
      <c r="I1774" s="11"/>
      <c r="J1774" s="17" t="str">
        <f>IF(TRIM(B1774)="","",IF(ISNUMBER(SEARCH(" - ",B1774)),TRIM(RIGHT(B1774,LEN(B1774)-FIND(" - ",B1774)-2)),IFERROR(VLOOKUP(UPPER(TRIM(B1774)), SETUP!$B$4:$C$11, 2, FALSE), UPPER(TRIM(B1774)))))</f>
        <v/>
      </c>
      <c r="K1774" s="23" t="str">
        <f t="shared" si="2"/>
        <v/>
      </c>
      <c r="L1774" s="17" t="str">
        <f t="shared" si="3"/>
        <v/>
      </c>
      <c r="M1774" s="17" t="str">
        <f t="shared" si="4"/>
        <v/>
      </c>
    </row>
    <row r="1775" ht="15.75" customHeight="1">
      <c r="A1775" s="12"/>
      <c r="B1775" s="11"/>
      <c r="C1775" s="11"/>
      <c r="D1775" s="11"/>
      <c r="E1775" s="11" t="str">
        <f>IF(J1775="","", C1775 * IFERROR(VLOOKUP(J1775, SETUP!$A:$D, 3, FALSE), 0))</f>
        <v/>
      </c>
      <c r="F1775" s="11" t="str">
        <f>IF(J1775="","", C1775 * IFERROR(VLOOKUP(J1775, SETUP!$A:$D, 4, FALSE), 0))</f>
        <v/>
      </c>
      <c r="G1775" s="11" t="str">
        <f t="shared" si="1"/>
        <v/>
      </c>
      <c r="H1775" s="22"/>
      <c r="I1775" s="11"/>
      <c r="J1775" s="17" t="str">
        <f>IF(TRIM(B1775)="","",IF(ISNUMBER(SEARCH(" - ",B1775)),TRIM(RIGHT(B1775,LEN(B1775)-FIND(" - ",B1775)-2)),IFERROR(VLOOKUP(UPPER(TRIM(B1775)), SETUP!$B$4:$C$11, 2, FALSE), UPPER(TRIM(B1775)))))</f>
        <v/>
      </c>
      <c r="K1775" s="23" t="str">
        <f t="shared" si="2"/>
        <v/>
      </c>
      <c r="L1775" s="17" t="str">
        <f t="shared" si="3"/>
        <v/>
      </c>
      <c r="M1775" s="17" t="str">
        <f t="shared" si="4"/>
        <v/>
      </c>
    </row>
    <row r="1776" ht="15.75" customHeight="1">
      <c r="A1776" s="12"/>
      <c r="B1776" s="11"/>
      <c r="C1776" s="11"/>
      <c r="D1776" s="11"/>
      <c r="E1776" s="11" t="str">
        <f>IF(J1776="","", C1776 * IFERROR(VLOOKUP(J1776, SETUP!$A:$D, 3, FALSE), 0))</f>
        <v/>
      </c>
      <c r="F1776" s="11" t="str">
        <f>IF(J1776="","", C1776 * IFERROR(VLOOKUP(J1776, SETUP!$A:$D, 4, FALSE), 0))</f>
        <v/>
      </c>
      <c r="G1776" s="11" t="str">
        <f t="shared" si="1"/>
        <v/>
      </c>
      <c r="H1776" s="22"/>
      <c r="I1776" s="11"/>
      <c r="J1776" s="17" t="str">
        <f>IF(TRIM(B1776)="","",IF(ISNUMBER(SEARCH(" - ",B1776)),TRIM(RIGHT(B1776,LEN(B1776)-FIND(" - ",B1776)-2)),IFERROR(VLOOKUP(UPPER(TRIM(B1776)), SETUP!$B$4:$C$11, 2, FALSE), UPPER(TRIM(B1776)))))</f>
        <v/>
      </c>
      <c r="K1776" s="23" t="str">
        <f t="shared" si="2"/>
        <v/>
      </c>
      <c r="L1776" s="17" t="str">
        <f t="shared" si="3"/>
        <v/>
      </c>
      <c r="M1776" s="17" t="str">
        <f t="shared" si="4"/>
        <v/>
      </c>
    </row>
    <row r="1777" ht="15.75" customHeight="1">
      <c r="A1777" s="12"/>
      <c r="B1777" s="11"/>
      <c r="C1777" s="11"/>
      <c r="D1777" s="11"/>
      <c r="E1777" s="11" t="str">
        <f>IF(J1777="","", C1777 * IFERROR(VLOOKUP(J1777, SETUP!$A:$D, 3, FALSE), 0))</f>
        <v/>
      </c>
      <c r="F1777" s="11" t="str">
        <f>IF(J1777="","", C1777 * IFERROR(VLOOKUP(J1777, SETUP!$A:$D, 4, FALSE), 0))</f>
        <v/>
      </c>
      <c r="G1777" s="11" t="str">
        <f t="shared" si="1"/>
        <v/>
      </c>
      <c r="H1777" s="22"/>
      <c r="I1777" s="11"/>
      <c r="J1777" s="17" t="str">
        <f>IF(TRIM(B1777)="","",IF(ISNUMBER(SEARCH(" - ",B1777)),TRIM(RIGHT(B1777,LEN(B1777)-FIND(" - ",B1777)-2)),IFERROR(VLOOKUP(UPPER(TRIM(B1777)), SETUP!$B$4:$C$11, 2, FALSE), UPPER(TRIM(B1777)))))</f>
        <v/>
      </c>
      <c r="K1777" s="23" t="str">
        <f t="shared" si="2"/>
        <v/>
      </c>
      <c r="L1777" s="17" t="str">
        <f t="shared" si="3"/>
        <v/>
      </c>
      <c r="M1777" s="17" t="str">
        <f t="shared" si="4"/>
        <v/>
      </c>
    </row>
    <row r="1778" ht="15.75" customHeight="1">
      <c r="A1778" s="12"/>
      <c r="B1778" s="11"/>
      <c r="C1778" s="11"/>
      <c r="D1778" s="11"/>
      <c r="E1778" s="11" t="str">
        <f>IF(J1778="","", C1778 * IFERROR(VLOOKUP(J1778, SETUP!$A:$D, 3, FALSE), 0))</f>
        <v/>
      </c>
      <c r="F1778" s="11" t="str">
        <f>IF(J1778="","", C1778 * IFERROR(VLOOKUP(J1778, SETUP!$A:$D, 4, FALSE), 0))</f>
        <v/>
      </c>
      <c r="G1778" s="11" t="str">
        <f t="shared" si="1"/>
        <v/>
      </c>
      <c r="H1778" s="22"/>
      <c r="I1778" s="11"/>
      <c r="J1778" s="17" t="str">
        <f>IF(TRIM(B1778)="","",IF(ISNUMBER(SEARCH(" - ",B1778)),TRIM(RIGHT(B1778,LEN(B1778)-FIND(" - ",B1778)-2)),IFERROR(VLOOKUP(UPPER(TRIM(B1778)), SETUP!$B$4:$C$11, 2, FALSE), UPPER(TRIM(B1778)))))</f>
        <v/>
      </c>
      <c r="K1778" s="23" t="str">
        <f t="shared" si="2"/>
        <v/>
      </c>
      <c r="L1778" s="17" t="str">
        <f t="shared" si="3"/>
        <v/>
      </c>
      <c r="M1778" s="17" t="str">
        <f t="shared" si="4"/>
        <v/>
      </c>
    </row>
    <row r="1779" ht="15.75" customHeight="1">
      <c r="A1779" s="12"/>
      <c r="B1779" s="11"/>
      <c r="C1779" s="11"/>
      <c r="D1779" s="11"/>
      <c r="E1779" s="11" t="str">
        <f>IF(J1779="","", C1779 * IFERROR(VLOOKUP(J1779, SETUP!$A:$D, 3, FALSE), 0))</f>
        <v/>
      </c>
      <c r="F1779" s="11" t="str">
        <f>IF(J1779="","", C1779 * IFERROR(VLOOKUP(J1779, SETUP!$A:$D, 4, FALSE), 0))</f>
        <v/>
      </c>
      <c r="G1779" s="11" t="str">
        <f t="shared" si="1"/>
        <v/>
      </c>
      <c r="H1779" s="22"/>
      <c r="I1779" s="11"/>
      <c r="J1779" s="17" t="str">
        <f>IF(TRIM(B1779)="","",IF(ISNUMBER(SEARCH(" - ",B1779)),TRIM(RIGHT(B1779,LEN(B1779)-FIND(" - ",B1779)-2)),IFERROR(VLOOKUP(UPPER(TRIM(B1779)), SETUP!$B$4:$C$11, 2, FALSE), UPPER(TRIM(B1779)))))</f>
        <v/>
      </c>
      <c r="K1779" s="23" t="str">
        <f t="shared" si="2"/>
        <v/>
      </c>
      <c r="L1779" s="17" t="str">
        <f t="shared" si="3"/>
        <v/>
      </c>
      <c r="M1779" s="17" t="str">
        <f t="shared" si="4"/>
        <v/>
      </c>
    </row>
    <row r="1780" ht="15.75" customHeight="1">
      <c r="A1780" s="12"/>
      <c r="B1780" s="11"/>
      <c r="C1780" s="11"/>
      <c r="D1780" s="11"/>
      <c r="E1780" s="11" t="str">
        <f>IF(J1780="","", C1780 * IFERROR(VLOOKUP(J1780, SETUP!$A:$D, 3, FALSE), 0))</f>
        <v/>
      </c>
      <c r="F1780" s="11" t="str">
        <f>IF(J1780="","", C1780 * IFERROR(VLOOKUP(J1780, SETUP!$A:$D, 4, FALSE), 0))</f>
        <v/>
      </c>
      <c r="G1780" s="11" t="str">
        <f t="shared" si="1"/>
        <v/>
      </c>
      <c r="H1780" s="22"/>
      <c r="I1780" s="11"/>
      <c r="J1780" s="17" t="str">
        <f>IF(TRIM(B1780)="","",IF(ISNUMBER(SEARCH(" - ",B1780)),TRIM(RIGHT(B1780,LEN(B1780)-FIND(" - ",B1780)-2)),IFERROR(VLOOKUP(UPPER(TRIM(B1780)), SETUP!$B$4:$C$11, 2, FALSE), UPPER(TRIM(B1780)))))</f>
        <v/>
      </c>
      <c r="K1780" s="23" t="str">
        <f t="shared" si="2"/>
        <v/>
      </c>
      <c r="L1780" s="17" t="str">
        <f t="shared" si="3"/>
        <v/>
      </c>
      <c r="M1780" s="17" t="str">
        <f t="shared" si="4"/>
        <v/>
      </c>
    </row>
    <row r="1781" ht="15.75" customHeight="1">
      <c r="A1781" s="12"/>
      <c r="B1781" s="11"/>
      <c r="C1781" s="11"/>
      <c r="D1781" s="11"/>
      <c r="E1781" s="11" t="str">
        <f>IF(J1781="","", C1781 * IFERROR(VLOOKUP(J1781, SETUP!$A:$D, 3, FALSE), 0))</f>
        <v/>
      </c>
      <c r="F1781" s="11" t="str">
        <f>IF(J1781="","", C1781 * IFERROR(VLOOKUP(J1781, SETUP!$A:$D, 4, FALSE), 0))</f>
        <v/>
      </c>
      <c r="G1781" s="11" t="str">
        <f t="shared" si="1"/>
        <v/>
      </c>
      <c r="H1781" s="22"/>
      <c r="I1781" s="11"/>
      <c r="J1781" s="17" t="str">
        <f>IF(TRIM(B1781)="","",IF(ISNUMBER(SEARCH(" - ",B1781)),TRIM(RIGHT(B1781,LEN(B1781)-FIND(" - ",B1781)-2)),IFERROR(VLOOKUP(UPPER(TRIM(B1781)), SETUP!$B$4:$C$11, 2, FALSE), UPPER(TRIM(B1781)))))</f>
        <v/>
      </c>
      <c r="K1781" s="23" t="str">
        <f t="shared" si="2"/>
        <v/>
      </c>
      <c r="L1781" s="17" t="str">
        <f t="shared" si="3"/>
        <v/>
      </c>
      <c r="M1781" s="17" t="str">
        <f t="shared" si="4"/>
        <v/>
      </c>
    </row>
    <row r="1782" ht="15.75" customHeight="1">
      <c r="A1782" s="12"/>
      <c r="B1782" s="11"/>
      <c r="C1782" s="11"/>
      <c r="D1782" s="11"/>
      <c r="E1782" s="11" t="str">
        <f>IF(J1782="","", C1782 * IFERROR(VLOOKUP(J1782, SETUP!$A:$D, 3, FALSE), 0))</f>
        <v/>
      </c>
      <c r="F1782" s="11" t="str">
        <f>IF(J1782="","", C1782 * IFERROR(VLOOKUP(J1782, SETUP!$A:$D, 4, FALSE), 0))</f>
        <v/>
      </c>
      <c r="G1782" s="11" t="str">
        <f t="shared" si="1"/>
        <v/>
      </c>
      <c r="H1782" s="22"/>
      <c r="I1782" s="11"/>
      <c r="J1782" s="17" t="str">
        <f>IF(TRIM(B1782)="","",IF(ISNUMBER(SEARCH(" - ",B1782)),TRIM(RIGHT(B1782,LEN(B1782)-FIND(" - ",B1782)-2)),IFERROR(VLOOKUP(UPPER(TRIM(B1782)), SETUP!$B$4:$C$11, 2, FALSE), UPPER(TRIM(B1782)))))</f>
        <v/>
      </c>
      <c r="K1782" s="23" t="str">
        <f t="shared" si="2"/>
        <v/>
      </c>
      <c r="L1782" s="17" t="str">
        <f t="shared" si="3"/>
        <v/>
      </c>
      <c r="M1782" s="17" t="str">
        <f t="shared" si="4"/>
        <v/>
      </c>
    </row>
    <row r="1783" ht="15.75" customHeight="1">
      <c r="A1783" s="12"/>
      <c r="B1783" s="11"/>
      <c r="C1783" s="11"/>
      <c r="D1783" s="11"/>
      <c r="E1783" s="11" t="str">
        <f>IF(J1783="","", C1783 * IFERROR(VLOOKUP(J1783, SETUP!$A:$D, 3, FALSE), 0))</f>
        <v/>
      </c>
      <c r="F1783" s="11" t="str">
        <f>IF(J1783="","", C1783 * IFERROR(VLOOKUP(J1783, SETUP!$A:$D, 4, FALSE), 0))</f>
        <v/>
      </c>
      <c r="G1783" s="11" t="str">
        <f t="shared" si="1"/>
        <v/>
      </c>
      <c r="H1783" s="22"/>
      <c r="I1783" s="11"/>
      <c r="J1783" s="17" t="str">
        <f>IF(TRIM(B1783)="","",IF(ISNUMBER(SEARCH(" - ",B1783)),TRIM(RIGHT(B1783,LEN(B1783)-FIND(" - ",B1783)-2)),IFERROR(VLOOKUP(UPPER(TRIM(B1783)), SETUP!$B$4:$C$11, 2, FALSE), UPPER(TRIM(B1783)))))</f>
        <v/>
      </c>
      <c r="K1783" s="23" t="str">
        <f t="shared" si="2"/>
        <v/>
      </c>
      <c r="L1783" s="17" t="str">
        <f t="shared" si="3"/>
        <v/>
      </c>
      <c r="M1783" s="17" t="str">
        <f t="shared" si="4"/>
        <v/>
      </c>
    </row>
    <row r="1784" ht="15.75" customHeight="1">
      <c r="A1784" s="12"/>
      <c r="B1784" s="11"/>
      <c r="C1784" s="11"/>
      <c r="D1784" s="11"/>
      <c r="E1784" s="11" t="str">
        <f>IF(J1784="","", C1784 * IFERROR(VLOOKUP(J1784, SETUP!$A:$D, 3, FALSE), 0))</f>
        <v/>
      </c>
      <c r="F1784" s="11" t="str">
        <f>IF(J1784="","", C1784 * IFERROR(VLOOKUP(J1784, SETUP!$A:$D, 4, FALSE), 0))</f>
        <v/>
      </c>
      <c r="G1784" s="11" t="str">
        <f t="shared" si="1"/>
        <v/>
      </c>
      <c r="H1784" s="22"/>
      <c r="I1784" s="11"/>
      <c r="J1784" s="17" t="str">
        <f>IF(TRIM(B1784)="","",IF(ISNUMBER(SEARCH(" - ",B1784)),TRIM(RIGHT(B1784,LEN(B1784)-FIND(" - ",B1784)-2)),IFERROR(VLOOKUP(UPPER(TRIM(B1784)), SETUP!$B$4:$C$11, 2, FALSE), UPPER(TRIM(B1784)))))</f>
        <v/>
      </c>
      <c r="K1784" s="23" t="str">
        <f t="shared" si="2"/>
        <v/>
      </c>
      <c r="L1784" s="17" t="str">
        <f t="shared" si="3"/>
        <v/>
      </c>
      <c r="M1784" s="17" t="str">
        <f t="shared" si="4"/>
        <v/>
      </c>
    </row>
    <row r="1785" ht="15.75" customHeight="1">
      <c r="A1785" s="12"/>
      <c r="B1785" s="11"/>
      <c r="C1785" s="11"/>
      <c r="D1785" s="11"/>
      <c r="E1785" s="11" t="str">
        <f>IF(J1785="","", C1785 * IFERROR(VLOOKUP(J1785, SETUP!$A:$D, 3, FALSE), 0))</f>
        <v/>
      </c>
      <c r="F1785" s="11" t="str">
        <f>IF(J1785="","", C1785 * IFERROR(VLOOKUP(J1785, SETUP!$A:$D, 4, FALSE), 0))</f>
        <v/>
      </c>
      <c r="G1785" s="11" t="str">
        <f t="shared" si="1"/>
        <v/>
      </c>
      <c r="H1785" s="22"/>
      <c r="I1785" s="11"/>
      <c r="J1785" s="17" t="str">
        <f>IF(TRIM(B1785)="","",IF(ISNUMBER(SEARCH(" - ",B1785)),TRIM(RIGHT(B1785,LEN(B1785)-FIND(" - ",B1785)-2)),IFERROR(VLOOKUP(UPPER(TRIM(B1785)), SETUP!$B$4:$C$11, 2, FALSE), UPPER(TRIM(B1785)))))</f>
        <v/>
      </c>
      <c r="K1785" s="23" t="str">
        <f t="shared" si="2"/>
        <v/>
      </c>
      <c r="L1785" s="17" t="str">
        <f t="shared" si="3"/>
        <v/>
      </c>
      <c r="M1785" s="17" t="str">
        <f t="shared" si="4"/>
        <v/>
      </c>
    </row>
    <row r="1786" ht="15.75" customHeight="1">
      <c r="A1786" s="12"/>
      <c r="B1786" s="11"/>
      <c r="C1786" s="11"/>
      <c r="D1786" s="11"/>
      <c r="E1786" s="11" t="str">
        <f>IF(J1786="","", C1786 * IFERROR(VLOOKUP(J1786, SETUP!$A:$D, 3, FALSE), 0))</f>
        <v/>
      </c>
      <c r="F1786" s="11" t="str">
        <f>IF(J1786="","", C1786 * IFERROR(VLOOKUP(J1786, SETUP!$A:$D, 4, FALSE), 0))</f>
        <v/>
      </c>
      <c r="G1786" s="11" t="str">
        <f t="shared" si="1"/>
        <v/>
      </c>
      <c r="H1786" s="22"/>
      <c r="I1786" s="11"/>
      <c r="J1786" s="17" t="str">
        <f>IF(TRIM(B1786)="","",IF(ISNUMBER(SEARCH(" - ",B1786)),TRIM(RIGHT(B1786,LEN(B1786)-FIND(" - ",B1786)-2)),IFERROR(VLOOKUP(UPPER(TRIM(B1786)), SETUP!$B$4:$C$11, 2, FALSE), UPPER(TRIM(B1786)))))</f>
        <v/>
      </c>
      <c r="K1786" s="23" t="str">
        <f t="shared" si="2"/>
        <v/>
      </c>
      <c r="L1786" s="17" t="str">
        <f t="shared" si="3"/>
        <v/>
      </c>
      <c r="M1786" s="17" t="str">
        <f t="shared" si="4"/>
        <v/>
      </c>
    </row>
    <row r="1787" ht="15.75" customHeight="1">
      <c r="A1787" s="12"/>
      <c r="B1787" s="11"/>
      <c r="C1787" s="11"/>
      <c r="D1787" s="11"/>
      <c r="E1787" s="11" t="str">
        <f>IF(J1787="","", C1787 * IFERROR(VLOOKUP(J1787, SETUP!$A:$D, 3, FALSE), 0))</f>
        <v/>
      </c>
      <c r="F1787" s="11" t="str">
        <f>IF(J1787="","", C1787 * IFERROR(VLOOKUP(J1787, SETUP!$A:$D, 4, FALSE), 0))</f>
        <v/>
      </c>
      <c r="G1787" s="11" t="str">
        <f t="shared" si="1"/>
        <v/>
      </c>
      <c r="H1787" s="22"/>
      <c r="I1787" s="11"/>
      <c r="J1787" s="17" t="str">
        <f>IF(TRIM(B1787)="","",IF(ISNUMBER(SEARCH(" - ",B1787)),TRIM(RIGHT(B1787,LEN(B1787)-FIND(" - ",B1787)-2)),IFERROR(VLOOKUP(UPPER(TRIM(B1787)), SETUP!$B$4:$C$11, 2, FALSE), UPPER(TRIM(B1787)))))</f>
        <v/>
      </c>
      <c r="K1787" s="23" t="str">
        <f t="shared" si="2"/>
        <v/>
      </c>
      <c r="L1787" s="17" t="str">
        <f t="shared" si="3"/>
        <v/>
      </c>
      <c r="M1787" s="17" t="str">
        <f t="shared" si="4"/>
        <v/>
      </c>
    </row>
    <row r="1788" ht="15.75" customHeight="1">
      <c r="A1788" s="12"/>
      <c r="B1788" s="11"/>
      <c r="C1788" s="11"/>
      <c r="D1788" s="11"/>
      <c r="E1788" s="11" t="str">
        <f>IF(J1788="","", C1788 * IFERROR(VLOOKUP(J1788, SETUP!$A:$D, 3, FALSE), 0))</f>
        <v/>
      </c>
      <c r="F1788" s="11" t="str">
        <f>IF(J1788="","", C1788 * IFERROR(VLOOKUP(J1788, SETUP!$A:$D, 4, FALSE), 0))</f>
        <v/>
      </c>
      <c r="G1788" s="11" t="str">
        <f t="shared" si="1"/>
        <v/>
      </c>
      <c r="H1788" s="22"/>
      <c r="I1788" s="11"/>
      <c r="J1788" s="17" t="str">
        <f>IF(TRIM(B1788)="","",IF(ISNUMBER(SEARCH(" - ",B1788)),TRIM(RIGHT(B1788,LEN(B1788)-FIND(" - ",B1788)-2)),IFERROR(VLOOKUP(UPPER(TRIM(B1788)), SETUP!$B$4:$C$11, 2, FALSE), UPPER(TRIM(B1788)))))</f>
        <v/>
      </c>
      <c r="K1788" s="23" t="str">
        <f t="shared" si="2"/>
        <v/>
      </c>
      <c r="L1788" s="17" t="str">
        <f t="shared" si="3"/>
        <v/>
      </c>
      <c r="M1788" s="17" t="str">
        <f t="shared" si="4"/>
        <v/>
      </c>
    </row>
    <row r="1789" ht="15.75" customHeight="1">
      <c r="A1789" s="12"/>
      <c r="B1789" s="11"/>
      <c r="C1789" s="11"/>
      <c r="D1789" s="11"/>
      <c r="E1789" s="11" t="str">
        <f>IF(J1789="","", C1789 * IFERROR(VLOOKUP(J1789, SETUP!$A:$D, 3, FALSE), 0))</f>
        <v/>
      </c>
      <c r="F1789" s="11" t="str">
        <f>IF(J1789="","", C1789 * IFERROR(VLOOKUP(J1789, SETUP!$A:$D, 4, FALSE), 0))</f>
        <v/>
      </c>
      <c r="G1789" s="11" t="str">
        <f t="shared" si="1"/>
        <v/>
      </c>
      <c r="H1789" s="22"/>
      <c r="I1789" s="11"/>
      <c r="J1789" s="17" t="str">
        <f>IF(TRIM(B1789)="","",IF(ISNUMBER(SEARCH(" - ",B1789)),TRIM(RIGHT(B1789,LEN(B1789)-FIND(" - ",B1789)-2)),IFERROR(VLOOKUP(UPPER(TRIM(B1789)), SETUP!$B$4:$C$11, 2, FALSE), UPPER(TRIM(B1789)))))</f>
        <v/>
      </c>
      <c r="K1789" s="23" t="str">
        <f t="shared" si="2"/>
        <v/>
      </c>
      <c r="L1789" s="17" t="str">
        <f t="shared" si="3"/>
        <v/>
      </c>
      <c r="M1789" s="17" t="str">
        <f t="shared" si="4"/>
        <v/>
      </c>
    </row>
    <row r="1790" ht="15.75" customHeight="1">
      <c r="A1790" s="12"/>
      <c r="B1790" s="11"/>
      <c r="C1790" s="11"/>
      <c r="D1790" s="11"/>
      <c r="E1790" s="11" t="str">
        <f>IF(J1790="","", C1790 * IFERROR(VLOOKUP(J1790, SETUP!$A:$D, 3, FALSE), 0))</f>
        <v/>
      </c>
      <c r="F1790" s="11" t="str">
        <f>IF(J1790="","", C1790 * IFERROR(VLOOKUP(J1790, SETUP!$A:$D, 4, FALSE), 0))</f>
        <v/>
      </c>
      <c r="G1790" s="11" t="str">
        <f t="shared" si="1"/>
        <v/>
      </c>
      <c r="H1790" s="22"/>
      <c r="I1790" s="11"/>
      <c r="J1790" s="17" t="str">
        <f>IF(TRIM(B1790)="","",IF(ISNUMBER(SEARCH(" - ",B1790)),TRIM(RIGHT(B1790,LEN(B1790)-FIND(" - ",B1790)-2)),IFERROR(VLOOKUP(UPPER(TRIM(B1790)), SETUP!$B$4:$C$11, 2, FALSE), UPPER(TRIM(B1790)))))</f>
        <v/>
      </c>
      <c r="K1790" s="23" t="str">
        <f t="shared" si="2"/>
        <v/>
      </c>
      <c r="L1790" s="17" t="str">
        <f t="shared" si="3"/>
        <v/>
      </c>
      <c r="M1790" s="17" t="str">
        <f t="shared" si="4"/>
        <v/>
      </c>
    </row>
    <row r="1791" ht="15.75" customHeight="1">
      <c r="A1791" s="12"/>
      <c r="B1791" s="11"/>
      <c r="C1791" s="11"/>
      <c r="D1791" s="11"/>
      <c r="E1791" s="11" t="str">
        <f>IF(J1791="","", C1791 * IFERROR(VLOOKUP(J1791, SETUP!$A:$D, 3, FALSE), 0))</f>
        <v/>
      </c>
      <c r="F1791" s="11" t="str">
        <f>IF(J1791="","", C1791 * IFERROR(VLOOKUP(J1791, SETUP!$A:$D, 4, FALSE), 0))</f>
        <v/>
      </c>
      <c r="G1791" s="11" t="str">
        <f t="shared" si="1"/>
        <v/>
      </c>
      <c r="H1791" s="22"/>
      <c r="I1791" s="11"/>
      <c r="J1791" s="17" t="str">
        <f>IF(TRIM(B1791)="","",IF(ISNUMBER(SEARCH(" - ",B1791)),TRIM(RIGHT(B1791,LEN(B1791)-FIND(" - ",B1791)-2)),IFERROR(VLOOKUP(UPPER(TRIM(B1791)), SETUP!$B$4:$C$11, 2, FALSE), UPPER(TRIM(B1791)))))</f>
        <v/>
      </c>
      <c r="K1791" s="23" t="str">
        <f t="shared" si="2"/>
        <v/>
      </c>
      <c r="L1791" s="17" t="str">
        <f t="shared" si="3"/>
        <v/>
      </c>
      <c r="M1791" s="17" t="str">
        <f t="shared" si="4"/>
        <v/>
      </c>
    </row>
    <row r="1792" ht="15.75" customHeight="1">
      <c r="A1792" s="12"/>
      <c r="B1792" s="11"/>
      <c r="C1792" s="11"/>
      <c r="D1792" s="11"/>
      <c r="E1792" s="11" t="str">
        <f>IF(J1792="","", C1792 * IFERROR(VLOOKUP(J1792, SETUP!$A:$D, 3, FALSE), 0))</f>
        <v/>
      </c>
      <c r="F1792" s="11" t="str">
        <f>IF(J1792="","", C1792 * IFERROR(VLOOKUP(J1792, SETUP!$A:$D, 4, FALSE), 0))</f>
        <v/>
      </c>
      <c r="G1792" s="11" t="str">
        <f t="shared" si="1"/>
        <v/>
      </c>
      <c r="H1792" s="22"/>
      <c r="I1792" s="11"/>
      <c r="J1792" s="17" t="str">
        <f>IF(TRIM(B1792)="","",IF(ISNUMBER(SEARCH(" - ",B1792)),TRIM(RIGHT(B1792,LEN(B1792)-FIND(" - ",B1792)-2)),IFERROR(VLOOKUP(UPPER(TRIM(B1792)), SETUP!$B$4:$C$11, 2, FALSE), UPPER(TRIM(B1792)))))</f>
        <v/>
      </c>
      <c r="K1792" s="23" t="str">
        <f t="shared" si="2"/>
        <v/>
      </c>
      <c r="L1792" s="17" t="str">
        <f t="shared" si="3"/>
        <v/>
      </c>
      <c r="M1792" s="17" t="str">
        <f t="shared" si="4"/>
        <v/>
      </c>
    </row>
    <row r="1793" ht="15.75" customHeight="1">
      <c r="A1793" s="12"/>
      <c r="B1793" s="11"/>
      <c r="C1793" s="11"/>
      <c r="D1793" s="11"/>
      <c r="E1793" s="11" t="str">
        <f>IF(J1793="","", C1793 * IFERROR(VLOOKUP(J1793, SETUP!$A:$D, 3, FALSE), 0))</f>
        <v/>
      </c>
      <c r="F1793" s="11" t="str">
        <f>IF(J1793="","", C1793 * IFERROR(VLOOKUP(J1793, SETUP!$A:$D, 4, FALSE), 0))</f>
        <v/>
      </c>
      <c r="G1793" s="11" t="str">
        <f t="shared" si="1"/>
        <v/>
      </c>
      <c r="H1793" s="22"/>
      <c r="I1793" s="11"/>
      <c r="J1793" s="17" t="str">
        <f>IF(TRIM(B1793)="","",IF(ISNUMBER(SEARCH(" - ",B1793)),TRIM(RIGHT(B1793,LEN(B1793)-FIND(" - ",B1793)-2)),IFERROR(VLOOKUP(UPPER(TRIM(B1793)), SETUP!$B$4:$C$11, 2, FALSE), UPPER(TRIM(B1793)))))</f>
        <v/>
      </c>
      <c r="K1793" s="23" t="str">
        <f t="shared" si="2"/>
        <v/>
      </c>
      <c r="L1793" s="17" t="str">
        <f t="shared" si="3"/>
        <v/>
      </c>
      <c r="M1793" s="17" t="str">
        <f t="shared" si="4"/>
        <v/>
      </c>
    </row>
    <row r="1794" ht="15.75" customHeight="1">
      <c r="A1794" s="12"/>
      <c r="B1794" s="11"/>
      <c r="C1794" s="11"/>
      <c r="D1794" s="11"/>
      <c r="E1794" s="11" t="str">
        <f>IF(J1794="","", C1794 * IFERROR(VLOOKUP(J1794, SETUP!$A:$D, 3, FALSE), 0))</f>
        <v/>
      </c>
      <c r="F1794" s="11" t="str">
        <f>IF(J1794="","", C1794 * IFERROR(VLOOKUP(J1794, SETUP!$A:$D, 4, FALSE), 0))</f>
        <v/>
      </c>
      <c r="G1794" s="11" t="str">
        <f t="shared" si="1"/>
        <v/>
      </c>
      <c r="H1794" s="22"/>
      <c r="I1794" s="11"/>
      <c r="J1794" s="17" t="str">
        <f>IF(TRIM(B1794)="","",IF(ISNUMBER(SEARCH(" - ",B1794)),TRIM(RIGHT(B1794,LEN(B1794)-FIND(" - ",B1794)-2)),IFERROR(VLOOKUP(UPPER(TRIM(B1794)), SETUP!$B$4:$C$11, 2, FALSE), UPPER(TRIM(B1794)))))</f>
        <v/>
      </c>
      <c r="K1794" s="23" t="str">
        <f t="shared" si="2"/>
        <v/>
      </c>
      <c r="L1794" s="17" t="str">
        <f t="shared" si="3"/>
        <v/>
      </c>
      <c r="M1794" s="17" t="str">
        <f t="shared" si="4"/>
        <v/>
      </c>
    </row>
    <row r="1795" ht="15.75" customHeight="1">
      <c r="A1795" s="12"/>
      <c r="B1795" s="11"/>
      <c r="C1795" s="11"/>
      <c r="D1795" s="11"/>
      <c r="E1795" s="11" t="str">
        <f>IF(J1795="","", C1795 * IFERROR(VLOOKUP(J1795, SETUP!$A:$D, 3, FALSE), 0))</f>
        <v/>
      </c>
      <c r="F1795" s="11" t="str">
        <f>IF(J1795="","", C1795 * IFERROR(VLOOKUP(J1795, SETUP!$A:$D, 4, FALSE), 0))</f>
        <v/>
      </c>
      <c r="G1795" s="11" t="str">
        <f t="shared" si="1"/>
        <v/>
      </c>
      <c r="H1795" s="22"/>
      <c r="I1795" s="11"/>
      <c r="J1795" s="17" t="str">
        <f>IF(TRIM(B1795)="","",IF(ISNUMBER(SEARCH(" - ",B1795)),TRIM(RIGHT(B1795,LEN(B1795)-FIND(" - ",B1795)-2)),IFERROR(VLOOKUP(UPPER(TRIM(B1795)), SETUP!$B$4:$C$11, 2, FALSE), UPPER(TRIM(B1795)))))</f>
        <v/>
      </c>
      <c r="K1795" s="23" t="str">
        <f t="shared" si="2"/>
        <v/>
      </c>
      <c r="L1795" s="17" t="str">
        <f t="shared" si="3"/>
        <v/>
      </c>
      <c r="M1795" s="17" t="str">
        <f t="shared" si="4"/>
        <v/>
      </c>
    </row>
    <row r="1796" ht="15.75" customHeight="1">
      <c r="A1796" s="12"/>
      <c r="B1796" s="11"/>
      <c r="C1796" s="11"/>
      <c r="D1796" s="11"/>
      <c r="E1796" s="11" t="str">
        <f>IF(J1796="","", C1796 * IFERROR(VLOOKUP(J1796, SETUP!$A:$D, 3, FALSE), 0))</f>
        <v/>
      </c>
      <c r="F1796" s="11" t="str">
        <f>IF(J1796="","", C1796 * IFERROR(VLOOKUP(J1796, SETUP!$A:$D, 4, FALSE), 0))</f>
        <v/>
      </c>
      <c r="G1796" s="11" t="str">
        <f t="shared" si="1"/>
        <v/>
      </c>
      <c r="H1796" s="22"/>
      <c r="I1796" s="11"/>
      <c r="J1796" s="17" t="str">
        <f>IF(TRIM(B1796)="","",IF(ISNUMBER(SEARCH(" - ",B1796)),TRIM(RIGHT(B1796,LEN(B1796)-FIND(" - ",B1796)-2)),IFERROR(VLOOKUP(UPPER(TRIM(B1796)), SETUP!$B$4:$C$11, 2, FALSE), UPPER(TRIM(B1796)))))</f>
        <v/>
      </c>
      <c r="K1796" s="23" t="str">
        <f t="shared" si="2"/>
        <v/>
      </c>
      <c r="L1796" s="17" t="str">
        <f t="shared" si="3"/>
        <v/>
      </c>
      <c r="M1796" s="17" t="str">
        <f t="shared" si="4"/>
        <v/>
      </c>
    </row>
    <row r="1797" ht="15.75" customHeight="1">
      <c r="A1797" s="12"/>
      <c r="B1797" s="11"/>
      <c r="C1797" s="11"/>
      <c r="D1797" s="11"/>
      <c r="E1797" s="11" t="str">
        <f>IF(J1797="","", C1797 * IFERROR(VLOOKUP(J1797, SETUP!$A:$D, 3, FALSE), 0))</f>
        <v/>
      </c>
      <c r="F1797" s="11" t="str">
        <f>IF(J1797="","", C1797 * IFERROR(VLOOKUP(J1797, SETUP!$A:$D, 4, FALSE), 0))</f>
        <v/>
      </c>
      <c r="G1797" s="11" t="str">
        <f t="shared" si="1"/>
        <v/>
      </c>
      <c r="H1797" s="22"/>
      <c r="I1797" s="11"/>
      <c r="J1797" s="17" t="str">
        <f>IF(TRIM(B1797)="","",IF(ISNUMBER(SEARCH(" - ",B1797)),TRIM(RIGHT(B1797,LEN(B1797)-FIND(" - ",B1797)-2)),IFERROR(VLOOKUP(UPPER(TRIM(B1797)), SETUP!$B$4:$C$11, 2, FALSE), UPPER(TRIM(B1797)))))</f>
        <v/>
      </c>
      <c r="K1797" s="23" t="str">
        <f t="shared" si="2"/>
        <v/>
      </c>
      <c r="L1797" s="17" t="str">
        <f t="shared" si="3"/>
        <v/>
      </c>
      <c r="M1797" s="17" t="str">
        <f t="shared" si="4"/>
        <v/>
      </c>
    </row>
    <row r="1798" ht="15.75" customHeight="1">
      <c r="A1798" s="12"/>
      <c r="B1798" s="11"/>
      <c r="C1798" s="11"/>
      <c r="D1798" s="11"/>
      <c r="E1798" s="11" t="str">
        <f>IF(J1798="","", C1798 * IFERROR(VLOOKUP(J1798, SETUP!$A:$D, 3, FALSE), 0))</f>
        <v/>
      </c>
      <c r="F1798" s="11" t="str">
        <f>IF(J1798="","", C1798 * IFERROR(VLOOKUP(J1798, SETUP!$A:$D, 4, FALSE), 0))</f>
        <v/>
      </c>
      <c r="G1798" s="11" t="str">
        <f t="shared" si="1"/>
        <v/>
      </c>
      <c r="H1798" s="22"/>
      <c r="I1798" s="11"/>
      <c r="J1798" s="17" t="str">
        <f>IF(TRIM(B1798)="","",IF(ISNUMBER(SEARCH(" - ",B1798)),TRIM(RIGHT(B1798,LEN(B1798)-FIND(" - ",B1798)-2)),IFERROR(VLOOKUP(UPPER(TRIM(B1798)), SETUP!$B$4:$C$11, 2, FALSE), UPPER(TRIM(B1798)))))</f>
        <v/>
      </c>
      <c r="K1798" s="23" t="str">
        <f t="shared" si="2"/>
        <v/>
      </c>
      <c r="L1798" s="17" t="str">
        <f t="shared" si="3"/>
        <v/>
      </c>
      <c r="M1798" s="17" t="str">
        <f t="shared" si="4"/>
        <v/>
      </c>
    </row>
    <row r="1799" ht="15.75" customHeight="1">
      <c r="A1799" s="12"/>
      <c r="B1799" s="11"/>
      <c r="C1799" s="11"/>
      <c r="D1799" s="11"/>
      <c r="E1799" s="11" t="str">
        <f>IF(J1799="","", C1799 * IFERROR(VLOOKUP(J1799, SETUP!$A:$D, 3, FALSE), 0))</f>
        <v/>
      </c>
      <c r="F1799" s="11" t="str">
        <f>IF(J1799="","", C1799 * IFERROR(VLOOKUP(J1799, SETUP!$A:$D, 4, FALSE), 0))</f>
        <v/>
      </c>
      <c r="G1799" s="11" t="str">
        <f t="shared" si="1"/>
        <v/>
      </c>
      <c r="H1799" s="22"/>
      <c r="I1799" s="11"/>
      <c r="J1799" s="17" t="str">
        <f>IF(TRIM(B1799)="","",IF(ISNUMBER(SEARCH(" - ",B1799)),TRIM(RIGHT(B1799,LEN(B1799)-FIND(" - ",B1799)-2)),IFERROR(VLOOKUP(UPPER(TRIM(B1799)), SETUP!$B$4:$C$11, 2, FALSE), UPPER(TRIM(B1799)))))</f>
        <v/>
      </c>
      <c r="K1799" s="23" t="str">
        <f t="shared" si="2"/>
        <v/>
      </c>
      <c r="L1799" s="17" t="str">
        <f t="shared" si="3"/>
        <v/>
      </c>
      <c r="M1799" s="17" t="str">
        <f t="shared" si="4"/>
        <v/>
      </c>
    </row>
    <row r="1800" ht="15.75" customHeight="1">
      <c r="A1800" s="12"/>
      <c r="B1800" s="11"/>
      <c r="C1800" s="11"/>
      <c r="D1800" s="11"/>
      <c r="E1800" s="11" t="str">
        <f>IF(J1800="","", C1800 * IFERROR(VLOOKUP(J1800, SETUP!$A:$D, 3, FALSE), 0))</f>
        <v/>
      </c>
      <c r="F1800" s="11" t="str">
        <f>IF(J1800="","", C1800 * IFERROR(VLOOKUP(J1800, SETUP!$A:$D, 4, FALSE), 0))</f>
        <v/>
      </c>
      <c r="G1800" s="11" t="str">
        <f t="shared" si="1"/>
        <v/>
      </c>
      <c r="H1800" s="22"/>
      <c r="I1800" s="11"/>
      <c r="J1800" s="17" t="str">
        <f>IF(TRIM(B1800)="","",IF(ISNUMBER(SEARCH(" - ",B1800)),TRIM(RIGHT(B1800,LEN(B1800)-FIND(" - ",B1800)-2)),IFERROR(VLOOKUP(UPPER(TRIM(B1800)), SETUP!$B$4:$C$11, 2, FALSE), UPPER(TRIM(B1800)))))</f>
        <v/>
      </c>
      <c r="K1800" s="23" t="str">
        <f t="shared" si="2"/>
        <v/>
      </c>
      <c r="L1800" s="17" t="str">
        <f t="shared" si="3"/>
        <v/>
      </c>
      <c r="M1800" s="17" t="str">
        <f t="shared" si="4"/>
        <v/>
      </c>
    </row>
    <row r="1801" ht="15.75" customHeight="1">
      <c r="A1801" s="12"/>
      <c r="B1801" s="11"/>
      <c r="C1801" s="11"/>
      <c r="D1801" s="11"/>
      <c r="E1801" s="11" t="str">
        <f>IF(J1801="","", C1801 * IFERROR(VLOOKUP(J1801, SETUP!$A:$D, 3, FALSE), 0))</f>
        <v/>
      </c>
      <c r="F1801" s="11" t="str">
        <f>IF(J1801="","", C1801 * IFERROR(VLOOKUP(J1801, SETUP!$A:$D, 4, FALSE), 0))</f>
        <v/>
      </c>
      <c r="G1801" s="11" t="str">
        <f t="shared" si="1"/>
        <v/>
      </c>
      <c r="H1801" s="22"/>
      <c r="I1801" s="11"/>
      <c r="J1801" s="17" t="str">
        <f>IF(TRIM(B1801)="","",IF(ISNUMBER(SEARCH(" - ",B1801)),TRIM(RIGHT(B1801,LEN(B1801)-FIND(" - ",B1801)-2)),IFERROR(VLOOKUP(UPPER(TRIM(B1801)), SETUP!$B$4:$C$11, 2, FALSE), UPPER(TRIM(B1801)))))</f>
        <v/>
      </c>
      <c r="K1801" s="23" t="str">
        <f t="shared" si="2"/>
        <v/>
      </c>
      <c r="L1801" s="17" t="str">
        <f t="shared" si="3"/>
        <v/>
      </c>
      <c r="M1801" s="17" t="str">
        <f t="shared" si="4"/>
        <v/>
      </c>
    </row>
    <row r="1802" ht="15.75" customHeight="1">
      <c r="A1802" s="12"/>
      <c r="B1802" s="11"/>
      <c r="C1802" s="11"/>
      <c r="D1802" s="11"/>
      <c r="E1802" s="11" t="str">
        <f>IF(J1802="","", C1802 * IFERROR(VLOOKUP(J1802, SETUP!$A:$D, 3, FALSE), 0))</f>
        <v/>
      </c>
      <c r="F1802" s="11" t="str">
        <f>IF(J1802="","", C1802 * IFERROR(VLOOKUP(J1802, SETUP!$A:$D, 4, FALSE), 0))</f>
        <v/>
      </c>
      <c r="G1802" s="11" t="str">
        <f t="shared" si="1"/>
        <v/>
      </c>
      <c r="H1802" s="22"/>
      <c r="I1802" s="11"/>
      <c r="J1802" s="17" t="str">
        <f>IF(TRIM(B1802)="","",IF(ISNUMBER(SEARCH(" - ",B1802)),TRIM(RIGHT(B1802,LEN(B1802)-FIND(" - ",B1802)-2)),IFERROR(VLOOKUP(UPPER(TRIM(B1802)), SETUP!$B$4:$C$11, 2, FALSE), UPPER(TRIM(B1802)))))</f>
        <v/>
      </c>
      <c r="K1802" s="23" t="str">
        <f t="shared" si="2"/>
        <v/>
      </c>
      <c r="L1802" s="17" t="str">
        <f t="shared" si="3"/>
        <v/>
      </c>
      <c r="M1802" s="17" t="str">
        <f t="shared" si="4"/>
        <v/>
      </c>
    </row>
    <row r="1803" ht="15.75" customHeight="1">
      <c r="A1803" s="12"/>
      <c r="B1803" s="11"/>
      <c r="C1803" s="11"/>
      <c r="D1803" s="11"/>
      <c r="E1803" s="11" t="str">
        <f>IF(J1803="","", C1803 * IFERROR(VLOOKUP(J1803, SETUP!$A:$D, 3, FALSE), 0))</f>
        <v/>
      </c>
      <c r="F1803" s="11" t="str">
        <f>IF(J1803="","", C1803 * IFERROR(VLOOKUP(J1803, SETUP!$A:$D, 4, FALSE), 0))</f>
        <v/>
      </c>
      <c r="G1803" s="11" t="str">
        <f t="shared" si="1"/>
        <v/>
      </c>
      <c r="H1803" s="22"/>
      <c r="I1803" s="11"/>
      <c r="J1803" s="17" t="str">
        <f>IF(TRIM(B1803)="","",IF(ISNUMBER(SEARCH(" - ",B1803)),TRIM(RIGHT(B1803,LEN(B1803)-FIND(" - ",B1803)-2)),IFERROR(VLOOKUP(UPPER(TRIM(B1803)), SETUP!$B$4:$C$11, 2, FALSE), UPPER(TRIM(B1803)))))</f>
        <v/>
      </c>
      <c r="K1803" s="23" t="str">
        <f t="shared" si="2"/>
        <v/>
      </c>
      <c r="L1803" s="17" t="str">
        <f t="shared" si="3"/>
        <v/>
      </c>
      <c r="M1803" s="17" t="str">
        <f t="shared" si="4"/>
        <v/>
      </c>
    </row>
    <row r="1804" ht="15.75" customHeight="1">
      <c r="A1804" s="12"/>
      <c r="B1804" s="11"/>
      <c r="C1804" s="11"/>
      <c r="D1804" s="11"/>
      <c r="E1804" s="11" t="str">
        <f>IF(J1804="","", C1804 * IFERROR(VLOOKUP(J1804, SETUP!$A:$D, 3, FALSE), 0))</f>
        <v/>
      </c>
      <c r="F1804" s="11" t="str">
        <f>IF(J1804="","", C1804 * IFERROR(VLOOKUP(J1804, SETUP!$A:$D, 4, FALSE), 0))</f>
        <v/>
      </c>
      <c r="G1804" s="11" t="str">
        <f t="shared" si="1"/>
        <v/>
      </c>
      <c r="H1804" s="22"/>
      <c r="I1804" s="11"/>
      <c r="J1804" s="17" t="str">
        <f>IF(TRIM(B1804)="","",IF(ISNUMBER(SEARCH(" - ",B1804)),TRIM(RIGHT(B1804,LEN(B1804)-FIND(" - ",B1804)-2)),IFERROR(VLOOKUP(UPPER(TRIM(B1804)), SETUP!$B$4:$C$11, 2, FALSE), UPPER(TRIM(B1804)))))</f>
        <v/>
      </c>
      <c r="K1804" s="23" t="str">
        <f t="shared" si="2"/>
        <v/>
      </c>
      <c r="L1804" s="17" t="str">
        <f t="shared" si="3"/>
        <v/>
      </c>
      <c r="M1804" s="17" t="str">
        <f t="shared" si="4"/>
        <v/>
      </c>
    </row>
    <row r="1805" ht="15.75" customHeight="1">
      <c r="A1805" s="12"/>
      <c r="B1805" s="11"/>
      <c r="C1805" s="11"/>
      <c r="D1805" s="11"/>
      <c r="E1805" s="11" t="str">
        <f>IF(J1805="","", C1805 * IFERROR(VLOOKUP(J1805, SETUP!$A:$D, 3, FALSE), 0))</f>
        <v/>
      </c>
      <c r="F1805" s="11" t="str">
        <f>IF(J1805="","", C1805 * IFERROR(VLOOKUP(J1805, SETUP!$A:$D, 4, FALSE), 0))</f>
        <v/>
      </c>
      <c r="G1805" s="11" t="str">
        <f t="shared" si="1"/>
        <v/>
      </c>
      <c r="H1805" s="22"/>
      <c r="I1805" s="11"/>
      <c r="J1805" s="17" t="str">
        <f>IF(TRIM(B1805)="","",IF(ISNUMBER(SEARCH(" - ",B1805)),TRIM(RIGHT(B1805,LEN(B1805)-FIND(" - ",B1805)-2)),IFERROR(VLOOKUP(UPPER(TRIM(B1805)), SETUP!$B$4:$C$11, 2, FALSE), UPPER(TRIM(B1805)))))</f>
        <v/>
      </c>
      <c r="K1805" s="23" t="str">
        <f t="shared" si="2"/>
        <v/>
      </c>
      <c r="L1805" s="17" t="str">
        <f t="shared" si="3"/>
        <v/>
      </c>
      <c r="M1805" s="17" t="str">
        <f t="shared" si="4"/>
        <v/>
      </c>
    </row>
    <row r="1806" ht="15.75" customHeight="1">
      <c r="A1806" s="12"/>
      <c r="B1806" s="11"/>
      <c r="C1806" s="11"/>
      <c r="D1806" s="11"/>
      <c r="E1806" s="11" t="str">
        <f>IF(J1806="","", C1806 * IFERROR(VLOOKUP(J1806, SETUP!$A:$D, 3, FALSE), 0))</f>
        <v/>
      </c>
      <c r="F1806" s="11" t="str">
        <f>IF(J1806="","", C1806 * IFERROR(VLOOKUP(J1806, SETUP!$A:$D, 4, FALSE), 0))</f>
        <v/>
      </c>
      <c r="G1806" s="11" t="str">
        <f t="shared" si="1"/>
        <v/>
      </c>
      <c r="H1806" s="22"/>
      <c r="I1806" s="11"/>
      <c r="J1806" s="17" t="str">
        <f>IF(TRIM(B1806)="","",IF(ISNUMBER(SEARCH(" - ",B1806)),TRIM(RIGHT(B1806,LEN(B1806)-FIND(" - ",B1806)-2)),IFERROR(VLOOKUP(UPPER(TRIM(B1806)), SETUP!$B$4:$C$11, 2, FALSE), UPPER(TRIM(B1806)))))</f>
        <v/>
      </c>
      <c r="K1806" s="23" t="str">
        <f t="shared" si="2"/>
        <v/>
      </c>
      <c r="L1806" s="17" t="str">
        <f t="shared" si="3"/>
        <v/>
      </c>
      <c r="M1806" s="17" t="str">
        <f t="shared" si="4"/>
        <v/>
      </c>
    </row>
    <row r="1807" ht="15.75" customHeight="1">
      <c r="A1807" s="12"/>
      <c r="B1807" s="11"/>
      <c r="C1807" s="11"/>
      <c r="D1807" s="11"/>
      <c r="E1807" s="11" t="str">
        <f>IF(J1807="","", C1807 * IFERROR(VLOOKUP(J1807, SETUP!$A:$D, 3, FALSE), 0))</f>
        <v/>
      </c>
      <c r="F1807" s="11" t="str">
        <f>IF(J1807="","", C1807 * IFERROR(VLOOKUP(J1807, SETUP!$A:$D, 4, FALSE), 0))</f>
        <v/>
      </c>
      <c r="G1807" s="11" t="str">
        <f t="shared" si="1"/>
        <v/>
      </c>
      <c r="H1807" s="22"/>
      <c r="I1807" s="11"/>
      <c r="J1807" s="17" t="str">
        <f>IF(TRIM(B1807)="","",IF(ISNUMBER(SEARCH(" - ",B1807)),TRIM(RIGHT(B1807,LEN(B1807)-FIND(" - ",B1807)-2)),IFERROR(VLOOKUP(UPPER(TRIM(B1807)), SETUP!$B$4:$C$11, 2, FALSE), UPPER(TRIM(B1807)))))</f>
        <v/>
      </c>
      <c r="K1807" s="23" t="str">
        <f t="shared" si="2"/>
        <v/>
      </c>
      <c r="L1807" s="17" t="str">
        <f t="shared" si="3"/>
        <v/>
      </c>
      <c r="M1807" s="17" t="str">
        <f t="shared" si="4"/>
        <v/>
      </c>
    </row>
    <row r="1808" ht="15.75" customHeight="1">
      <c r="A1808" s="12"/>
      <c r="B1808" s="11"/>
      <c r="C1808" s="11"/>
      <c r="D1808" s="11"/>
      <c r="E1808" s="11" t="str">
        <f>IF(J1808="","", C1808 * IFERROR(VLOOKUP(J1808, SETUP!$A:$D, 3, FALSE), 0))</f>
        <v/>
      </c>
      <c r="F1808" s="11" t="str">
        <f>IF(J1808="","", C1808 * IFERROR(VLOOKUP(J1808, SETUP!$A:$D, 4, FALSE), 0))</f>
        <v/>
      </c>
      <c r="G1808" s="11" t="str">
        <f t="shared" si="1"/>
        <v/>
      </c>
      <c r="H1808" s="22"/>
      <c r="I1808" s="11"/>
      <c r="J1808" s="17" t="str">
        <f>IF(TRIM(B1808)="","",IF(ISNUMBER(SEARCH(" - ",B1808)),TRIM(RIGHT(B1808,LEN(B1808)-FIND(" - ",B1808)-2)),IFERROR(VLOOKUP(UPPER(TRIM(B1808)), SETUP!$B$4:$C$11, 2, FALSE), UPPER(TRIM(B1808)))))</f>
        <v/>
      </c>
      <c r="K1808" s="23" t="str">
        <f t="shared" si="2"/>
        <v/>
      </c>
      <c r="L1808" s="17" t="str">
        <f t="shared" si="3"/>
        <v/>
      </c>
      <c r="M1808" s="17" t="str">
        <f t="shared" si="4"/>
        <v/>
      </c>
    </row>
    <row r="1809" ht="15.75" customHeight="1">
      <c r="A1809" s="12"/>
      <c r="B1809" s="11"/>
      <c r="C1809" s="11"/>
      <c r="D1809" s="11"/>
      <c r="E1809" s="11" t="str">
        <f>IF(J1809="","", C1809 * IFERROR(VLOOKUP(J1809, SETUP!$A:$D, 3, FALSE), 0))</f>
        <v/>
      </c>
      <c r="F1809" s="11" t="str">
        <f>IF(J1809="","", C1809 * IFERROR(VLOOKUP(J1809, SETUP!$A:$D, 4, FALSE), 0))</f>
        <v/>
      </c>
      <c r="G1809" s="11" t="str">
        <f t="shared" si="1"/>
        <v/>
      </c>
      <c r="H1809" s="22"/>
      <c r="I1809" s="11"/>
      <c r="J1809" s="17" t="str">
        <f>IF(TRIM(B1809)="","",IF(ISNUMBER(SEARCH(" - ",B1809)),TRIM(RIGHT(B1809,LEN(B1809)-FIND(" - ",B1809)-2)),IFERROR(VLOOKUP(UPPER(TRIM(B1809)), SETUP!$B$4:$C$11, 2, FALSE), UPPER(TRIM(B1809)))))</f>
        <v/>
      </c>
      <c r="K1809" s="23" t="str">
        <f t="shared" si="2"/>
        <v/>
      </c>
      <c r="L1809" s="17" t="str">
        <f t="shared" si="3"/>
        <v/>
      </c>
      <c r="M1809" s="17" t="str">
        <f t="shared" si="4"/>
        <v/>
      </c>
    </row>
    <row r="1810" ht="15.75" customHeight="1">
      <c r="A1810" s="12"/>
      <c r="B1810" s="11"/>
      <c r="C1810" s="11"/>
      <c r="D1810" s="11"/>
      <c r="E1810" s="11" t="str">
        <f>IF(J1810="","", C1810 * IFERROR(VLOOKUP(J1810, SETUP!$A:$D, 3, FALSE), 0))</f>
        <v/>
      </c>
      <c r="F1810" s="11" t="str">
        <f>IF(J1810="","", C1810 * IFERROR(VLOOKUP(J1810, SETUP!$A:$D, 4, FALSE), 0))</f>
        <v/>
      </c>
      <c r="G1810" s="11" t="str">
        <f t="shared" si="1"/>
        <v/>
      </c>
      <c r="H1810" s="22"/>
      <c r="I1810" s="11"/>
      <c r="J1810" s="17" t="str">
        <f>IF(TRIM(B1810)="","",IF(ISNUMBER(SEARCH(" - ",B1810)),TRIM(RIGHT(B1810,LEN(B1810)-FIND(" - ",B1810)-2)),IFERROR(VLOOKUP(UPPER(TRIM(B1810)), SETUP!$B$4:$C$11, 2, FALSE), UPPER(TRIM(B1810)))))</f>
        <v/>
      </c>
      <c r="K1810" s="23" t="str">
        <f t="shared" si="2"/>
        <v/>
      </c>
      <c r="L1810" s="17" t="str">
        <f t="shared" si="3"/>
        <v/>
      </c>
      <c r="M1810" s="17" t="str">
        <f t="shared" si="4"/>
        <v/>
      </c>
    </row>
    <row r="1811" ht="15.75" customHeight="1">
      <c r="A1811" s="12"/>
      <c r="B1811" s="11"/>
      <c r="C1811" s="11"/>
      <c r="D1811" s="11"/>
      <c r="E1811" s="11" t="str">
        <f>IF(J1811="","", C1811 * IFERROR(VLOOKUP(J1811, SETUP!$A:$D, 3, FALSE), 0))</f>
        <v/>
      </c>
      <c r="F1811" s="11" t="str">
        <f>IF(J1811="","", C1811 * IFERROR(VLOOKUP(J1811, SETUP!$A:$D, 4, FALSE), 0))</f>
        <v/>
      </c>
      <c r="G1811" s="11" t="str">
        <f t="shared" si="1"/>
        <v/>
      </c>
      <c r="H1811" s="22"/>
      <c r="I1811" s="11"/>
      <c r="J1811" s="17" t="str">
        <f>IF(TRIM(B1811)="","",IF(ISNUMBER(SEARCH(" - ",B1811)),TRIM(RIGHT(B1811,LEN(B1811)-FIND(" - ",B1811)-2)),IFERROR(VLOOKUP(UPPER(TRIM(B1811)), SETUP!$B$4:$C$11, 2, FALSE), UPPER(TRIM(B1811)))))</f>
        <v/>
      </c>
      <c r="K1811" s="23" t="str">
        <f t="shared" si="2"/>
        <v/>
      </c>
      <c r="L1811" s="17" t="str">
        <f t="shared" si="3"/>
        <v/>
      </c>
      <c r="M1811" s="17" t="str">
        <f t="shared" si="4"/>
        <v/>
      </c>
    </row>
    <row r="1812" ht="15.75" customHeight="1">
      <c r="A1812" s="12"/>
      <c r="B1812" s="11"/>
      <c r="C1812" s="11"/>
      <c r="D1812" s="11"/>
      <c r="E1812" s="11" t="str">
        <f>IF(J1812="","", C1812 * IFERROR(VLOOKUP(J1812, SETUP!$A:$D, 3, FALSE), 0))</f>
        <v/>
      </c>
      <c r="F1812" s="11" t="str">
        <f>IF(J1812="","", C1812 * IFERROR(VLOOKUP(J1812, SETUP!$A:$D, 4, FALSE), 0))</f>
        <v/>
      </c>
      <c r="G1812" s="11" t="str">
        <f t="shared" si="1"/>
        <v/>
      </c>
      <c r="H1812" s="22"/>
      <c r="I1812" s="11"/>
      <c r="J1812" s="17" t="str">
        <f>IF(TRIM(B1812)="","",IF(ISNUMBER(SEARCH(" - ",B1812)),TRIM(RIGHT(B1812,LEN(B1812)-FIND(" - ",B1812)-2)),IFERROR(VLOOKUP(UPPER(TRIM(B1812)), SETUP!$B$4:$C$11, 2, FALSE), UPPER(TRIM(B1812)))))</f>
        <v/>
      </c>
      <c r="K1812" s="23" t="str">
        <f t="shared" si="2"/>
        <v/>
      </c>
      <c r="L1812" s="17" t="str">
        <f t="shared" si="3"/>
        <v/>
      </c>
      <c r="M1812" s="17" t="str">
        <f t="shared" si="4"/>
        <v/>
      </c>
    </row>
    <row r="1813" ht="15.75" customHeight="1">
      <c r="A1813" s="12"/>
      <c r="B1813" s="11"/>
      <c r="C1813" s="11"/>
      <c r="D1813" s="11"/>
      <c r="E1813" s="11" t="str">
        <f>IF(J1813="","", C1813 * IFERROR(VLOOKUP(J1813, SETUP!$A:$D, 3, FALSE), 0))</f>
        <v/>
      </c>
      <c r="F1813" s="11" t="str">
        <f>IF(J1813="","", C1813 * IFERROR(VLOOKUP(J1813, SETUP!$A:$D, 4, FALSE), 0))</f>
        <v/>
      </c>
      <c r="G1813" s="11" t="str">
        <f t="shared" si="1"/>
        <v/>
      </c>
      <c r="H1813" s="22"/>
      <c r="I1813" s="11"/>
      <c r="J1813" s="17" t="str">
        <f>IF(TRIM(B1813)="","",IF(ISNUMBER(SEARCH(" - ",B1813)),TRIM(RIGHT(B1813,LEN(B1813)-FIND(" - ",B1813)-2)),IFERROR(VLOOKUP(UPPER(TRIM(B1813)), SETUP!$B$4:$C$11, 2, FALSE), UPPER(TRIM(B1813)))))</f>
        <v/>
      </c>
      <c r="K1813" s="23" t="str">
        <f t="shared" si="2"/>
        <v/>
      </c>
      <c r="L1813" s="17" t="str">
        <f t="shared" si="3"/>
        <v/>
      </c>
      <c r="M1813" s="17" t="str">
        <f t="shared" si="4"/>
        <v/>
      </c>
    </row>
    <row r="1814" ht="15.75" customHeight="1">
      <c r="A1814" s="12"/>
      <c r="B1814" s="11"/>
      <c r="C1814" s="11"/>
      <c r="D1814" s="11"/>
      <c r="E1814" s="11" t="str">
        <f>IF(J1814="","", C1814 * IFERROR(VLOOKUP(J1814, SETUP!$A:$D, 3, FALSE), 0))</f>
        <v/>
      </c>
      <c r="F1814" s="11" t="str">
        <f>IF(J1814="","", C1814 * IFERROR(VLOOKUP(J1814, SETUP!$A:$D, 4, FALSE), 0))</f>
        <v/>
      </c>
      <c r="G1814" s="11" t="str">
        <f t="shared" si="1"/>
        <v/>
      </c>
      <c r="H1814" s="22"/>
      <c r="I1814" s="11"/>
      <c r="J1814" s="17" t="str">
        <f>IF(TRIM(B1814)="","",IF(ISNUMBER(SEARCH(" - ",B1814)),TRIM(RIGHT(B1814,LEN(B1814)-FIND(" - ",B1814)-2)),IFERROR(VLOOKUP(UPPER(TRIM(B1814)), SETUP!$B$4:$C$11, 2, FALSE), UPPER(TRIM(B1814)))))</f>
        <v/>
      </c>
      <c r="K1814" s="23" t="str">
        <f t="shared" si="2"/>
        <v/>
      </c>
      <c r="L1814" s="17" t="str">
        <f t="shared" si="3"/>
        <v/>
      </c>
      <c r="M1814" s="17" t="str">
        <f t="shared" si="4"/>
        <v/>
      </c>
    </row>
    <row r="1815" ht="15.75" customHeight="1">
      <c r="A1815" s="12"/>
      <c r="B1815" s="11"/>
      <c r="C1815" s="11"/>
      <c r="D1815" s="11"/>
      <c r="E1815" s="11" t="str">
        <f>IF(J1815="","", C1815 * IFERROR(VLOOKUP(J1815, SETUP!$A:$D, 3, FALSE), 0))</f>
        <v/>
      </c>
      <c r="F1815" s="11" t="str">
        <f>IF(J1815="","", C1815 * IFERROR(VLOOKUP(J1815, SETUP!$A:$D, 4, FALSE), 0))</f>
        <v/>
      </c>
      <c r="G1815" s="11" t="str">
        <f t="shared" si="1"/>
        <v/>
      </c>
      <c r="H1815" s="22"/>
      <c r="I1815" s="11"/>
      <c r="J1815" s="17" t="str">
        <f>IF(TRIM(B1815)="","",IF(ISNUMBER(SEARCH(" - ",B1815)),TRIM(RIGHT(B1815,LEN(B1815)-FIND(" - ",B1815)-2)),IFERROR(VLOOKUP(UPPER(TRIM(B1815)), SETUP!$B$4:$C$11, 2, FALSE), UPPER(TRIM(B1815)))))</f>
        <v/>
      </c>
      <c r="K1815" s="23" t="str">
        <f t="shared" si="2"/>
        <v/>
      </c>
      <c r="L1815" s="17" t="str">
        <f t="shared" si="3"/>
        <v/>
      </c>
      <c r="M1815" s="17" t="str">
        <f t="shared" si="4"/>
        <v/>
      </c>
    </row>
    <row r="1816" ht="15.75" customHeight="1">
      <c r="A1816" s="12"/>
      <c r="B1816" s="11"/>
      <c r="C1816" s="11"/>
      <c r="D1816" s="11"/>
      <c r="E1816" s="11" t="str">
        <f>IF(J1816="","", C1816 * IFERROR(VLOOKUP(J1816, SETUP!$A:$D, 3, FALSE), 0))</f>
        <v/>
      </c>
      <c r="F1816" s="11" t="str">
        <f>IF(J1816="","", C1816 * IFERROR(VLOOKUP(J1816, SETUP!$A:$D, 4, FALSE), 0))</f>
        <v/>
      </c>
      <c r="G1816" s="11" t="str">
        <f t="shared" si="1"/>
        <v/>
      </c>
      <c r="H1816" s="22"/>
      <c r="I1816" s="11"/>
      <c r="J1816" s="17" t="str">
        <f>IF(TRIM(B1816)="","",IF(ISNUMBER(SEARCH(" - ",B1816)),TRIM(RIGHT(B1816,LEN(B1816)-FIND(" - ",B1816)-2)),IFERROR(VLOOKUP(UPPER(TRIM(B1816)), SETUP!$B$4:$C$11, 2, FALSE), UPPER(TRIM(B1816)))))</f>
        <v/>
      </c>
      <c r="K1816" s="23" t="str">
        <f t="shared" si="2"/>
        <v/>
      </c>
      <c r="L1816" s="17" t="str">
        <f t="shared" si="3"/>
        <v/>
      </c>
      <c r="M1816" s="17" t="str">
        <f t="shared" si="4"/>
        <v/>
      </c>
    </row>
    <row r="1817" ht="15.75" customHeight="1">
      <c r="A1817" s="12"/>
      <c r="B1817" s="11"/>
      <c r="C1817" s="11"/>
      <c r="D1817" s="11"/>
      <c r="E1817" s="11" t="str">
        <f>IF(J1817="","", C1817 * IFERROR(VLOOKUP(J1817, SETUP!$A:$D, 3, FALSE), 0))</f>
        <v/>
      </c>
      <c r="F1817" s="11" t="str">
        <f>IF(J1817="","", C1817 * IFERROR(VLOOKUP(J1817, SETUP!$A:$D, 4, FALSE), 0))</f>
        <v/>
      </c>
      <c r="G1817" s="11" t="str">
        <f t="shared" si="1"/>
        <v/>
      </c>
      <c r="H1817" s="22"/>
      <c r="I1817" s="11"/>
      <c r="J1817" s="17" t="str">
        <f>IF(TRIM(B1817)="","",IF(ISNUMBER(SEARCH(" - ",B1817)),TRIM(RIGHT(B1817,LEN(B1817)-FIND(" - ",B1817)-2)),IFERROR(VLOOKUP(UPPER(TRIM(B1817)), SETUP!$B$4:$C$11, 2, FALSE), UPPER(TRIM(B1817)))))</f>
        <v/>
      </c>
      <c r="K1817" s="23" t="str">
        <f t="shared" si="2"/>
        <v/>
      </c>
      <c r="L1817" s="17" t="str">
        <f t="shared" si="3"/>
        <v/>
      </c>
      <c r="M1817" s="17" t="str">
        <f t="shared" si="4"/>
        <v/>
      </c>
    </row>
    <row r="1818" ht="15.75" customHeight="1">
      <c r="A1818" s="12"/>
      <c r="B1818" s="11"/>
      <c r="C1818" s="11"/>
      <c r="D1818" s="11"/>
      <c r="E1818" s="11" t="str">
        <f>IF(J1818="","", C1818 * IFERROR(VLOOKUP(J1818, SETUP!$A:$D, 3, FALSE), 0))</f>
        <v/>
      </c>
      <c r="F1818" s="11" t="str">
        <f>IF(J1818="","", C1818 * IFERROR(VLOOKUP(J1818, SETUP!$A:$D, 4, FALSE), 0))</f>
        <v/>
      </c>
      <c r="G1818" s="11" t="str">
        <f t="shared" si="1"/>
        <v/>
      </c>
      <c r="H1818" s="22"/>
      <c r="I1818" s="11"/>
      <c r="J1818" s="17" t="str">
        <f>IF(TRIM(B1818)="","",IF(ISNUMBER(SEARCH(" - ",B1818)),TRIM(RIGHT(B1818,LEN(B1818)-FIND(" - ",B1818)-2)),IFERROR(VLOOKUP(UPPER(TRIM(B1818)), SETUP!$B$4:$C$11, 2, FALSE), UPPER(TRIM(B1818)))))</f>
        <v/>
      </c>
      <c r="K1818" s="23" t="str">
        <f t="shared" si="2"/>
        <v/>
      </c>
      <c r="L1818" s="17" t="str">
        <f t="shared" si="3"/>
        <v/>
      </c>
      <c r="M1818" s="17" t="str">
        <f t="shared" si="4"/>
        <v/>
      </c>
    </row>
    <row r="1819" ht="15.75" customHeight="1">
      <c r="A1819" s="12"/>
      <c r="B1819" s="11"/>
      <c r="C1819" s="11"/>
      <c r="D1819" s="11"/>
      <c r="E1819" s="11" t="str">
        <f>IF(J1819="","", C1819 * IFERROR(VLOOKUP(J1819, SETUP!$A:$D, 3, FALSE), 0))</f>
        <v/>
      </c>
      <c r="F1819" s="11" t="str">
        <f>IF(J1819="","", C1819 * IFERROR(VLOOKUP(J1819, SETUP!$A:$D, 4, FALSE), 0))</f>
        <v/>
      </c>
      <c r="G1819" s="11" t="str">
        <f t="shared" si="1"/>
        <v/>
      </c>
      <c r="H1819" s="22"/>
      <c r="I1819" s="11"/>
      <c r="J1819" s="17" t="str">
        <f>IF(TRIM(B1819)="","",IF(ISNUMBER(SEARCH(" - ",B1819)),TRIM(RIGHT(B1819,LEN(B1819)-FIND(" - ",B1819)-2)),IFERROR(VLOOKUP(UPPER(TRIM(B1819)), SETUP!$B$4:$C$11, 2, FALSE), UPPER(TRIM(B1819)))))</f>
        <v/>
      </c>
      <c r="K1819" s="23" t="str">
        <f t="shared" si="2"/>
        <v/>
      </c>
      <c r="L1819" s="17" t="str">
        <f t="shared" si="3"/>
        <v/>
      </c>
      <c r="M1819" s="17" t="str">
        <f t="shared" si="4"/>
        <v/>
      </c>
    </row>
    <row r="1820" ht="15.75" customHeight="1">
      <c r="A1820" s="12"/>
      <c r="B1820" s="11"/>
      <c r="C1820" s="11"/>
      <c r="D1820" s="11"/>
      <c r="E1820" s="11" t="str">
        <f>IF(J1820="","", C1820 * IFERROR(VLOOKUP(J1820, SETUP!$A:$D, 3, FALSE), 0))</f>
        <v/>
      </c>
      <c r="F1820" s="11" t="str">
        <f>IF(J1820="","", C1820 * IFERROR(VLOOKUP(J1820, SETUP!$A:$D, 4, FALSE), 0))</f>
        <v/>
      </c>
      <c r="G1820" s="11" t="str">
        <f t="shared" si="1"/>
        <v/>
      </c>
      <c r="H1820" s="22"/>
      <c r="I1820" s="11"/>
      <c r="J1820" s="17" t="str">
        <f>IF(TRIM(B1820)="","",IF(ISNUMBER(SEARCH(" - ",B1820)),TRIM(RIGHT(B1820,LEN(B1820)-FIND(" - ",B1820)-2)),IFERROR(VLOOKUP(UPPER(TRIM(B1820)), SETUP!$B$4:$C$11, 2, FALSE), UPPER(TRIM(B1820)))))</f>
        <v/>
      </c>
      <c r="K1820" s="23" t="str">
        <f t="shared" si="2"/>
        <v/>
      </c>
      <c r="L1820" s="17" t="str">
        <f t="shared" si="3"/>
        <v/>
      </c>
      <c r="M1820" s="17" t="str">
        <f t="shared" si="4"/>
        <v/>
      </c>
    </row>
    <row r="1821" ht="15.75" customHeight="1">
      <c r="A1821" s="12"/>
      <c r="B1821" s="11"/>
      <c r="C1821" s="11"/>
      <c r="D1821" s="11"/>
      <c r="E1821" s="11" t="str">
        <f>IF(J1821="","", C1821 * IFERROR(VLOOKUP(J1821, SETUP!$A:$D, 3, FALSE), 0))</f>
        <v/>
      </c>
      <c r="F1821" s="11" t="str">
        <f>IF(J1821="","", C1821 * IFERROR(VLOOKUP(J1821, SETUP!$A:$D, 4, FALSE), 0))</f>
        <v/>
      </c>
      <c r="G1821" s="11" t="str">
        <f t="shared" si="1"/>
        <v/>
      </c>
      <c r="H1821" s="22"/>
      <c r="I1821" s="11"/>
      <c r="J1821" s="17" t="str">
        <f>IF(TRIM(B1821)="","",IF(ISNUMBER(SEARCH(" - ",B1821)),TRIM(RIGHT(B1821,LEN(B1821)-FIND(" - ",B1821)-2)),IFERROR(VLOOKUP(UPPER(TRIM(B1821)), SETUP!$B$4:$C$11, 2, FALSE), UPPER(TRIM(B1821)))))</f>
        <v/>
      </c>
      <c r="K1821" s="23" t="str">
        <f t="shared" si="2"/>
        <v/>
      </c>
      <c r="L1821" s="17" t="str">
        <f t="shared" si="3"/>
        <v/>
      </c>
      <c r="M1821" s="17" t="str">
        <f t="shared" si="4"/>
        <v/>
      </c>
    </row>
    <row r="1822" ht="15.75" customHeight="1">
      <c r="A1822" s="12"/>
      <c r="B1822" s="11"/>
      <c r="C1822" s="11"/>
      <c r="D1822" s="11"/>
      <c r="E1822" s="11" t="str">
        <f>IF(J1822="","", C1822 * IFERROR(VLOOKUP(J1822, SETUP!$A:$D, 3, FALSE), 0))</f>
        <v/>
      </c>
      <c r="F1822" s="11" t="str">
        <f>IF(J1822="","", C1822 * IFERROR(VLOOKUP(J1822, SETUP!$A:$D, 4, FALSE), 0))</f>
        <v/>
      </c>
      <c r="G1822" s="11" t="str">
        <f t="shared" si="1"/>
        <v/>
      </c>
      <c r="H1822" s="22"/>
      <c r="I1822" s="11"/>
      <c r="J1822" s="17" t="str">
        <f>IF(TRIM(B1822)="","",IF(ISNUMBER(SEARCH(" - ",B1822)),TRIM(RIGHT(B1822,LEN(B1822)-FIND(" - ",B1822)-2)),IFERROR(VLOOKUP(UPPER(TRIM(B1822)), SETUP!$B$4:$C$11, 2, FALSE), UPPER(TRIM(B1822)))))</f>
        <v/>
      </c>
      <c r="K1822" s="23" t="str">
        <f t="shared" si="2"/>
        <v/>
      </c>
      <c r="L1822" s="17" t="str">
        <f t="shared" si="3"/>
        <v/>
      </c>
      <c r="M1822" s="17" t="str">
        <f t="shared" si="4"/>
        <v/>
      </c>
    </row>
    <row r="1823" ht="15.75" customHeight="1">
      <c r="A1823" s="12"/>
      <c r="B1823" s="11"/>
      <c r="C1823" s="11"/>
      <c r="D1823" s="11"/>
      <c r="E1823" s="11" t="str">
        <f>IF(J1823="","", C1823 * IFERROR(VLOOKUP(J1823, SETUP!$A:$D, 3, FALSE), 0))</f>
        <v/>
      </c>
      <c r="F1823" s="11" t="str">
        <f>IF(J1823="","", C1823 * IFERROR(VLOOKUP(J1823, SETUP!$A:$D, 4, FALSE), 0))</f>
        <v/>
      </c>
      <c r="G1823" s="11" t="str">
        <f t="shared" si="1"/>
        <v/>
      </c>
      <c r="H1823" s="22"/>
      <c r="I1823" s="11"/>
      <c r="J1823" s="17" t="str">
        <f>IF(TRIM(B1823)="","",IF(ISNUMBER(SEARCH(" - ",B1823)),TRIM(RIGHT(B1823,LEN(B1823)-FIND(" - ",B1823)-2)),IFERROR(VLOOKUP(UPPER(TRIM(B1823)), SETUP!$B$4:$C$11, 2, FALSE), UPPER(TRIM(B1823)))))</f>
        <v/>
      </c>
      <c r="K1823" s="23" t="str">
        <f t="shared" si="2"/>
        <v/>
      </c>
      <c r="L1823" s="17" t="str">
        <f t="shared" si="3"/>
        <v/>
      </c>
      <c r="M1823" s="17" t="str">
        <f t="shared" si="4"/>
        <v/>
      </c>
    </row>
    <row r="1824" ht="15.75" customHeight="1">
      <c r="A1824" s="12"/>
      <c r="B1824" s="11"/>
      <c r="C1824" s="11"/>
      <c r="D1824" s="11"/>
      <c r="E1824" s="11" t="str">
        <f>IF(J1824="","", C1824 * IFERROR(VLOOKUP(J1824, SETUP!$A:$D, 3, FALSE), 0))</f>
        <v/>
      </c>
      <c r="F1824" s="11" t="str">
        <f>IF(J1824="","", C1824 * IFERROR(VLOOKUP(J1824, SETUP!$A:$D, 4, FALSE), 0))</f>
        <v/>
      </c>
      <c r="G1824" s="11" t="str">
        <f t="shared" si="1"/>
        <v/>
      </c>
      <c r="H1824" s="22"/>
      <c r="I1824" s="11"/>
      <c r="J1824" s="17" t="str">
        <f>IF(TRIM(B1824)="","",IF(ISNUMBER(SEARCH(" - ",B1824)),TRIM(RIGHT(B1824,LEN(B1824)-FIND(" - ",B1824)-2)),IFERROR(VLOOKUP(UPPER(TRIM(B1824)), SETUP!$B$4:$C$11, 2, FALSE), UPPER(TRIM(B1824)))))</f>
        <v/>
      </c>
      <c r="K1824" s="23" t="str">
        <f t="shared" si="2"/>
        <v/>
      </c>
      <c r="L1824" s="17" t="str">
        <f t="shared" si="3"/>
        <v/>
      </c>
      <c r="M1824" s="17" t="str">
        <f t="shared" si="4"/>
        <v/>
      </c>
    </row>
    <row r="1825" ht="15.75" customHeight="1">
      <c r="A1825" s="12"/>
      <c r="B1825" s="11"/>
      <c r="C1825" s="11"/>
      <c r="D1825" s="11"/>
      <c r="E1825" s="11" t="str">
        <f>IF(J1825="","", C1825 * IFERROR(VLOOKUP(J1825, SETUP!$A:$D, 3, FALSE), 0))</f>
        <v/>
      </c>
      <c r="F1825" s="11" t="str">
        <f>IF(J1825="","", C1825 * IFERROR(VLOOKUP(J1825, SETUP!$A:$D, 4, FALSE), 0))</f>
        <v/>
      </c>
      <c r="G1825" s="11" t="str">
        <f t="shared" si="1"/>
        <v/>
      </c>
      <c r="H1825" s="22"/>
      <c r="I1825" s="11"/>
      <c r="J1825" s="17" t="str">
        <f>IF(TRIM(B1825)="","",IF(ISNUMBER(SEARCH(" - ",B1825)),TRIM(RIGHT(B1825,LEN(B1825)-FIND(" - ",B1825)-2)),IFERROR(VLOOKUP(UPPER(TRIM(B1825)), SETUP!$B$4:$C$11, 2, FALSE), UPPER(TRIM(B1825)))))</f>
        <v/>
      </c>
      <c r="K1825" s="23" t="str">
        <f t="shared" si="2"/>
        <v/>
      </c>
      <c r="L1825" s="17" t="str">
        <f t="shared" si="3"/>
        <v/>
      </c>
      <c r="M1825" s="17" t="str">
        <f t="shared" si="4"/>
        <v/>
      </c>
    </row>
    <row r="1826" ht="15.75" customHeight="1">
      <c r="A1826" s="12"/>
      <c r="B1826" s="11"/>
      <c r="C1826" s="11"/>
      <c r="D1826" s="11"/>
      <c r="E1826" s="11" t="str">
        <f>IF(J1826="","", C1826 * IFERROR(VLOOKUP(J1826, SETUP!$A:$D, 3, FALSE), 0))</f>
        <v/>
      </c>
      <c r="F1826" s="11" t="str">
        <f>IF(J1826="","", C1826 * IFERROR(VLOOKUP(J1826, SETUP!$A:$D, 4, FALSE), 0))</f>
        <v/>
      </c>
      <c r="G1826" s="11" t="str">
        <f t="shared" si="1"/>
        <v/>
      </c>
      <c r="H1826" s="22"/>
      <c r="I1826" s="11"/>
      <c r="J1826" s="17" t="str">
        <f>IF(TRIM(B1826)="","",IF(ISNUMBER(SEARCH(" - ",B1826)),TRIM(RIGHT(B1826,LEN(B1826)-FIND(" - ",B1826)-2)),IFERROR(VLOOKUP(UPPER(TRIM(B1826)), SETUP!$B$4:$C$11, 2, FALSE), UPPER(TRIM(B1826)))))</f>
        <v/>
      </c>
      <c r="K1826" s="23" t="str">
        <f t="shared" si="2"/>
        <v/>
      </c>
      <c r="L1826" s="17" t="str">
        <f t="shared" si="3"/>
        <v/>
      </c>
      <c r="M1826" s="17" t="str">
        <f t="shared" si="4"/>
        <v/>
      </c>
    </row>
    <row r="1827" ht="15.75" customHeight="1">
      <c r="A1827" s="12"/>
      <c r="B1827" s="11"/>
      <c r="C1827" s="11"/>
      <c r="D1827" s="11"/>
      <c r="E1827" s="11" t="str">
        <f>IF(J1827="","", C1827 * IFERROR(VLOOKUP(J1827, SETUP!$A:$D, 3, FALSE), 0))</f>
        <v/>
      </c>
      <c r="F1827" s="11" t="str">
        <f>IF(J1827="","", C1827 * IFERROR(VLOOKUP(J1827, SETUP!$A:$D, 4, FALSE), 0))</f>
        <v/>
      </c>
      <c r="G1827" s="11" t="str">
        <f t="shared" si="1"/>
        <v/>
      </c>
      <c r="H1827" s="22"/>
      <c r="I1827" s="11"/>
      <c r="J1827" s="17" t="str">
        <f>IF(TRIM(B1827)="","",IF(ISNUMBER(SEARCH(" - ",B1827)),TRIM(RIGHT(B1827,LEN(B1827)-FIND(" - ",B1827)-2)),IFERROR(VLOOKUP(UPPER(TRIM(B1827)), SETUP!$B$4:$C$11, 2, FALSE), UPPER(TRIM(B1827)))))</f>
        <v/>
      </c>
      <c r="K1827" s="23" t="str">
        <f t="shared" si="2"/>
        <v/>
      </c>
      <c r="L1827" s="17" t="str">
        <f t="shared" si="3"/>
        <v/>
      </c>
      <c r="M1827" s="17" t="str">
        <f t="shared" si="4"/>
        <v/>
      </c>
    </row>
    <row r="1828" ht="15.75" customHeight="1">
      <c r="A1828" s="12"/>
      <c r="B1828" s="11"/>
      <c r="C1828" s="11"/>
      <c r="D1828" s="11"/>
      <c r="E1828" s="11" t="str">
        <f>IF(J1828="","", C1828 * IFERROR(VLOOKUP(J1828, SETUP!$A:$D, 3, FALSE), 0))</f>
        <v/>
      </c>
      <c r="F1828" s="11" t="str">
        <f>IF(J1828="","", C1828 * IFERROR(VLOOKUP(J1828, SETUP!$A:$D, 4, FALSE), 0))</f>
        <v/>
      </c>
      <c r="G1828" s="11" t="str">
        <f t="shared" si="1"/>
        <v/>
      </c>
      <c r="H1828" s="22"/>
      <c r="I1828" s="11"/>
      <c r="J1828" s="17" t="str">
        <f>IF(TRIM(B1828)="","",IF(ISNUMBER(SEARCH(" - ",B1828)),TRIM(RIGHT(B1828,LEN(B1828)-FIND(" - ",B1828)-2)),IFERROR(VLOOKUP(UPPER(TRIM(B1828)), SETUP!$B$4:$C$11, 2, FALSE), UPPER(TRIM(B1828)))))</f>
        <v/>
      </c>
      <c r="K1828" s="23" t="str">
        <f t="shared" si="2"/>
        <v/>
      </c>
      <c r="L1828" s="17" t="str">
        <f t="shared" si="3"/>
        <v/>
      </c>
      <c r="M1828" s="17" t="str">
        <f t="shared" si="4"/>
        <v/>
      </c>
    </row>
    <row r="1829" ht="15.75" customHeight="1">
      <c r="A1829" s="12"/>
      <c r="B1829" s="11"/>
      <c r="C1829" s="11"/>
      <c r="D1829" s="11"/>
      <c r="E1829" s="11" t="str">
        <f>IF(J1829="","", C1829 * IFERROR(VLOOKUP(J1829, SETUP!$A:$D, 3, FALSE), 0))</f>
        <v/>
      </c>
      <c r="F1829" s="11" t="str">
        <f>IF(J1829="","", C1829 * IFERROR(VLOOKUP(J1829, SETUP!$A:$D, 4, FALSE), 0))</f>
        <v/>
      </c>
      <c r="G1829" s="11" t="str">
        <f t="shared" si="1"/>
        <v/>
      </c>
      <c r="H1829" s="22"/>
      <c r="I1829" s="11"/>
      <c r="J1829" s="17" t="str">
        <f>IF(TRIM(B1829)="","",IF(ISNUMBER(SEARCH(" - ",B1829)),TRIM(RIGHT(B1829,LEN(B1829)-FIND(" - ",B1829)-2)),IFERROR(VLOOKUP(UPPER(TRIM(B1829)), SETUP!$B$4:$C$11, 2, FALSE), UPPER(TRIM(B1829)))))</f>
        <v/>
      </c>
      <c r="K1829" s="23" t="str">
        <f t="shared" si="2"/>
        <v/>
      </c>
      <c r="L1829" s="17" t="str">
        <f t="shared" si="3"/>
        <v/>
      </c>
      <c r="M1829" s="17" t="str">
        <f t="shared" si="4"/>
        <v/>
      </c>
    </row>
    <row r="1830" ht="15.75" customHeight="1">
      <c r="A1830" s="12"/>
      <c r="B1830" s="11"/>
      <c r="C1830" s="11"/>
      <c r="D1830" s="11"/>
      <c r="E1830" s="11" t="str">
        <f>IF(J1830="","", C1830 * IFERROR(VLOOKUP(J1830, SETUP!$A:$D, 3, FALSE), 0))</f>
        <v/>
      </c>
      <c r="F1830" s="11" t="str">
        <f>IF(J1830="","", C1830 * IFERROR(VLOOKUP(J1830, SETUP!$A:$D, 4, FALSE), 0))</f>
        <v/>
      </c>
      <c r="G1830" s="11" t="str">
        <f t="shared" si="1"/>
        <v/>
      </c>
      <c r="H1830" s="22"/>
      <c r="I1830" s="11"/>
      <c r="J1830" s="17" t="str">
        <f>IF(TRIM(B1830)="","",IF(ISNUMBER(SEARCH(" - ",B1830)),TRIM(RIGHT(B1830,LEN(B1830)-FIND(" - ",B1830)-2)),IFERROR(VLOOKUP(UPPER(TRIM(B1830)), SETUP!$B$4:$C$11, 2, FALSE), UPPER(TRIM(B1830)))))</f>
        <v/>
      </c>
      <c r="K1830" s="23" t="str">
        <f t="shared" si="2"/>
        <v/>
      </c>
      <c r="L1830" s="17" t="str">
        <f t="shared" si="3"/>
        <v/>
      </c>
      <c r="M1830" s="17" t="str">
        <f t="shared" si="4"/>
        <v/>
      </c>
    </row>
    <row r="1831" ht="15.75" customHeight="1">
      <c r="A1831" s="12"/>
      <c r="B1831" s="11"/>
      <c r="C1831" s="11"/>
      <c r="D1831" s="11"/>
      <c r="E1831" s="11" t="str">
        <f>IF(J1831="","", C1831 * IFERROR(VLOOKUP(J1831, SETUP!$A:$D, 3, FALSE), 0))</f>
        <v/>
      </c>
      <c r="F1831" s="11" t="str">
        <f>IF(J1831="","", C1831 * IFERROR(VLOOKUP(J1831, SETUP!$A:$D, 4, FALSE), 0))</f>
        <v/>
      </c>
      <c r="G1831" s="11" t="str">
        <f t="shared" si="1"/>
        <v/>
      </c>
      <c r="H1831" s="22"/>
      <c r="I1831" s="11"/>
      <c r="J1831" s="17" t="str">
        <f>IF(TRIM(B1831)="","",IF(ISNUMBER(SEARCH(" - ",B1831)),TRIM(RIGHT(B1831,LEN(B1831)-FIND(" - ",B1831)-2)),IFERROR(VLOOKUP(UPPER(TRIM(B1831)), SETUP!$B$4:$C$11, 2, FALSE), UPPER(TRIM(B1831)))))</f>
        <v/>
      </c>
      <c r="K1831" s="23" t="str">
        <f t="shared" si="2"/>
        <v/>
      </c>
      <c r="L1831" s="17" t="str">
        <f t="shared" si="3"/>
        <v/>
      </c>
      <c r="M1831" s="17" t="str">
        <f t="shared" si="4"/>
        <v/>
      </c>
    </row>
    <row r="1832" ht="15.75" customHeight="1">
      <c r="A1832" s="12"/>
      <c r="B1832" s="11"/>
      <c r="C1832" s="11"/>
      <c r="D1832" s="11"/>
      <c r="E1832" s="11" t="str">
        <f>IF(J1832="","", C1832 * IFERROR(VLOOKUP(J1832, SETUP!$A:$D, 3, FALSE), 0))</f>
        <v/>
      </c>
      <c r="F1832" s="11" t="str">
        <f>IF(J1832="","", C1832 * IFERROR(VLOOKUP(J1832, SETUP!$A:$D, 4, FALSE), 0))</f>
        <v/>
      </c>
      <c r="G1832" s="11" t="str">
        <f t="shared" si="1"/>
        <v/>
      </c>
      <c r="H1832" s="22"/>
      <c r="I1832" s="11"/>
      <c r="J1832" s="17" t="str">
        <f>IF(TRIM(B1832)="","",IF(ISNUMBER(SEARCH(" - ",B1832)),TRIM(RIGHT(B1832,LEN(B1832)-FIND(" - ",B1832)-2)),IFERROR(VLOOKUP(UPPER(TRIM(B1832)), SETUP!$B$4:$C$11, 2, FALSE), UPPER(TRIM(B1832)))))</f>
        <v/>
      </c>
      <c r="K1832" s="23" t="str">
        <f t="shared" si="2"/>
        <v/>
      </c>
      <c r="L1832" s="17" t="str">
        <f t="shared" si="3"/>
        <v/>
      </c>
      <c r="M1832" s="17" t="str">
        <f t="shared" si="4"/>
        <v/>
      </c>
    </row>
    <row r="1833" ht="15.75" customHeight="1">
      <c r="A1833" s="12"/>
      <c r="B1833" s="11"/>
      <c r="C1833" s="11"/>
      <c r="D1833" s="11"/>
      <c r="E1833" s="11" t="str">
        <f>IF(J1833="","", C1833 * IFERROR(VLOOKUP(J1833, SETUP!$A:$D, 3, FALSE), 0))</f>
        <v/>
      </c>
      <c r="F1833" s="11" t="str">
        <f>IF(J1833="","", C1833 * IFERROR(VLOOKUP(J1833, SETUP!$A:$D, 4, FALSE), 0))</f>
        <v/>
      </c>
      <c r="G1833" s="11" t="str">
        <f t="shared" si="1"/>
        <v/>
      </c>
      <c r="H1833" s="22"/>
      <c r="I1833" s="11"/>
      <c r="J1833" s="17" t="str">
        <f>IF(TRIM(B1833)="","",IF(ISNUMBER(SEARCH(" - ",B1833)),TRIM(RIGHT(B1833,LEN(B1833)-FIND(" - ",B1833)-2)),IFERROR(VLOOKUP(UPPER(TRIM(B1833)), SETUP!$B$4:$C$11, 2, FALSE), UPPER(TRIM(B1833)))))</f>
        <v/>
      </c>
      <c r="K1833" s="23" t="str">
        <f t="shared" si="2"/>
        <v/>
      </c>
      <c r="L1833" s="17" t="str">
        <f t="shared" si="3"/>
        <v/>
      </c>
      <c r="M1833" s="17" t="str">
        <f t="shared" si="4"/>
        <v/>
      </c>
    </row>
    <row r="1834" ht="15.75" customHeight="1">
      <c r="A1834" s="12"/>
      <c r="B1834" s="11"/>
      <c r="C1834" s="11"/>
      <c r="D1834" s="11"/>
      <c r="E1834" s="11" t="str">
        <f>IF(J1834="","", C1834 * IFERROR(VLOOKUP(J1834, SETUP!$A:$D, 3, FALSE), 0))</f>
        <v/>
      </c>
      <c r="F1834" s="11" t="str">
        <f>IF(J1834="","", C1834 * IFERROR(VLOOKUP(J1834, SETUP!$A:$D, 4, FALSE), 0))</f>
        <v/>
      </c>
      <c r="G1834" s="11" t="str">
        <f t="shared" si="1"/>
        <v/>
      </c>
      <c r="H1834" s="22"/>
      <c r="I1834" s="11"/>
      <c r="J1834" s="17" t="str">
        <f>IF(TRIM(B1834)="","",IF(ISNUMBER(SEARCH(" - ",B1834)),TRIM(RIGHT(B1834,LEN(B1834)-FIND(" - ",B1834)-2)),IFERROR(VLOOKUP(UPPER(TRIM(B1834)), SETUP!$B$4:$C$11, 2, FALSE), UPPER(TRIM(B1834)))))</f>
        <v/>
      </c>
      <c r="K1834" s="23" t="str">
        <f t="shared" si="2"/>
        <v/>
      </c>
      <c r="L1834" s="17" t="str">
        <f t="shared" si="3"/>
        <v/>
      </c>
      <c r="M1834" s="17" t="str">
        <f t="shared" si="4"/>
        <v/>
      </c>
    </row>
    <row r="1835" ht="15.75" customHeight="1">
      <c r="A1835" s="12"/>
      <c r="B1835" s="11"/>
      <c r="C1835" s="11"/>
      <c r="D1835" s="11"/>
      <c r="E1835" s="11" t="str">
        <f>IF(J1835="","", C1835 * IFERROR(VLOOKUP(J1835, SETUP!$A:$D, 3, FALSE), 0))</f>
        <v/>
      </c>
      <c r="F1835" s="11" t="str">
        <f>IF(J1835="","", C1835 * IFERROR(VLOOKUP(J1835, SETUP!$A:$D, 4, FALSE), 0))</f>
        <v/>
      </c>
      <c r="G1835" s="11" t="str">
        <f t="shared" si="1"/>
        <v/>
      </c>
      <c r="H1835" s="22"/>
      <c r="I1835" s="11"/>
      <c r="J1835" s="17" t="str">
        <f>IF(TRIM(B1835)="","",IF(ISNUMBER(SEARCH(" - ",B1835)),TRIM(RIGHT(B1835,LEN(B1835)-FIND(" - ",B1835)-2)),IFERROR(VLOOKUP(UPPER(TRIM(B1835)), SETUP!$B$4:$C$11, 2, FALSE), UPPER(TRIM(B1835)))))</f>
        <v/>
      </c>
      <c r="K1835" s="23" t="str">
        <f t="shared" si="2"/>
        <v/>
      </c>
      <c r="L1835" s="17" t="str">
        <f t="shared" si="3"/>
        <v/>
      </c>
      <c r="M1835" s="17" t="str">
        <f t="shared" si="4"/>
        <v/>
      </c>
    </row>
    <row r="1836" ht="15.75" customHeight="1">
      <c r="A1836" s="12"/>
      <c r="B1836" s="11"/>
      <c r="C1836" s="11"/>
      <c r="D1836" s="11"/>
      <c r="E1836" s="11" t="str">
        <f>IF(J1836="","", C1836 * IFERROR(VLOOKUP(J1836, SETUP!$A:$D, 3, FALSE), 0))</f>
        <v/>
      </c>
      <c r="F1836" s="11" t="str">
        <f>IF(J1836="","", C1836 * IFERROR(VLOOKUP(J1836, SETUP!$A:$D, 4, FALSE), 0))</f>
        <v/>
      </c>
      <c r="G1836" s="11" t="str">
        <f t="shared" si="1"/>
        <v/>
      </c>
      <c r="H1836" s="22"/>
      <c r="I1836" s="11"/>
      <c r="J1836" s="17" t="str">
        <f>IF(TRIM(B1836)="","",IF(ISNUMBER(SEARCH(" - ",B1836)),TRIM(RIGHT(B1836,LEN(B1836)-FIND(" - ",B1836)-2)),IFERROR(VLOOKUP(UPPER(TRIM(B1836)), SETUP!$B$4:$C$11, 2, FALSE), UPPER(TRIM(B1836)))))</f>
        <v/>
      </c>
      <c r="K1836" s="23" t="str">
        <f t="shared" si="2"/>
        <v/>
      </c>
      <c r="L1836" s="17" t="str">
        <f t="shared" si="3"/>
        <v/>
      </c>
      <c r="M1836" s="17" t="str">
        <f t="shared" si="4"/>
        <v/>
      </c>
    </row>
    <row r="1837" ht="15.75" customHeight="1">
      <c r="A1837" s="12"/>
      <c r="B1837" s="11"/>
      <c r="C1837" s="11"/>
      <c r="D1837" s="11"/>
      <c r="E1837" s="11" t="str">
        <f>IF(J1837="","", C1837 * IFERROR(VLOOKUP(J1837, SETUP!$A:$D, 3, FALSE), 0))</f>
        <v/>
      </c>
      <c r="F1837" s="11" t="str">
        <f>IF(J1837="","", C1837 * IFERROR(VLOOKUP(J1837, SETUP!$A:$D, 4, FALSE), 0))</f>
        <v/>
      </c>
      <c r="G1837" s="11" t="str">
        <f t="shared" si="1"/>
        <v/>
      </c>
      <c r="H1837" s="22"/>
      <c r="I1837" s="11"/>
      <c r="J1837" s="17" t="str">
        <f>IF(TRIM(B1837)="","",IF(ISNUMBER(SEARCH(" - ",B1837)),TRIM(RIGHT(B1837,LEN(B1837)-FIND(" - ",B1837)-2)),IFERROR(VLOOKUP(UPPER(TRIM(B1837)), SETUP!$B$4:$C$11, 2, FALSE), UPPER(TRIM(B1837)))))</f>
        <v/>
      </c>
      <c r="K1837" s="23" t="str">
        <f t="shared" si="2"/>
        <v/>
      </c>
      <c r="L1837" s="17" t="str">
        <f t="shared" si="3"/>
        <v/>
      </c>
      <c r="M1837" s="17" t="str">
        <f t="shared" si="4"/>
        <v/>
      </c>
    </row>
    <row r="1838" ht="15.75" customHeight="1">
      <c r="A1838" s="12"/>
      <c r="B1838" s="11"/>
      <c r="C1838" s="11"/>
      <c r="D1838" s="11"/>
      <c r="E1838" s="11" t="str">
        <f>IF(J1838="","", C1838 * IFERROR(VLOOKUP(J1838, SETUP!$A:$D, 3, FALSE), 0))</f>
        <v/>
      </c>
      <c r="F1838" s="11" t="str">
        <f>IF(J1838="","", C1838 * IFERROR(VLOOKUP(J1838, SETUP!$A:$D, 4, FALSE), 0))</f>
        <v/>
      </c>
      <c r="G1838" s="11" t="str">
        <f t="shared" si="1"/>
        <v/>
      </c>
      <c r="H1838" s="22"/>
      <c r="I1838" s="11"/>
      <c r="J1838" s="17" t="str">
        <f>IF(TRIM(B1838)="","",IF(ISNUMBER(SEARCH(" - ",B1838)),TRIM(RIGHT(B1838,LEN(B1838)-FIND(" - ",B1838)-2)),IFERROR(VLOOKUP(UPPER(TRIM(B1838)), SETUP!$B$4:$C$11, 2, FALSE), UPPER(TRIM(B1838)))))</f>
        <v/>
      </c>
      <c r="K1838" s="23" t="str">
        <f t="shared" si="2"/>
        <v/>
      </c>
      <c r="L1838" s="17" t="str">
        <f t="shared" si="3"/>
        <v/>
      </c>
      <c r="M1838" s="17" t="str">
        <f t="shared" si="4"/>
        <v/>
      </c>
    </row>
    <row r="1839" ht="15.75" customHeight="1">
      <c r="A1839" s="12"/>
      <c r="B1839" s="11"/>
      <c r="C1839" s="11"/>
      <c r="D1839" s="11"/>
      <c r="E1839" s="11" t="str">
        <f>IF(J1839="","", C1839 * IFERROR(VLOOKUP(J1839, SETUP!$A:$D, 3, FALSE), 0))</f>
        <v/>
      </c>
      <c r="F1839" s="11" t="str">
        <f>IF(J1839="","", C1839 * IFERROR(VLOOKUP(J1839, SETUP!$A:$D, 4, FALSE), 0))</f>
        <v/>
      </c>
      <c r="G1839" s="11" t="str">
        <f t="shared" si="1"/>
        <v/>
      </c>
      <c r="H1839" s="22"/>
      <c r="I1839" s="11"/>
      <c r="J1839" s="17" t="str">
        <f>IF(TRIM(B1839)="","",IF(ISNUMBER(SEARCH(" - ",B1839)),TRIM(RIGHT(B1839,LEN(B1839)-FIND(" - ",B1839)-2)),IFERROR(VLOOKUP(UPPER(TRIM(B1839)), SETUP!$B$4:$C$11, 2, FALSE), UPPER(TRIM(B1839)))))</f>
        <v/>
      </c>
      <c r="K1839" s="23" t="str">
        <f t="shared" si="2"/>
        <v/>
      </c>
      <c r="L1839" s="17" t="str">
        <f t="shared" si="3"/>
        <v/>
      </c>
      <c r="M1839" s="17" t="str">
        <f t="shared" si="4"/>
        <v/>
      </c>
    </row>
    <row r="1840" ht="15.75" customHeight="1">
      <c r="A1840" s="12"/>
      <c r="B1840" s="11"/>
      <c r="C1840" s="11"/>
      <c r="D1840" s="11"/>
      <c r="E1840" s="11" t="str">
        <f>IF(J1840="","", C1840 * IFERROR(VLOOKUP(J1840, SETUP!$A:$D, 3, FALSE), 0))</f>
        <v/>
      </c>
      <c r="F1840" s="11" t="str">
        <f>IF(J1840="","", C1840 * IFERROR(VLOOKUP(J1840, SETUP!$A:$D, 4, FALSE), 0))</f>
        <v/>
      </c>
      <c r="G1840" s="11" t="str">
        <f t="shared" si="1"/>
        <v/>
      </c>
      <c r="H1840" s="22"/>
      <c r="I1840" s="11"/>
      <c r="J1840" s="17" t="str">
        <f>IF(TRIM(B1840)="","",IF(ISNUMBER(SEARCH(" - ",B1840)),TRIM(RIGHT(B1840,LEN(B1840)-FIND(" - ",B1840)-2)),IFERROR(VLOOKUP(UPPER(TRIM(B1840)), SETUP!$B$4:$C$11, 2, FALSE), UPPER(TRIM(B1840)))))</f>
        <v/>
      </c>
      <c r="K1840" s="23" t="str">
        <f t="shared" si="2"/>
        <v/>
      </c>
      <c r="L1840" s="17" t="str">
        <f t="shared" si="3"/>
        <v/>
      </c>
      <c r="M1840" s="17" t="str">
        <f t="shared" si="4"/>
        <v/>
      </c>
    </row>
    <row r="1841" ht="15.75" customHeight="1">
      <c r="A1841" s="12"/>
      <c r="B1841" s="11"/>
      <c r="C1841" s="11"/>
      <c r="D1841" s="11"/>
      <c r="E1841" s="11" t="str">
        <f>IF(J1841="","", C1841 * IFERROR(VLOOKUP(J1841, SETUP!$A:$D, 3, FALSE), 0))</f>
        <v/>
      </c>
      <c r="F1841" s="11" t="str">
        <f>IF(J1841="","", C1841 * IFERROR(VLOOKUP(J1841, SETUP!$A:$D, 4, FALSE), 0))</f>
        <v/>
      </c>
      <c r="G1841" s="11" t="str">
        <f t="shared" si="1"/>
        <v/>
      </c>
      <c r="H1841" s="22"/>
      <c r="I1841" s="11"/>
      <c r="J1841" s="17" t="str">
        <f>IF(TRIM(B1841)="","",IF(ISNUMBER(SEARCH(" - ",B1841)),TRIM(RIGHT(B1841,LEN(B1841)-FIND(" - ",B1841)-2)),IFERROR(VLOOKUP(UPPER(TRIM(B1841)), SETUP!$B$4:$C$11, 2, FALSE), UPPER(TRIM(B1841)))))</f>
        <v/>
      </c>
      <c r="K1841" s="23" t="str">
        <f t="shared" si="2"/>
        <v/>
      </c>
      <c r="L1841" s="17" t="str">
        <f t="shared" si="3"/>
        <v/>
      </c>
      <c r="M1841" s="17" t="str">
        <f t="shared" si="4"/>
        <v/>
      </c>
    </row>
    <row r="1842" ht="15.75" customHeight="1">
      <c r="A1842" s="12"/>
      <c r="B1842" s="11"/>
      <c r="C1842" s="11"/>
      <c r="D1842" s="11"/>
      <c r="E1842" s="11" t="str">
        <f>IF(J1842="","", C1842 * IFERROR(VLOOKUP(J1842, SETUP!$A:$D, 3, FALSE), 0))</f>
        <v/>
      </c>
      <c r="F1842" s="11" t="str">
        <f>IF(J1842="","", C1842 * IFERROR(VLOOKUP(J1842, SETUP!$A:$D, 4, FALSE), 0))</f>
        <v/>
      </c>
      <c r="G1842" s="11" t="str">
        <f t="shared" si="1"/>
        <v/>
      </c>
      <c r="H1842" s="22"/>
      <c r="I1842" s="11"/>
      <c r="J1842" s="17" t="str">
        <f>IF(TRIM(B1842)="","",IF(ISNUMBER(SEARCH(" - ",B1842)),TRIM(RIGHT(B1842,LEN(B1842)-FIND(" - ",B1842)-2)),IFERROR(VLOOKUP(UPPER(TRIM(B1842)), SETUP!$B$4:$C$11, 2, FALSE), UPPER(TRIM(B1842)))))</f>
        <v/>
      </c>
      <c r="K1842" s="23" t="str">
        <f t="shared" si="2"/>
        <v/>
      </c>
      <c r="L1842" s="17" t="str">
        <f t="shared" si="3"/>
        <v/>
      </c>
      <c r="M1842" s="17" t="str">
        <f t="shared" si="4"/>
        <v/>
      </c>
    </row>
    <row r="1843" ht="15.75" customHeight="1">
      <c r="A1843" s="12"/>
      <c r="B1843" s="11"/>
      <c r="C1843" s="11"/>
      <c r="D1843" s="11"/>
      <c r="E1843" s="11" t="str">
        <f>IF(J1843="","", C1843 * IFERROR(VLOOKUP(J1843, SETUP!$A:$D, 3, FALSE), 0))</f>
        <v/>
      </c>
      <c r="F1843" s="11" t="str">
        <f>IF(J1843="","", C1843 * IFERROR(VLOOKUP(J1843, SETUP!$A:$D, 4, FALSE), 0))</f>
        <v/>
      </c>
      <c r="G1843" s="11" t="str">
        <f t="shared" si="1"/>
        <v/>
      </c>
      <c r="H1843" s="22"/>
      <c r="I1843" s="11"/>
      <c r="J1843" s="17" t="str">
        <f>IF(TRIM(B1843)="","",IF(ISNUMBER(SEARCH(" - ",B1843)),TRIM(RIGHT(B1843,LEN(B1843)-FIND(" - ",B1843)-2)),IFERROR(VLOOKUP(UPPER(TRIM(B1843)), SETUP!$B$4:$C$11, 2, FALSE), UPPER(TRIM(B1843)))))</f>
        <v/>
      </c>
      <c r="K1843" s="23" t="str">
        <f t="shared" si="2"/>
        <v/>
      </c>
      <c r="L1843" s="17" t="str">
        <f t="shared" si="3"/>
        <v/>
      </c>
      <c r="M1843" s="17" t="str">
        <f t="shared" si="4"/>
        <v/>
      </c>
    </row>
    <row r="1844" ht="15.75" customHeight="1">
      <c r="A1844" s="12"/>
      <c r="B1844" s="11"/>
      <c r="C1844" s="11"/>
      <c r="D1844" s="11"/>
      <c r="E1844" s="11" t="str">
        <f>IF(J1844="","", C1844 * IFERROR(VLOOKUP(J1844, SETUP!$A:$D, 3, FALSE), 0))</f>
        <v/>
      </c>
      <c r="F1844" s="11" t="str">
        <f>IF(J1844="","", C1844 * IFERROR(VLOOKUP(J1844, SETUP!$A:$D, 4, FALSE), 0))</f>
        <v/>
      </c>
      <c r="G1844" s="11" t="str">
        <f t="shared" si="1"/>
        <v/>
      </c>
      <c r="H1844" s="22"/>
      <c r="I1844" s="11"/>
      <c r="J1844" s="17" t="str">
        <f>IF(TRIM(B1844)="","",IF(ISNUMBER(SEARCH(" - ",B1844)),TRIM(RIGHT(B1844,LEN(B1844)-FIND(" - ",B1844)-2)),IFERROR(VLOOKUP(UPPER(TRIM(B1844)), SETUP!$B$4:$C$11, 2, FALSE), UPPER(TRIM(B1844)))))</f>
        <v/>
      </c>
      <c r="K1844" s="23" t="str">
        <f t="shared" si="2"/>
        <v/>
      </c>
      <c r="L1844" s="17" t="str">
        <f t="shared" si="3"/>
        <v/>
      </c>
      <c r="M1844" s="17" t="str">
        <f t="shared" si="4"/>
        <v/>
      </c>
    </row>
    <row r="1845" ht="15.75" customHeight="1">
      <c r="A1845" s="12"/>
      <c r="B1845" s="11"/>
      <c r="C1845" s="11"/>
      <c r="D1845" s="11"/>
      <c r="E1845" s="11" t="str">
        <f>IF(J1845="","", C1845 * IFERROR(VLOOKUP(J1845, SETUP!$A:$D, 3, FALSE), 0))</f>
        <v/>
      </c>
      <c r="F1845" s="11" t="str">
        <f>IF(J1845="","", C1845 * IFERROR(VLOOKUP(J1845, SETUP!$A:$D, 4, FALSE), 0))</f>
        <v/>
      </c>
      <c r="G1845" s="11" t="str">
        <f t="shared" si="1"/>
        <v/>
      </c>
      <c r="H1845" s="22"/>
      <c r="I1845" s="11"/>
      <c r="J1845" s="17" t="str">
        <f>IF(TRIM(B1845)="","",IF(ISNUMBER(SEARCH(" - ",B1845)),TRIM(RIGHT(B1845,LEN(B1845)-FIND(" - ",B1845)-2)),IFERROR(VLOOKUP(UPPER(TRIM(B1845)), SETUP!$B$4:$C$11, 2, FALSE), UPPER(TRIM(B1845)))))</f>
        <v/>
      </c>
      <c r="K1845" s="23" t="str">
        <f t="shared" si="2"/>
        <v/>
      </c>
      <c r="L1845" s="17" t="str">
        <f t="shared" si="3"/>
        <v/>
      </c>
      <c r="M1845" s="17" t="str">
        <f t="shared" si="4"/>
        <v/>
      </c>
    </row>
    <row r="1846" ht="15.75" customHeight="1">
      <c r="A1846" s="12"/>
      <c r="B1846" s="11"/>
      <c r="C1846" s="11"/>
      <c r="D1846" s="11"/>
      <c r="E1846" s="11" t="str">
        <f>IF(J1846="","", C1846 * IFERROR(VLOOKUP(J1846, SETUP!$A:$D, 3, FALSE), 0))</f>
        <v/>
      </c>
      <c r="F1846" s="11" t="str">
        <f>IF(J1846="","", C1846 * IFERROR(VLOOKUP(J1846, SETUP!$A:$D, 4, FALSE), 0))</f>
        <v/>
      </c>
      <c r="G1846" s="11" t="str">
        <f t="shared" si="1"/>
        <v/>
      </c>
      <c r="H1846" s="22"/>
      <c r="I1846" s="11"/>
      <c r="J1846" s="17" t="str">
        <f>IF(TRIM(B1846)="","",IF(ISNUMBER(SEARCH(" - ",B1846)),TRIM(RIGHT(B1846,LEN(B1846)-FIND(" - ",B1846)-2)),IFERROR(VLOOKUP(UPPER(TRIM(B1846)), SETUP!$B$4:$C$11, 2, FALSE), UPPER(TRIM(B1846)))))</f>
        <v/>
      </c>
      <c r="K1846" s="23" t="str">
        <f t="shared" si="2"/>
        <v/>
      </c>
      <c r="L1846" s="17" t="str">
        <f t="shared" si="3"/>
        <v/>
      </c>
      <c r="M1846" s="17" t="str">
        <f t="shared" si="4"/>
        <v/>
      </c>
    </row>
    <row r="1847" ht="15.75" customHeight="1">
      <c r="A1847" s="12"/>
      <c r="B1847" s="11"/>
      <c r="C1847" s="11"/>
      <c r="D1847" s="11"/>
      <c r="E1847" s="11" t="str">
        <f>IF(J1847="","", C1847 * IFERROR(VLOOKUP(J1847, SETUP!$A:$D, 3, FALSE), 0))</f>
        <v/>
      </c>
      <c r="F1847" s="11" t="str">
        <f>IF(J1847="","", C1847 * IFERROR(VLOOKUP(J1847, SETUP!$A:$D, 4, FALSE), 0))</f>
        <v/>
      </c>
      <c r="G1847" s="11" t="str">
        <f t="shared" si="1"/>
        <v/>
      </c>
      <c r="H1847" s="22"/>
      <c r="I1847" s="11"/>
      <c r="J1847" s="17" t="str">
        <f>IF(TRIM(B1847)="","",IF(ISNUMBER(SEARCH(" - ",B1847)),TRIM(RIGHT(B1847,LEN(B1847)-FIND(" - ",B1847)-2)),IFERROR(VLOOKUP(UPPER(TRIM(B1847)), SETUP!$B$4:$C$11, 2, FALSE), UPPER(TRIM(B1847)))))</f>
        <v/>
      </c>
      <c r="K1847" s="23" t="str">
        <f t="shared" si="2"/>
        <v/>
      </c>
      <c r="L1847" s="17" t="str">
        <f t="shared" si="3"/>
        <v/>
      </c>
      <c r="M1847" s="17" t="str">
        <f t="shared" si="4"/>
        <v/>
      </c>
    </row>
    <row r="1848" ht="15.75" customHeight="1">
      <c r="A1848" s="12"/>
      <c r="B1848" s="11"/>
      <c r="C1848" s="11"/>
      <c r="D1848" s="11"/>
      <c r="E1848" s="11" t="str">
        <f>IF(J1848="","", C1848 * IFERROR(VLOOKUP(J1848, SETUP!$A:$D, 3, FALSE), 0))</f>
        <v/>
      </c>
      <c r="F1848" s="11" t="str">
        <f>IF(J1848="","", C1848 * IFERROR(VLOOKUP(J1848, SETUP!$A:$D, 4, FALSE), 0))</f>
        <v/>
      </c>
      <c r="G1848" s="11" t="str">
        <f t="shared" si="1"/>
        <v/>
      </c>
      <c r="H1848" s="22"/>
      <c r="I1848" s="11"/>
      <c r="J1848" s="17" t="str">
        <f>IF(TRIM(B1848)="","",IF(ISNUMBER(SEARCH(" - ",B1848)),TRIM(RIGHT(B1848,LEN(B1848)-FIND(" - ",B1848)-2)),IFERROR(VLOOKUP(UPPER(TRIM(B1848)), SETUP!$B$4:$C$11, 2, FALSE), UPPER(TRIM(B1848)))))</f>
        <v/>
      </c>
      <c r="K1848" s="23" t="str">
        <f t="shared" si="2"/>
        <v/>
      </c>
      <c r="L1848" s="17" t="str">
        <f t="shared" si="3"/>
        <v/>
      </c>
      <c r="M1848" s="17" t="str">
        <f t="shared" si="4"/>
        <v/>
      </c>
    </row>
    <row r="1849" ht="15.75" customHeight="1">
      <c r="A1849" s="12"/>
      <c r="B1849" s="11"/>
      <c r="C1849" s="11"/>
      <c r="D1849" s="11"/>
      <c r="E1849" s="11" t="str">
        <f>IF(J1849="","", C1849 * IFERROR(VLOOKUP(J1849, SETUP!$A:$D, 3, FALSE), 0))</f>
        <v/>
      </c>
      <c r="F1849" s="11" t="str">
        <f>IF(J1849="","", C1849 * IFERROR(VLOOKUP(J1849, SETUP!$A:$D, 4, FALSE), 0))</f>
        <v/>
      </c>
      <c r="G1849" s="11" t="str">
        <f t="shared" si="1"/>
        <v/>
      </c>
      <c r="H1849" s="22"/>
      <c r="I1849" s="11"/>
      <c r="J1849" s="17" t="str">
        <f>IF(TRIM(B1849)="","",IF(ISNUMBER(SEARCH(" - ",B1849)),TRIM(RIGHT(B1849,LEN(B1849)-FIND(" - ",B1849)-2)),IFERROR(VLOOKUP(UPPER(TRIM(B1849)), SETUP!$B$4:$C$11, 2, FALSE), UPPER(TRIM(B1849)))))</f>
        <v/>
      </c>
      <c r="K1849" s="23" t="str">
        <f t="shared" si="2"/>
        <v/>
      </c>
      <c r="L1849" s="17" t="str">
        <f t="shared" si="3"/>
        <v/>
      </c>
      <c r="M1849" s="17" t="str">
        <f t="shared" si="4"/>
        <v/>
      </c>
    </row>
    <row r="1850" ht="15.75" customHeight="1">
      <c r="A1850" s="12"/>
      <c r="B1850" s="11"/>
      <c r="C1850" s="11"/>
      <c r="D1850" s="11"/>
      <c r="E1850" s="11" t="str">
        <f>IF(J1850="","", C1850 * IFERROR(VLOOKUP(J1850, SETUP!$A:$D, 3, FALSE), 0))</f>
        <v/>
      </c>
      <c r="F1850" s="11" t="str">
        <f>IF(J1850="","", C1850 * IFERROR(VLOOKUP(J1850, SETUP!$A:$D, 4, FALSE), 0))</f>
        <v/>
      </c>
      <c r="G1850" s="11" t="str">
        <f t="shared" si="1"/>
        <v/>
      </c>
      <c r="H1850" s="22"/>
      <c r="I1850" s="11"/>
      <c r="J1850" s="17" t="str">
        <f>IF(TRIM(B1850)="","",IF(ISNUMBER(SEARCH(" - ",B1850)),TRIM(RIGHT(B1850,LEN(B1850)-FIND(" - ",B1850)-2)),IFERROR(VLOOKUP(UPPER(TRIM(B1850)), SETUP!$B$4:$C$11, 2, FALSE), UPPER(TRIM(B1850)))))</f>
        <v/>
      </c>
      <c r="K1850" s="23" t="str">
        <f t="shared" si="2"/>
        <v/>
      </c>
      <c r="L1850" s="17" t="str">
        <f t="shared" si="3"/>
        <v/>
      </c>
      <c r="M1850" s="17" t="str">
        <f t="shared" si="4"/>
        <v/>
      </c>
    </row>
    <row r="1851" ht="15.75" customHeight="1">
      <c r="A1851" s="12"/>
      <c r="B1851" s="11"/>
      <c r="C1851" s="11"/>
      <c r="D1851" s="11"/>
      <c r="E1851" s="11" t="str">
        <f>IF(J1851="","", C1851 * IFERROR(VLOOKUP(J1851, SETUP!$A:$D, 3, FALSE), 0))</f>
        <v/>
      </c>
      <c r="F1851" s="11" t="str">
        <f>IF(J1851="","", C1851 * IFERROR(VLOOKUP(J1851, SETUP!$A:$D, 4, FALSE), 0))</f>
        <v/>
      </c>
      <c r="G1851" s="11" t="str">
        <f t="shared" si="1"/>
        <v/>
      </c>
      <c r="H1851" s="22"/>
      <c r="I1851" s="11"/>
      <c r="J1851" s="17" t="str">
        <f>IF(TRIM(B1851)="","",IF(ISNUMBER(SEARCH(" - ",B1851)),TRIM(RIGHT(B1851,LEN(B1851)-FIND(" - ",B1851)-2)),IFERROR(VLOOKUP(UPPER(TRIM(B1851)), SETUP!$B$4:$C$11, 2, FALSE), UPPER(TRIM(B1851)))))</f>
        <v/>
      </c>
      <c r="K1851" s="23" t="str">
        <f t="shared" si="2"/>
        <v/>
      </c>
      <c r="L1851" s="17" t="str">
        <f t="shared" si="3"/>
        <v/>
      </c>
      <c r="M1851" s="17" t="str">
        <f t="shared" si="4"/>
        <v/>
      </c>
    </row>
    <row r="1852" ht="15.75" customHeight="1">
      <c r="A1852" s="12"/>
      <c r="B1852" s="11"/>
      <c r="C1852" s="11"/>
      <c r="D1852" s="11"/>
      <c r="E1852" s="11" t="str">
        <f>IF(J1852="","", C1852 * IFERROR(VLOOKUP(J1852, SETUP!$A:$D, 3, FALSE), 0))</f>
        <v/>
      </c>
      <c r="F1852" s="11" t="str">
        <f>IF(J1852="","", C1852 * IFERROR(VLOOKUP(J1852, SETUP!$A:$D, 4, FALSE), 0))</f>
        <v/>
      </c>
      <c r="G1852" s="11" t="str">
        <f t="shared" si="1"/>
        <v/>
      </c>
      <c r="H1852" s="22"/>
      <c r="I1852" s="11"/>
      <c r="J1852" s="17" t="str">
        <f>IF(TRIM(B1852)="","",IF(ISNUMBER(SEARCH(" - ",B1852)),TRIM(RIGHT(B1852,LEN(B1852)-FIND(" - ",B1852)-2)),IFERROR(VLOOKUP(UPPER(TRIM(B1852)), SETUP!$B$4:$C$11, 2, FALSE), UPPER(TRIM(B1852)))))</f>
        <v/>
      </c>
      <c r="K1852" s="23" t="str">
        <f t="shared" si="2"/>
        <v/>
      </c>
      <c r="L1852" s="17" t="str">
        <f t="shared" si="3"/>
        <v/>
      </c>
      <c r="M1852" s="17" t="str">
        <f t="shared" si="4"/>
        <v/>
      </c>
    </row>
    <row r="1853" ht="15.75" customHeight="1">
      <c r="A1853" s="12"/>
      <c r="B1853" s="11"/>
      <c r="C1853" s="11"/>
      <c r="D1853" s="11"/>
      <c r="E1853" s="11" t="str">
        <f>IF(J1853="","", C1853 * IFERROR(VLOOKUP(J1853, SETUP!$A:$D, 3, FALSE), 0))</f>
        <v/>
      </c>
      <c r="F1853" s="11" t="str">
        <f>IF(J1853="","", C1853 * IFERROR(VLOOKUP(J1853, SETUP!$A:$D, 4, FALSE), 0))</f>
        <v/>
      </c>
      <c r="G1853" s="11" t="str">
        <f t="shared" si="1"/>
        <v/>
      </c>
      <c r="H1853" s="22"/>
      <c r="I1853" s="11"/>
      <c r="J1853" s="17" t="str">
        <f>IF(TRIM(B1853)="","",IF(ISNUMBER(SEARCH(" - ",B1853)),TRIM(RIGHT(B1853,LEN(B1853)-FIND(" - ",B1853)-2)),IFERROR(VLOOKUP(UPPER(TRIM(B1853)), SETUP!$B$4:$C$11, 2, FALSE), UPPER(TRIM(B1853)))))</f>
        <v/>
      </c>
      <c r="K1853" s="23" t="str">
        <f t="shared" si="2"/>
        <v/>
      </c>
      <c r="L1853" s="17" t="str">
        <f t="shared" si="3"/>
        <v/>
      </c>
      <c r="M1853" s="17" t="str">
        <f t="shared" si="4"/>
        <v/>
      </c>
    </row>
    <row r="1854" ht="15.75" customHeight="1">
      <c r="A1854" s="12"/>
      <c r="B1854" s="11"/>
      <c r="C1854" s="11"/>
      <c r="D1854" s="11"/>
      <c r="E1854" s="11" t="str">
        <f>IF(J1854="","", C1854 * IFERROR(VLOOKUP(J1854, SETUP!$A:$D, 3, FALSE), 0))</f>
        <v/>
      </c>
      <c r="F1854" s="11" t="str">
        <f>IF(J1854="","", C1854 * IFERROR(VLOOKUP(J1854, SETUP!$A:$D, 4, FALSE), 0))</f>
        <v/>
      </c>
      <c r="G1854" s="11" t="str">
        <f t="shared" si="1"/>
        <v/>
      </c>
      <c r="H1854" s="22"/>
      <c r="I1854" s="11"/>
      <c r="J1854" s="17" t="str">
        <f>IF(TRIM(B1854)="","",IF(ISNUMBER(SEARCH(" - ",B1854)),TRIM(RIGHT(B1854,LEN(B1854)-FIND(" - ",B1854)-2)),IFERROR(VLOOKUP(UPPER(TRIM(B1854)), SETUP!$B$4:$C$11, 2, FALSE), UPPER(TRIM(B1854)))))</f>
        <v/>
      </c>
      <c r="K1854" s="23" t="str">
        <f t="shared" si="2"/>
        <v/>
      </c>
      <c r="L1854" s="17" t="str">
        <f t="shared" si="3"/>
        <v/>
      </c>
      <c r="M1854" s="17" t="str">
        <f t="shared" si="4"/>
        <v/>
      </c>
    </row>
    <row r="1855" ht="15.75" customHeight="1">
      <c r="A1855" s="12"/>
      <c r="B1855" s="11"/>
      <c r="C1855" s="11"/>
      <c r="D1855" s="11"/>
      <c r="E1855" s="11" t="str">
        <f>IF(J1855="","", C1855 * IFERROR(VLOOKUP(J1855, SETUP!$A:$D, 3, FALSE), 0))</f>
        <v/>
      </c>
      <c r="F1855" s="11" t="str">
        <f>IF(J1855="","", C1855 * IFERROR(VLOOKUP(J1855, SETUP!$A:$D, 4, FALSE), 0))</f>
        <v/>
      </c>
      <c r="G1855" s="11" t="str">
        <f t="shared" si="1"/>
        <v/>
      </c>
      <c r="H1855" s="22"/>
      <c r="I1855" s="11"/>
      <c r="J1855" s="17" t="str">
        <f>IF(TRIM(B1855)="","",IF(ISNUMBER(SEARCH(" - ",B1855)),TRIM(RIGHT(B1855,LEN(B1855)-FIND(" - ",B1855)-2)),IFERROR(VLOOKUP(UPPER(TRIM(B1855)), SETUP!$B$4:$C$11, 2, FALSE), UPPER(TRIM(B1855)))))</f>
        <v/>
      </c>
      <c r="K1855" s="23" t="str">
        <f t="shared" si="2"/>
        <v/>
      </c>
      <c r="L1855" s="17" t="str">
        <f t="shared" si="3"/>
        <v/>
      </c>
      <c r="M1855" s="17" t="str">
        <f t="shared" si="4"/>
        <v/>
      </c>
    </row>
    <row r="1856" ht="15.75" customHeight="1">
      <c r="A1856" s="12"/>
      <c r="B1856" s="11"/>
      <c r="C1856" s="11"/>
      <c r="D1856" s="11"/>
      <c r="E1856" s="11" t="str">
        <f>IF(J1856="","", C1856 * IFERROR(VLOOKUP(J1856, SETUP!$A:$D, 3, FALSE), 0))</f>
        <v/>
      </c>
      <c r="F1856" s="11" t="str">
        <f>IF(J1856="","", C1856 * IFERROR(VLOOKUP(J1856, SETUP!$A:$D, 4, FALSE), 0))</f>
        <v/>
      </c>
      <c r="G1856" s="11" t="str">
        <f t="shared" si="1"/>
        <v/>
      </c>
      <c r="H1856" s="22"/>
      <c r="I1856" s="11"/>
      <c r="J1856" s="17" t="str">
        <f>IF(TRIM(B1856)="","",IF(ISNUMBER(SEARCH(" - ",B1856)),TRIM(RIGHT(B1856,LEN(B1856)-FIND(" - ",B1856)-2)),IFERROR(VLOOKUP(UPPER(TRIM(B1856)), SETUP!$B$4:$C$11, 2, FALSE), UPPER(TRIM(B1856)))))</f>
        <v/>
      </c>
      <c r="K1856" s="23" t="str">
        <f t="shared" si="2"/>
        <v/>
      </c>
      <c r="L1856" s="17" t="str">
        <f t="shared" si="3"/>
        <v/>
      </c>
      <c r="M1856" s="17" t="str">
        <f t="shared" si="4"/>
        <v/>
      </c>
    </row>
    <row r="1857" ht="15.75" customHeight="1">
      <c r="A1857" s="12"/>
      <c r="B1857" s="11"/>
      <c r="C1857" s="11"/>
      <c r="D1857" s="11"/>
      <c r="E1857" s="11" t="str">
        <f>IF(J1857="","", C1857 * IFERROR(VLOOKUP(J1857, SETUP!$A:$D, 3, FALSE), 0))</f>
        <v/>
      </c>
      <c r="F1857" s="11" t="str">
        <f>IF(J1857="","", C1857 * IFERROR(VLOOKUP(J1857, SETUP!$A:$D, 4, FALSE), 0))</f>
        <v/>
      </c>
      <c r="G1857" s="11" t="str">
        <f t="shared" si="1"/>
        <v/>
      </c>
      <c r="H1857" s="22"/>
      <c r="I1857" s="11"/>
      <c r="J1857" s="17" t="str">
        <f>IF(TRIM(B1857)="","",IF(ISNUMBER(SEARCH(" - ",B1857)),TRIM(RIGHT(B1857,LEN(B1857)-FIND(" - ",B1857)-2)),IFERROR(VLOOKUP(UPPER(TRIM(B1857)), SETUP!$B$4:$C$11, 2, FALSE), UPPER(TRIM(B1857)))))</f>
        <v/>
      </c>
      <c r="K1857" s="23" t="str">
        <f t="shared" si="2"/>
        <v/>
      </c>
      <c r="L1857" s="17" t="str">
        <f t="shared" si="3"/>
        <v/>
      </c>
      <c r="M1857" s="17" t="str">
        <f t="shared" si="4"/>
        <v/>
      </c>
    </row>
    <row r="1858" ht="15.75" customHeight="1">
      <c r="A1858" s="12"/>
      <c r="B1858" s="11"/>
      <c r="C1858" s="11"/>
      <c r="D1858" s="11"/>
      <c r="E1858" s="11" t="str">
        <f>IF(J1858="","", C1858 * IFERROR(VLOOKUP(J1858, SETUP!$A:$D, 3, FALSE), 0))</f>
        <v/>
      </c>
      <c r="F1858" s="11" t="str">
        <f>IF(J1858="","", C1858 * IFERROR(VLOOKUP(J1858, SETUP!$A:$D, 4, FALSE), 0))</f>
        <v/>
      </c>
      <c r="G1858" s="11" t="str">
        <f t="shared" si="1"/>
        <v/>
      </c>
      <c r="H1858" s="22"/>
      <c r="I1858" s="11"/>
      <c r="J1858" s="17" t="str">
        <f>IF(TRIM(B1858)="","",IF(ISNUMBER(SEARCH(" - ",B1858)),TRIM(RIGHT(B1858,LEN(B1858)-FIND(" - ",B1858)-2)),IFERROR(VLOOKUP(UPPER(TRIM(B1858)), SETUP!$B$4:$C$11, 2, FALSE), UPPER(TRIM(B1858)))))</f>
        <v/>
      </c>
      <c r="K1858" s="23" t="str">
        <f t="shared" si="2"/>
        <v/>
      </c>
      <c r="L1858" s="17" t="str">
        <f t="shared" si="3"/>
        <v/>
      </c>
      <c r="M1858" s="17" t="str">
        <f t="shared" si="4"/>
        <v/>
      </c>
    </row>
    <row r="1859" ht="15.75" customHeight="1">
      <c r="A1859" s="12"/>
      <c r="B1859" s="11"/>
      <c r="C1859" s="11"/>
      <c r="D1859" s="11"/>
      <c r="E1859" s="11" t="str">
        <f>IF(J1859="","", C1859 * IFERROR(VLOOKUP(J1859, SETUP!$A:$D, 3, FALSE), 0))</f>
        <v/>
      </c>
      <c r="F1859" s="11" t="str">
        <f>IF(J1859="","", C1859 * IFERROR(VLOOKUP(J1859, SETUP!$A:$D, 4, FALSE), 0))</f>
        <v/>
      </c>
      <c r="G1859" s="11" t="str">
        <f t="shared" si="1"/>
        <v/>
      </c>
      <c r="H1859" s="22"/>
      <c r="I1859" s="11"/>
      <c r="J1859" s="17" t="str">
        <f>IF(TRIM(B1859)="","",IF(ISNUMBER(SEARCH(" - ",B1859)),TRIM(RIGHT(B1859,LEN(B1859)-FIND(" - ",B1859)-2)),IFERROR(VLOOKUP(UPPER(TRIM(B1859)), SETUP!$B$4:$C$11, 2, FALSE), UPPER(TRIM(B1859)))))</f>
        <v/>
      </c>
      <c r="K1859" s="23" t="str">
        <f t="shared" si="2"/>
        <v/>
      </c>
      <c r="L1859" s="17" t="str">
        <f t="shared" si="3"/>
        <v/>
      </c>
      <c r="M1859" s="17" t="str">
        <f t="shared" si="4"/>
        <v/>
      </c>
    </row>
    <row r="1860" ht="15.75" customHeight="1">
      <c r="A1860" s="12"/>
      <c r="B1860" s="11"/>
      <c r="C1860" s="11"/>
      <c r="D1860" s="11"/>
      <c r="E1860" s="11" t="str">
        <f>IF(J1860="","", C1860 * IFERROR(VLOOKUP(J1860, SETUP!$A:$D, 3, FALSE), 0))</f>
        <v/>
      </c>
      <c r="F1860" s="11" t="str">
        <f>IF(J1860="","", C1860 * IFERROR(VLOOKUP(J1860, SETUP!$A:$D, 4, FALSE), 0))</f>
        <v/>
      </c>
      <c r="G1860" s="11" t="str">
        <f t="shared" si="1"/>
        <v/>
      </c>
      <c r="H1860" s="22"/>
      <c r="I1860" s="11"/>
      <c r="J1860" s="17" t="str">
        <f>IF(TRIM(B1860)="","",IF(ISNUMBER(SEARCH(" - ",B1860)),TRIM(RIGHT(B1860,LEN(B1860)-FIND(" - ",B1860)-2)),IFERROR(VLOOKUP(UPPER(TRIM(B1860)), SETUP!$B$4:$C$11, 2, FALSE), UPPER(TRIM(B1860)))))</f>
        <v/>
      </c>
      <c r="K1860" s="23" t="str">
        <f t="shared" si="2"/>
        <v/>
      </c>
      <c r="L1860" s="17" t="str">
        <f t="shared" si="3"/>
        <v/>
      </c>
      <c r="M1860" s="17" t="str">
        <f t="shared" si="4"/>
        <v/>
      </c>
    </row>
    <row r="1861" ht="15.75" customHeight="1">
      <c r="A1861" s="12"/>
      <c r="B1861" s="11"/>
      <c r="C1861" s="11"/>
      <c r="D1861" s="11"/>
      <c r="E1861" s="11" t="str">
        <f>IF(J1861="","", C1861 * IFERROR(VLOOKUP(J1861, SETUP!$A:$D, 3, FALSE), 0))</f>
        <v/>
      </c>
      <c r="F1861" s="11" t="str">
        <f>IF(J1861="","", C1861 * IFERROR(VLOOKUP(J1861, SETUP!$A:$D, 4, FALSE), 0))</f>
        <v/>
      </c>
      <c r="G1861" s="11" t="str">
        <f t="shared" si="1"/>
        <v/>
      </c>
      <c r="H1861" s="22"/>
      <c r="I1861" s="11"/>
      <c r="J1861" s="17" t="str">
        <f>IF(TRIM(B1861)="","",IF(ISNUMBER(SEARCH(" - ",B1861)),TRIM(RIGHT(B1861,LEN(B1861)-FIND(" - ",B1861)-2)),IFERROR(VLOOKUP(UPPER(TRIM(B1861)), SETUP!$B$4:$C$11, 2, FALSE), UPPER(TRIM(B1861)))))</f>
        <v/>
      </c>
      <c r="K1861" s="23" t="str">
        <f t="shared" si="2"/>
        <v/>
      </c>
      <c r="L1861" s="17" t="str">
        <f t="shared" si="3"/>
        <v/>
      </c>
      <c r="M1861" s="17" t="str">
        <f t="shared" si="4"/>
        <v/>
      </c>
    </row>
    <row r="1862" ht="15.75" customHeight="1">
      <c r="A1862" s="12"/>
      <c r="B1862" s="11"/>
      <c r="C1862" s="11"/>
      <c r="D1862" s="11"/>
      <c r="E1862" s="11" t="str">
        <f>IF(J1862="","", C1862 * IFERROR(VLOOKUP(J1862, SETUP!$A:$D, 3, FALSE), 0))</f>
        <v/>
      </c>
      <c r="F1862" s="11" t="str">
        <f>IF(J1862="","", C1862 * IFERROR(VLOOKUP(J1862, SETUP!$A:$D, 4, FALSE), 0))</f>
        <v/>
      </c>
      <c r="G1862" s="11" t="str">
        <f t="shared" si="1"/>
        <v/>
      </c>
      <c r="H1862" s="22"/>
      <c r="I1862" s="11"/>
      <c r="J1862" s="17" t="str">
        <f>IF(TRIM(B1862)="","",IF(ISNUMBER(SEARCH(" - ",B1862)),TRIM(RIGHT(B1862,LEN(B1862)-FIND(" - ",B1862)-2)),IFERROR(VLOOKUP(UPPER(TRIM(B1862)), SETUP!$B$4:$C$11, 2, FALSE), UPPER(TRIM(B1862)))))</f>
        <v/>
      </c>
      <c r="K1862" s="23" t="str">
        <f t="shared" si="2"/>
        <v/>
      </c>
      <c r="L1862" s="17" t="str">
        <f t="shared" si="3"/>
        <v/>
      </c>
      <c r="M1862" s="17" t="str">
        <f t="shared" si="4"/>
        <v/>
      </c>
    </row>
    <row r="1863" ht="15.75" customHeight="1">
      <c r="A1863" s="12"/>
      <c r="B1863" s="11"/>
      <c r="C1863" s="11"/>
      <c r="D1863" s="11"/>
      <c r="E1863" s="11" t="str">
        <f>IF(J1863="","", C1863 * IFERROR(VLOOKUP(J1863, SETUP!$A:$D, 3, FALSE), 0))</f>
        <v/>
      </c>
      <c r="F1863" s="11" t="str">
        <f>IF(J1863="","", C1863 * IFERROR(VLOOKUP(J1863, SETUP!$A:$D, 4, FALSE), 0))</f>
        <v/>
      </c>
      <c r="G1863" s="11" t="str">
        <f t="shared" si="1"/>
        <v/>
      </c>
      <c r="H1863" s="22"/>
      <c r="I1863" s="11"/>
      <c r="J1863" s="17" t="str">
        <f>IF(TRIM(B1863)="","",IF(ISNUMBER(SEARCH(" - ",B1863)),TRIM(RIGHT(B1863,LEN(B1863)-FIND(" - ",B1863)-2)),IFERROR(VLOOKUP(UPPER(TRIM(B1863)), SETUP!$B$4:$C$11, 2, FALSE), UPPER(TRIM(B1863)))))</f>
        <v/>
      </c>
      <c r="K1863" s="23" t="str">
        <f t="shared" si="2"/>
        <v/>
      </c>
      <c r="L1863" s="17" t="str">
        <f t="shared" si="3"/>
        <v/>
      </c>
      <c r="M1863" s="17" t="str">
        <f t="shared" si="4"/>
        <v/>
      </c>
    </row>
    <row r="1864" ht="15.75" customHeight="1">
      <c r="A1864" s="12"/>
      <c r="B1864" s="11"/>
      <c r="C1864" s="11"/>
      <c r="D1864" s="11"/>
      <c r="E1864" s="11" t="str">
        <f>IF(J1864="","", C1864 * IFERROR(VLOOKUP(J1864, SETUP!$A:$D, 3, FALSE), 0))</f>
        <v/>
      </c>
      <c r="F1864" s="11" t="str">
        <f>IF(J1864="","", C1864 * IFERROR(VLOOKUP(J1864, SETUP!$A:$D, 4, FALSE), 0))</f>
        <v/>
      </c>
      <c r="G1864" s="11" t="str">
        <f t="shared" si="1"/>
        <v/>
      </c>
      <c r="H1864" s="22"/>
      <c r="I1864" s="11"/>
      <c r="J1864" s="17" t="str">
        <f>IF(TRIM(B1864)="","",IF(ISNUMBER(SEARCH(" - ",B1864)),TRIM(RIGHT(B1864,LEN(B1864)-FIND(" - ",B1864)-2)),IFERROR(VLOOKUP(UPPER(TRIM(B1864)), SETUP!$B$4:$C$11, 2, FALSE), UPPER(TRIM(B1864)))))</f>
        <v/>
      </c>
      <c r="K1864" s="23" t="str">
        <f t="shared" si="2"/>
        <v/>
      </c>
      <c r="L1864" s="17" t="str">
        <f t="shared" si="3"/>
        <v/>
      </c>
      <c r="M1864" s="17" t="str">
        <f t="shared" si="4"/>
        <v/>
      </c>
    </row>
    <row r="1865" ht="15.75" customHeight="1">
      <c r="A1865" s="12"/>
      <c r="B1865" s="11"/>
      <c r="C1865" s="11"/>
      <c r="D1865" s="11"/>
      <c r="E1865" s="11" t="str">
        <f>IF(J1865="","", C1865 * IFERROR(VLOOKUP(J1865, SETUP!$A:$D, 3, FALSE), 0))</f>
        <v/>
      </c>
      <c r="F1865" s="11" t="str">
        <f>IF(J1865="","", C1865 * IFERROR(VLOOKUP(J1865, SETUP!$A:$D, 4, FALSE), 0))</f>
        <v/>
      </c>
      <c r="G1865" s="11" t="str">
        <f t="shared" si="1"/>
        <v/>
      </c>
      <c r="H1865" s="22"/>
      <c r="I1865" s="11"/>
      <c r="J1865" s="17" t="str">
        <f>IF(TRIM(B1865)="","",IF(ISNUMBER(SEARCH(" - ",B1865)),TRIM(RIGHT(B1865,LEN(B1865)-FIND(" - ",B1865)-2)),IFERROR(VLOOKUP(UPPER(TRIM(B1865)), SETUP!$B$4:$C$11, 2, FALSE), UPPER(TRIM(B1865)))))</f>
        <v/>
      </c>
      <c r="K1865" s="23" t="str">
        <f t="shared" si="2"/>
        <v/>
      </c>
      <c r="L1865" s="17" t="str">
        <f t="shared" si="3"/>
        <v/>
      </c>
      <c r="M1865" s="17" t="str">
        <f t="shared" si="4"/>
        <v/>
      </c>
    </row>
    <row r="1866" ht="15.75" customHeight="1">
      <c r="A1866" s="12"/>
      <c r="B1866" s="11"/>
      <c r="C1866" s="11"/>
      <c r="D1866" s="11"/>
      <c r="E1866" s="11" t="str">
        <f>IF(J1866="","", C1866 * IFERROR(VLOOKUP(J1866, SETUP!$A:$D, 3, FALSE), 0))</f>
        <v/>
      </c>
      <c r="F1866" s="11" t="str">
        <f>IF(J1866="","", C1866 * IFERROR(VLOOKUP(J1866, SETUP!$A:$D, 4, FALSE), 0))</f>
        <v/>
      </c>
      <c r="G1866" s="11" t="str">
        <f t="shared" si="1"/>
        <v/>
      </c>
      <c r="H1866" s="22"/>
      <c r="I1866" s="11"/>
      <c r="J1866" s="17" t="str">
        <f>IF(TRIM(B1866)="","",IF(ISNUMBER(SEARCH(" - ",B1866)),TRIM(RIGHT(B1866,LEN(B1866)-FIND(" - ",B1866)-2)),IFERROR(VLOOKUP(UPPER(TRIM(B1866)), SETUP!$B$4:$C$11, 2, FALSE), UPPER(TRIM(B1866)))))</f>
        <v/>
      </c>
      <c r="K1866" s="23" t="str">
        <f t="shared" si="2"/>
        <v/>
      </c>
      <c r="L1866" s="17" t="str">
        <f t="shared" si="3"/>
        <v/>
      </c>
      <c r="M1866" s="17" t="str">
        <f t="shared" si="4"/>
        <v/>
      </c>
    </row>
    <row r="1867" ht="15.75" customHeight="1">
      <c r="A1867" s="12"/>
      <c r="B1867" s="11"/>
      <c r="C1867" s="11"/>
      <c r="D1867" s="11"/>
      <c r="E1867" s="11" t="str">
        <f>IF(J1867="","", C1867 * IFERROR(VLOOKUP(J1867, SETUP!$A:$D, 3, FALSE), 0))</f>
        <v/>
      </c>
      <c r="F1867" s="11" t="str">
        <f>IF(J1867="","", C1867 * IFERROR(VLOOKUP(J1867, SETUP!$A:$D, 4, FALSE), 0))</f>
        <v/>
      </c>
      <c r="G1867" s="11" t="str">
        <f t="shared" si="1"/>
        <v/>
      </c>
      <c r="H1867" s="22"/>
      <c r="I1867" s="11"/>
      <c r="J1867" s="17" t="str">
        <f>IF(TRIM(B1867)="","",IF(ISNUMBER(SEARCH(" - ",B1867)),TRIM(RIGHT(B1867,LEN(B1867)-FIND(" - ",B1867)-2)),IFERROR(VLOOKUP(UPPER(TRIM(B1867)), SETUP!$B$4:$C$11, 2, FALSE), UPPER(TRIM(B1867)))))</f>
        <v/>
      </c>
      <c r="K1867" s="23" t="str">
        <f t="shared" si="2"/>
        <v/>
      </c>
      <c r="L1867" s="17" t="str">
        <f t="shared" si="3"/>
        <v/>
      </c>
      <c r="M1867" s="17" t="str">
        <f t="shared" si="4"/>
        <v/>
      </c>
    </row>
    <row r="1868" ht="15.75" customHeight="1">
      <c r="A1868" s="12"/>
      <c r="B1868" s="11"/>
      <c r="C1868" s="11"/>
      <c r="D1868" s="11"/>
      <c r="E1868" s="11" t="str">
        <f>IF(J1868="","", C1868 * IFERROR(VLOOKUP(J1868, SETUP!$A:$D, 3, FALSE), 0))</f>
        <v/>
      </c>
      <c r="F1868" s="11" t="str">
        <f>IF(J1868="","", C1868 * IFERROR(VLOOKUP(J1868, SETUP!$A:$D, 4, FALSE), 0))</f>
        <v/>
      </c>
      <c r="G1868" s="11" t="str">
        <f t="shared" si="1"/>
        <v/>
      </c>
      <c r="H1868" s="22"/>
      <c r="I1868" s="11"/>
      <c r="J1868" s="17" t="str">
        <f>IF(TRIM(B1868)="","",IF(ISNUMBER(SEARCH(" - ",B1868)),TRIM(RIGHT(B1868,LEN(B1868)-FIND(" - ",B1868)-2)),IFERROR(VLOOKUP(UPPER(TRIM(B1868)), SETUP!$B$4:$C$11, 2, FALSE), UPPER(TRIM(B1868)))))</f>
        <v/>
      </c>
      <c r="K1868" s="23" t="str">
        <f t="shared" si="2"/>
        <v/>
      </c>
      <c r="L1868" s="17" t="str">
        <f t="shared" si="3"/>
        <v/>
      </c>
      <c r="M1868" s="17" t="str">
        <f t="shared" si="4"/>
        <v/>
      </c>
    </row>
    <row r="1869" ht="15.75" customHeight="1">
      <c r="A1869" s="12"/>
      <c r="B1869" s="11"/>
      <c r="C1869" s="11"/>
      <c r="D1869" s="11"/>
      <c r="E1869" s="11" t="str">
        <f>IF(J1869="","", C1869 * IFERROR(VLOOKUP(J1869, SETUP!$A:$D, 3, FALSE), 0))</f>
        <v/>
      </c>
      <c r="F1869" s="11" t="str">
        <f>IF(J1869="","", C1869 * IFERROR(VLOOKUP(J1869, SETUP!$A:$D, 4, FALSE), 0))</f>
        <v/>
      </c>
      <c r="G1869" s="11" t="str">
        <f t="shared" si="1"/>
        <v/>
      </c>
      <c r="H1869" s="22"/>
      <c r="I1869" s="11"/>
      <c r="J1869" s="17" t="str">
        <f>IF(TRIM(B1869)="","",IF(ISNUMBER(SEARCH(" - ",B1869)),TRIM(RIGHT(B1869,LEN(B1869)-FIND(" - ",B1869)-2)),IFERROR(VLOOKUP(UPPER(TRIM(B1869)), SETUP!$B$4:$C$11, 2, FALSE), UPPER(TRIM(B1869)))))</f>
        <v/>
      </c>
      <c r="K1869" s="23" t="str">
        <f t="shared" si="2"/>
        <v/>
      </c>
      <c r="L1869" s="17" t="str">
        <f t="shared" si="3"/>
        <v/>
      </c>
      <c r="M1869" s="17" t="str">
        <f t="shared" si="4"/>
        <v/>
      </c>
    </row>
    <row r="1870" ht="15.75" customHeight="1">
      <c r="A1870" s="12"/>
      <c r="B1870" s="11"/>
      <c r="C1870" s="11"/>
      <c r="D1870" s="11"/>
      <c r="E1870" s="11" t="str">
        <f>IF(J1870="","", C1870 * IFERROR(VLOOKUP(J1870, SETUP!$A:$D, 3, FALSE), 0))</f>
        <v/>
      </c>
      <c r="F1870" s="11" t="str">
        <f>IF(J1870="","", C1870 * IFERROR(VLOOKUP(J1870, SETUP!$A:$D, 4, FALSE), 0))</f>
        <v/>
      </c>
      <c r="G1870" s="11" t="str">
        <f t="shared" si="1"/>
        <v/>
      </c>
      <c r="H1870" s="22"/>
      <c r="I1870" s="11"/>
      <c r="J1870" s="17" t="str">
        <f>IF(TRIM(B1870)="","",IF(ISNUMBER(SEARCH(" - ",B1870)),TRIM(RIGHT(B1870,LEN(B1870)-FIND(" - ",B1870)-2)),IFERROR(VLOOKUP(UPPER(TRIM(B1870)), SETUP!$B$4:$C$11, 2, FALSE), UPPER(TRIM(B1870)))))</f>
        <v/>
      </c>
      <c r="K1870" s="23" t="str">
        <f t="shared" si="2"/>
        <v/>
      </c>
      <c r="L1870" s="17" t="str">
        <f t="shared" si="3"/>
        <v/>
      </c>
      <c r="M1870" s="17" t="str">
        <f t="shared" si="4"/>
        <v/>
      </c>
    </row>
    <row r="1871" ht="15.75" customHeight="1">
      <c r="A1871" s="12"/>
      <c r="B1871" s="11"/>
      <c r="C1871" s="11"/>
      <c r="D1871" s="11"/>
      <c r="E1871" s="11" t="str">
        <f>IF(J1871="","", C1871 * IFERROR(VLOOKUP(J1871, SETUP!$A:$D, 3, FALSE), 0))</f>
        <v/>
      </c>
      <c r="F1871" s="11" t="str">
        <f>IF(J1871="","", C1871 * IFERROR(VLOOKUP(J1871, SETUP!$A:$D, 4, FALSE), 0))</f>
        <v/>
      </c>
      <c r="G1871" s="11" t="str">
        <f t="shared" si="1"/>
        <v/>
      </c>
      <c r="H1871" s="22"/>
      <c r="I1871" s="11"/>
      <c r="J1871" s="17" t="str">
        <f>IF(TRIM(B1871)="","",IF(ISNUMBER(SEARCH(" - ",B1871)),TRIM(RIGHT(B1871,LEN(B1871)-FIND(" - ",B1871)-2)),IFERROR(VLOOKUP(UPPER(TRIM(B1871)), SETUP!$B$4:$C$11, 2, FALSE), UPPER(TRIM(B1871)))))</f>
        <v/>
      </c>
      <c r="K1871" s="23" t="str">
        <f t="shared" si="2"/>
        <v/>
      </c>
      <c r="L1871" s="17" t="str">
        <f t="shared" si="3"/>
        <v/>
      </c>
      <c r="M1871" s="17" t="str">
        <f t="shared" si="4"/>
        <v/>
      </c>
    </row>
    <row r="1872" ht="15.75" customHeight="1">
      <c r="A1872" s="12"/>
      <c r="B1872" s="11"/>
      <c r="C1872" s="11"/>
      <c r="D1872" s="11"/>
      <c r="E1872" s="11" t="str">
        <f>IF(J1872="","", C1872 * IFERROR(VLOOKUP(J1872, SETUP!$A:$D, 3, FALSE), 0))</f>
        <v/>
      </c>
      <c r="F1872" s="11" t="str">
        <f>IF(J1872="","", C1872 * IFERROR(VLOOKUP(J1872, SETUP!$A:$D, 4, FALSE), 0))</f>
        <v/>
      </c>
      <c r="G1872" s="11" t="str">
        <f t="shared" si="1"/>
        <v/>
      </c>
      <c r="H1872" s="22"/>
      <c r="I1872" s="11"/>
      <c r="J1872" s="17" t="str">
        <f>IF(TRIM(B1872)="","",IF(ISNUMBER(SEARCH(" - ",B1872)),TRIM(RIGHT(B1872,LEN(B1872)-FIND(" - ",B1872)-2)),IFERROR(VLOOKUP(UPPER(TRIM(B1872)), SETUP!$B$4:$C$11, 2, FALSE), UPPER(TRIM(B1872)))))</f>
        <v/>
      </c>
      <c r="K1872" s="23" t="str">
        <f t="shared" si="2"/>
        <v/>
      </c>
      <c r="L1872" s="17" t="str">
        <f t="shared" si="3"/>
        <v/>
      </c>
      <c r="M1872" s="17" t="str">
        <f t="shared" si="4"/>
        <v/>
      </c>
    </row>
    <row r="1873" ht="15.75" customHeight="1">
      <c r="A1873" s="12"/>
      <c r="B1873" s="11"/>
      <c r="C1873" s="11"/>
      <c r="D1873" s="11"/>
      <c r="E1873" s="11" t="str">
        <f>IF(J1873="","", C1873 * IFERROR(VLOOKUP(J1873, SETUP!$A:$D, 3, FALSE), 0))</f>
        <v/>
      </c>
      <c r="F1873" s="11" t="str">
        <f>IF(J1873="","", C1873 * IFERROR(VLOOKUP(J1873, SETUP!$A:$D, 4, FALSE), 0))</f>
        <v/>
      </c>
      <c r="G1873" s="11" t="str">
        <f t="shared" si="1"/>
        <v/>
      </c>
      <c r="H1873" s="22"/>
      <c r="I1873" s="11"/>
      <c r="J1873" s="17" t="str">
        <f>IF(TRIM(B1873)="","",IF(ISNUMBER(SEARCH(" - ",B1873)),TRIM(RIGHT(B1873,LEN(B1873)-FIND(" - ",B1873)-2)),IFERROR(VLOOKUP(UPPER(TRIM(B1873)), SETUP!$B$4:$C$11, 2, FALSE), UPPER(TRIM(B1873)))))</f>
        <v/>
      </c>
      <c r="K1873" s="23" t="str">
        <f t="shared" si="2"/>
        <v/>
      </c>
      <c r="L1873" s="17" t="str">
        <f t="shared" si="3"/>
        <v/>
      </c>
      <c r="M1873" s="17" t="str">
        <f t="shared" si="4"/>
        <v/>
      </c>
    </row>
    <row r="1874" ht="15.75" customHeight="1">
      <c r="A1874" s="12"/>
      <c r="B1874" s="11"/>
      <c r="C1874" s="11"/>
      <c r="D1874" s="11"/>
      <c r="E1874" s="11" t="str">
        <f>IF(J1874="","", C1874 * IFERROR(VLOOKUP(J1874, SETUP!$A:$D, 3, FALSE), 0))</f>
        <v/>
      </c>
      <c r="F1874" s="11" t="str">
        <f>IF(J1874="","", C1874 * IFERROR(VLOOKUP(J1874, SETUP!$A:$D, 4, FALSE), 0))</f>
        <v/>
      </c>
      <c r="G1874" s="11" t="str">
        <f t="shared" si="1"/>
        <v/>
      </c>
      <c r="H1874" s="22"/>
      <c r="I1874" s="11"/>
      <c r="J1874" s="17" t="str">
        <f>IF(TRIM(B1874)="","",IF(ISNUMBER(SEARCH(" - ",B1874)),TRIM(RIGHT(B1874,LEN(B1874)-FIND(" - ",B1874)-2)),IFERROR(VLOOKUP(UPPER(TRIM(B1874)), SETUP!$B$4:$C$11, 2, FALSE), UPPER(TRIM(B1874)))))</f>
        <v/>
      </c>
      <c r="K1874" s="23" t="str">
        <f t="shared" si="2"/>
        <v/>
      </c>
      <c r="L1874" s="17" t="str">
        <f t="shared" si="3"/>
        <v/>
      </c>
      <c r="M1874" s="17" t="str">
        <f t="shared" si="4"/>
        <v/>
      </c>
    </row>
    <row r="1875" ht="15.75" customHeight="1">
      <c r="A1875" s="12"/>
      <c r="B1875" s="11"/>
      <c r="C1875" s="11"/>
      <c r="D1875" s="11"/>
      <c r="E1875" s="11" t="str">
        <f>IF(J1875="","", C1875 * IFERROR(VLOOKUP(J1875, SETUP!$A:$D, 3, FALSE), 0))</f>
        <v/>
      </c>
      <c r="F1875" s="11" t="str">
        <f>IF(J1875="","", C1875 * IFERROR(VLOOKUP(J1875, SETUP!$A:$D, 4, FALSE), 0))</f>
        <v/>
      </c>
      <c r="G1875" s="11" t="str">
        <f t="shared" si="1"/>
        <v/>
      </c>
      <c r="H1875" s="22"/>
      <c r="I1875" s="11"/>
      <c r="J1875" s="17" t="str">
        <f>IF(TRIM(B1875)="","",IF(ISNUMBER(SEARCH(" - ",B1875)),TRIM(RIGHT(B1875,LEN(B1875)-FIND(" - ",B1875)-2)),IFERROR(VLOOKUP(UPPER(TRIM(B1875)), SETUP!$B$4:$C$11, 2, FALSE), UPPER(TRIM(B1875)))))</f>
        <v/>
      </c>
      <c r="K1875" s="23" t="str">
        <f t="shared" si="2"/>
        <v/>
      </c>
      <c r="L1875" s="17" t="str">
        <f t="shared" si="3"/>
        <v/>
      </c>
      <c r="M1875" s="17" t="str">
        <f t="shared" si="4"/>
        <v/>
      </c>
    </row>
    <row r="1876" ht="15.75" customHeight="1">
      <c r="A1876" s="12"/>
      <c r="B1876" s="11"/>
      <c r="C1876" s="11"/>
      <c r="D1876" s="11"/>
      <c r="E1876" s="11" t="str">
        <f>IF(J1876="","", C1876 * IFERROR(VLOOKUP(J1876, SETUP!$A:$D, 3, FALSE), 0))</f>
        <v/>
      </c>
      <c r="F1876" s="11" t="str">
        <f>IF(J1876="","", C1876 * IFERROR(VLOOKUP(J1876, SETUP!$A:$D, 4, FALSE), 0))</f>
        <v/>
      </c>
      <c r="G1876" s="11" t="str">
        <f t="shared" si="1"/>
        <v/>
      </c>
      <c r="H1876" s="22"/>
      <c r="I1876" s="11"/>
      <c r="J1876" s="17" t="str">
        <f>IF(TRIM(B1876)="","",IF(ISNUMBER(SEARCH(" - ",B1876)),TRIM(RIGHT(B1876,LEN(B1876)-FIND(" - ",B1876)-2)),IFERROR(VLOOKUP(UPPER(TRIM(B1876)), SETUP!$B$4:$C$11, 2, FALSE), UPPER(TRIM(B1876)))))</f>
        <v/>
      </c>
      <c r="K1876" s="23" t="str">
        <f t="shared" si="2"/>
        <v/>
      </c>
      <c r="L1876" s="17" t="str">
        <f t="shared" si="3"/>
        <v/>
      </c>
      <c r="M1876" s="17" t="str">
        <f t="shared" si="4"/>
        <v/>
      </c>
    </row>
    <row r="1877" ht="15.75" customHeight="1">
      <c r="A1877" s="12"/>
      <c r="B1877" s="11"/>
      <c r="C1877" s="11"/>
      <c r="D1877" s="11"/>
      <c r="E1877" s="11" t="str">
        <f>IF(J1877="","", C1877 * IFERROR(VLOOKUP(J1877, SETUP!$A:$D, 3, FALSE), 0))</f>
        <v/>
      </c>
      <c r="F1877" s="11" t="str">
        <f>IF(J1877="","", C1877 * IFERROR(VLOOKUP(J1877, SETUP!$A:$D, 4, FALSE), 0))</f>
        <v/>
      </c>
      <c r="G1877" s="11" t="str">
        <f t="shared" si="1"/>
        <v/>
      </c>
      <c r="H1877" s="22"/>
      <c r="I1877" s="11"/>
      <c r="J1877" s="17" t="str">
        <f>IF(TRIM(B1877)="","",IF(ISNUMBER(SEARCH(" - ",B1877)),TRIM(RIGHT(B1877,LEN(B1877)-FIND(" - ",B1877)-2)),IFERROR(VLOOKUP(UPPER(TRIM(B1877)), SETUP!$B$4:$C$11, 2, FALSE), UPPER(TRIM(B1877)))))</f>
        <v/>
      </c>
      <c r="K1877" s="23" t="str">
        <f t="shared" si="2"/>
        <v/>
      </c>
      <c r="L1877" s="17" t="str">
        <f t="shared" si="3"/>
        <v/>
      </c>
      <c r="M1877" s="17" t="str">
        <f t="shared" si="4"/>
        <v/>
      </c>
    </row>
    <row r="1878" ht="15.75" customHeight="1">
      <c r="A1878" s="12"/>
      <c r="B1878" s="11"/>
      <c r="C1878" s="11"/>
      <c r="D1878" s="11"/>
      <c r="E1878" s="11" t="str">
        <f>IF(J1878="","", C1878 * IFERROR(VLOOKUP(J1878, SETUP!$A:$D, 3, FALSE), 0))</f>
        <v/>
      </c>
      <c r="F1878" s="11" t="str">
        <f>IF(J1878="","", C1878 * IFERROR(VLOOKUP(J1878, SETUP!$A:$D, 4, FALSE), 0))</f>
        <v/>
      </c>
      <c r="G1878" s="11" t="str">
        <f t="shared" si="1"/>
        <v/>
      </c>
      <c r="H1878" s="22"/>
      <c r="I1878" s="11"/>
      <c r="J1878" s="17" t="str">
        <f>IF(TRIM(B1878)="","",IF(ISNUMBER(SEARCH(" - ",B1878)),TRIM(RIGHT(B1878,LEN(B1878)-FIND(" - ",B1878)-2)),IFERROR(VLOOKUP(UPPER(TRIM(B1878)), SETUP!$B$4:$C$11, 2, FALSE), UPPER(TRIM(B1878)))))</f>
        <v/>
      </c>
      <c r="K1878" s="23" t="str">
        <f t="shared" si="2"/>
        <v/>
      </c>
      <c r="L1878" s="17" t="str">
        <f t="shared" si="3"/>
        <v/>
      </c>
      <c r="M1878" s="17" t="str">
        <f t="shared" si="4"/>
        <v/>
      </c>
    </row>
    <row r="1879" ht="15.75" customHeight="1">
      <c r="A1879" s="12"/>
      <c r="B1879" s="11"/>
      <c r="C1879" s="11"/>
      <c r="D1879" s="11"/>
      <c r="E1879" s="11" t="str">
        <f>IF(J1879="","", C1879 * IFERROR(VLOOKUP(J1879, SETUP!$A:$D, 3, FALSE), 0))</f>
        <v/>
      </c>
      <c r="F1879" s="11" t="str">
        <f>IF(J1879="","", C1879 * IFERROR(VLOOKUP(J1879, SETUP!$A:$D, 4, FALSE), 0))</f>
        <v/>
      </c>
      <c r="G1879" s="11" t="str">
        <f t="shared" si="1"/>
        <v/>
      </c>
      <c r="H1879" s="22"/>
      <c r="I1879" s="11"/>
      <c r="J1879" s="17" t="str">
        <f>IF(TRIM(B1879)="","",IF(ISNUMBER(SEARCH(" - ",B1879)),TRIM(RIGHT(B1879,LEN(B1879)-FIND(" - ",B1879)-2)),IFERROR(VLOOKUP(UPPER(TRIM(B1879)), SETUP!$B$4:$C$11, 2, FALSE), UPPER(TRIM(B1879)))))</f>
        <v/>
      </c>
      <c r="K1879" s="23" t="str">
        <f t="shared" si="2"/>
        <v/>
      </c>
      <c r="L1879" s="17" t="str">
        <f t="shared" si="3"/>
        <v/>
      </c>
      <c r="M1879" s="17" t="str">
        <f t="shared" si="4"/>
        <v/>
      </c>
    </row>
    <row r="1880" ht="15.75" customHeight="1">
      <c r="A1880" s="12"/>
      <c r="B1880" s="11"/>
      <c r="C1880" s="11"/>
      <c r="D1880" s="11"/>
      <c r="E1880" s="11" t="str">
        <f>IF(J1880="","", C1880 * IFERROR(VLOOKUP(J1880, SETUP!$A:$D, 3, FALSE), 0))</f>
        <v/>
      </c>
      <c r="F1880" s="11" t="str">
        <f>IF(J1880="","", C1880 * IFERROR(VLOOKUP(J1880, SETUP!$A:$D, 4, FALSE), 0))</f>
        <v/>
      </c>
      <c r="G1880" s="11" t="str">
        <f t="shared" si="1"/>
        <v/>
      </c>
      <c r="H1880" s="22"/>
      <c r="I1880" s="11"/>
      <c r="J1880" s="17" t="str">
        <f>IF(TRIM(B1880)="","",IF(ISNUMBER(SEARCH(" - ",B1880)),TRIM(RIGHT(B1880,LEN(B1880)-FIND(" - ",B1880)-2)),IFERROR(VLOOKUP(UPPER(TRIM(B1880)), SETUP!$B$4:$C$11, 2, FALSE), UPPER(TRIM(B1880)))))</f>
        <v/>
      </c>
      <c r="K1880" s="23" t="str">
        <f t="shared" si="2"/>
        <v/>
      </c>
      <c r="L1880" s="17" t="str">
        <f t="shared" si="3"/>
        <v/>
      </c>
      <c r="M1880" s="17" t="str">
        <f t="shared" si="4"/>
        <v/>
      </c>
    </row>
    <row r="1881" ht="15.75" customHeight="1">
      <c r="A1881" s="12"/>
      <c r="B1881" s="11"/>
      <c r="C1881" s="11"/>
      <c r="D1881" s="11"/>
      <c r="E1881" s="11" t="str">
        <f>IF(J1881="","", C1881 * IFERROR(VLOOKUP(J1881, SETUP!$A:$D, 3, FALSE), 0))</f>
        <v/>
      </c>
      <c r="F1881" s="11" t="str">
        <f>IF(J1881="","", C1881 * IFERROR(VLOOKUP(J1881, SETUP!$A:$D, 4, FALSE), 0))</f>
        <v/>
      </c>
      <c r="G1881" s="11" t="str">
        <f t="shared" si="1"/>
        <v/>
      </c>
      <c r="H1881" s="22"/>
      <c r="I1881" s="11"/>
      <c r="J1881" s="17" t="str">
        <f>IF(TRIM(B1881)="","",IF(ISNUMBER(SEARCH(" - ",B1881)),TRIM(RIGHT(B1881,LEN(B1881)-FIND(" - ",B1881)-2)),IFERROR(VLOOKUP(UPPER(TRIM(B1881)), SETUP!$B$4:$C$11, 2, FALSE), UPPER(TRIM(B1881)))))</f>
        <v/>
      </c>
      <c r="K1881" s="23" t="str">
        <f t="shared" si="2"/>
        <v/>
      </c>
      <c r="L1881" s="17" t="str">
        <f t="shared" si="3"/>
        <v/>
      </c>
      <c r="M1881" s="17" t="str">
        <f t="shared" si="4"/>
        <v/>
      </c>
    </row>
    <row r="1882" ht="15.75" customHeight="1">
      <c r="A1882" s="12"/>
      <c r="B1882" s="11"/>
      <c r="C1882" s="11"/>
      <c r="D1882" s="11"/>
      <c r="E1882" s="11" t="str">
        <f>IF(J1882="","", C1882 * IFERROR(VLOOKUP(J1882, SETUP!$A:$D, 3, FALSE), 0))</f>
        <v/>
      </c>
      <c r="F1882" s="11" t="str">
        <f>IF(J1882="","", C1882 * IFERROR(VLOOKUP(J1882, SETUP!$A:$D, 4, FALSE), 0))</f>
        <v/>
      </c>
      <c r="G1882" s="11" t="str">
        <f t="shared" si="1"/>
        <v/>
      </c>
      <c r="H1882" s="22"/>
      <c r="I1882" s="11"/>
      <c r="J1882" s="17" t="str">
        <f>IF(TRIM(B1882)="","",IF(ISNUMBER(SEARCH(" - ",B1882)),TRIM(RIGHT(B1882,LEN(B1882)-FIND(" - ",B1882)-2)),IFERROR(VLOOKUP(UPPER(TRIM(B1882)), SETUP!$B$4:$C$11, 2, FALSE), UPPER(TRIM(B1882)))))</f>
        <v/>
      </c>
      <c r="K1882" s="23" t="str">
        <f t="shared" si="2"/>
        <v/>
      </c>
      <c r="L1882" s="17" t="str">
        <f t="shared" si="3"/>
        <v/>
      </c>
      <c r="M1882" s="17" t="str">
        <f t="shared" si="4"/>
        <v/>
      </c>
    </row>
    <row r="1883" ht="15.75" customHeight="1">
      <c r="A1883" s="12"/>
      <c r="B1883" s="11"/>
      <c r="C1883" s="11"/>
      <c r="D1883" s="11"/>
      <c r="E1883" s="11" t="str">
        <f>IF(J1883="","", C1883 * IFERROR(VLOOKUP(J1883, SETUP!$A:$D, 3, FALSE), 0))</f>
        <v/>
      </c>
      <c r="F1883" s="11" t="str">
        <f>IF(J1883="","", C1883 * IFERROR(VLOOKUP(J1883, SETUP!$A:$D, 4, FALSE), 0))</f>
        <v/>
      </c>
      <c r="G1883" s="11" t="str">
        <f t="shared" si="1"/>
        <v/>
      </c>
      <c r="H1883" s="22"/>
      <c r="I1883" s="11"/>
      <c r="J1883" s="17" t="str">
        <f>IF(TRIM(B1883)="","",IF(ISNUMBER(SEARCH(" - ",B1883)),TRIM(RIGHT(B1883,LEN(B1883)-FIND(" - ",B1883)-2)),IFERROR(VLOOKUP(UPPER(TRIM(B1883)), SETUP!$B$4:$C$11, 2, FALSE), UPPER(TRIM(B1883)))))</f>
        <v/>
      </c>
      <c r="K1883" s="23" t="str">
        <f t="shared" si="2"/>
        <v/>
      </c>
      <c r="L1883" s="17" t="str">
        <f t="shared" si="3"/>
        <v/>
      </c>
      <c r="M1883" s="17" t="str">
        <f t="shared" si="4"/>
        <v/>
      </c>
    </row>
    <row r="1884" ht="15.75" customHeight="1">
      <c r="A1884" s="12"/>
      <c r="B1884" s="11"/>
      <c r="C1884" s="11"/>
      <c r="D1884" s="11"/>
      <c r="E1884" s="11" t="str">
        <f>IF(J1884="","", C1884 * IFERROR(VLOOKUP(J1884, SETUP!$A:$D, 3, FALSE), 0))</f>
        <v/>
      </c>
      <c r="F1884" s="11" t="str">
        <f>IF(J1884="","", C1884 * IFERROR(VLOOKUP(J1884, SETUP!$A:$D, 4, FALSE), 0))</f>
        <v/>
      </c>
      <c r="G1884" s="11" t="str">
        <f t="shared" si="1"/>
        <v/>
      </c>
      <c r="H1884" s="22"/>
      <c r="I1884" s="11"/>
      <c r="J1884" s="17" t="str">
        <f>IF(TRIM(B1884)="","",IF(ISNUMBER(SEARCH(" - ",B1884)),TRIM(RIGHT(B1884,LEN(B1884)-FIND(" - ",B1884)-2)),IFERROR(VLOOKUP(UPPER(TRIM(B1884)), SETUP!$B$4:$C$11, 2, FALSE), UPPER(TRIM(B1884)))))</f>
        <v/>
      </c>
      <c r="K1884" s="23" t="str">
        <f t="shared" si="2"/>
        <v/>
      </c>
      <c r="L1884" s="17" t="str">
        <f t="shared" si="3"/>
        <v/>
      </c>
      <c r="M1884" s="17" t="str">
        <f t="shared" si="4"/>
        <v/>
      </c>
    </row>
    <row r="1885" ht="15.75" customHeight="1">
      <c r="A1885" s="12"/>
      <c r="B1885" s="11"/>
      <c r="C1885" s="11"/>
      <c r="D1885" s="11"/>
      <c r="E1885" s="11" t="str">
        <f>IF(J1885="","", C1885 * IFERROR(VLOOKUP(J1885, SETUP!$A:$D, 3, FALSE), 0))</f>
        <v/>
      </c>
      <c r="F1885" s="11" t="str">
        <f>IF(J1885="","", C1885 * IFERROR(VLOOKUP(J1885, SETUP!$A:$D, 4, FALSE), 0))</f>
        <v/>
      </c>
      <c r="G1885" s="11" t="str">
        <f t="shared" si="1"/>
        <v/>
      </c>
      <c r="H1885" s="22"/>
      <c r="I1885" s="11"/>
      <c r="J1885" s="17" t="str">
        <f>IF(TRIM(B1885)="","",IF(ISNUMBER(SEARCH(" - ",B1885)),TRIM(RIGHT(B1885,LEN(B1885)-FIND(" - ",B1885)-2)),IFERROR(VLOOKUP(UPPER(TRIM(B1885)), SETUP!$B$4:$C$11, 2, FALSE), UPPER(TRIM(B1885)))))</f>
        <v/>
      </c>
      <c r="K1885" s="23" t="str">
        <f t="shared" si="2"/>
        <v/>
      </c>
      <c r="L1885" s="17" t="str">
        <f t="shared" si="3"/>
        <v/>
      </c>
      <c r="M1885" s="17" t="str">
        <f t="shared" si="4"/>
        <v/>
      </c>
    </row>
    <row r="1886" ht="15.75" customHeight="1">
      <c r="A1886" s="12"/>
      <c r="B1886" s="11"/>
      <c r="C1886" s="11"/>
      <c r="D1886" s="11"/>
      <c r="E1886" s="11" t="str">
        <f>IF(J1886="","", C1886 * IFERROR(VLOOKUP(J1886, SETUP!$A:$D, 3, FALSE), 0))</f>
        <v/>
      </c>
      <c r="F1886" s="11" t="str">
        <f>IF(J1886="","", C1886 * IFERROR(VLOOKUP(J1886, SETUP!$A:$D, 4, FALSE), 0))</f>
        <v/>
      </c>
      <c r="G1886" s="11" t="str">
        <f t="shared" si="1"/>
        <v/>
      </c>
      <c r="H1886" s="22"/>
      <c r="I1886" s="11"/>
      <c r="J1886" s="17" t="str">
        <f>IF(TRIM(B1886)="","",IF(ISNUMBER(SEARCH(" - ",B1886)),TRIM(RIGHT(B1886,LEN(B1886)-FIND(" - ",B1886)-2)),IFERROR(VLOOKUP(UPPER(TRIM(B1886)), SETUP!$B$4:$C$11, 2, FALSE), UPPER(TRIM(B1886)))))</f>
        <v/>
      </c>
      <c r="K1886" s="23" t="str">
        <f t="shared" si="2"/>
        <v/>
      </c>
      <c r="L1886" s="17" t="str">
        <f t="shared" si="3"/>
        <v/>
      </c>
      <c r="M1886" s="17" t="str">
        <f t="shared" si="4"/>
        <v/>
      </c>
    </row>
    <row r="1887" ht="15.75" customHeight="1">
      <c r="A1887" s="12"/>
      <c r="B1887" s="11"/>
      <c r="C1887" s="11"/>
      <c r="D1887" s="11"/>
      <c r="E1887" s="11" t="str">
        <f>IF(J1887="","", C1887 * IFERROR(VLOOKUP(J1887, SETUP!$A:$D, 3, FALSE), 0))</f>
        <v/>
      </c>
      <c r="F1887" s="11" t="str">
        <f>IF(J1887="","", C1887 * IFERROR(VLOOKUP(J1887, SETUP!$A:$D, 4, FALSE), 0))</f>
        <v/>
      </c>
      <c r="G1887" s="11" t="str">
        <f t="shared" si="1"/>
        <v/>
      </c>
      <c r="H1887" s="22"/>
      <c r="I1887" s="11"/>
      <c r="J1887" s="17" t="str">
        <f>IF(TRIM(B1887)="","",IF(ISNUMBER(SEARCH(" - ",B1887)),TRIM(RIGHT(B1887,LEN(B1887)-FIND(" - ",B1887)-2)),IFERROR(VLOOKUP(UPPER(TRIM(B1887)), SETUP!$B$4:$C$11, 2, FALSE), UPPER(TRIM(B1887)))))</f>
        <v/>
      </c>
      <c r="K1887" s="23" t="str">
        <f t="shared" si="2"/>
        <v/>
      </c>
      <c r="L1887" s="17" t="str">
        <f t="shared" si="3"/>
        <v/>
      </c>
      <c r="M1887" s="17" t="str">
        <f t="shared" si="4"/>
        <v/>
      </c>
    </row>
    <row r="1888" ht="15.75" customHeight="1">
      <c r="A1888" s="12"/>
      <c r="B1888" s="11"/>
      <c r="C1888" s="11"/>
      <c r="D1888" s="11"/>
      <c r="E1888" s="11" t="str">
        <f>IF(J1888="","", C1888 * IFERROR(VLOOKUP(J1888, SETUP!$A:$D, 3, FALSE), 0))</f>
        <v/>
      </c>
      <c r="F1888" s="11" t="str">
        <f>IF(J1888="","", C1888 * IFERROR(VLOOKUP(J1888, SETUP!$A:$D, 4, FALSE), 0))</f>
        <v/>
      </c>
      <c r="G1888" s="11" t="str">
        <f t="shared" si="1"/>
        <v/>
      </c>
      <c r="H1888" s="22"/>
      <c r="I1888" s="11"/>
      <c r="J1888" s="17" t="str">
        <f>IF(TRIM(B1888)="","",IF(ISNUMBER(SEARCH(" - ",B1888)),TRIM(RIGHT(B1888,LEN(B1888)-FIND(" - ",B1888)-2)),IFERROR(VLOOKUP(UPPER(TRIM(B1888)), SETUP!$B$4:$C$11, 2, FALSE), UPPER(TRIM(B1888)))))</f>
        <v/>
      </c>
      <c r="K1888" s="23" t="str">
        <f t="shared" si="2"/>
        <v/>
      </c>
      <c r="L1888" s="17" t="str">
        <f t="shared" si="3"/>
        <v/>
      </c>
      <c r="M1888" s="17" t="str">
        <f t="shared" si="4"/>
        <v/>
      </c>
    </row>
    <row r="1889" ht="15.75" customHeight="1">
      <c r="A1889" s="12"/>
      <c r="B1889" s="11"/>
      <c r="C1889" s="11"/>
      <c r="D1889" s="11"/>
      <c r="E1889" s="11" t="str">
        <f>IF(J1889="","", C1889 * IFERROR(VLOOKUP(J1889, SETUP!$A:$D, 3, FALSE), 0))</f>
        <v/>
      </c>
      <c r="F1889" s="11" t="str">
        <f>IF(J1889="","", C1889 * IFERROR(VLOOKUP(J1889, SETUP!$A:$D, 4, FALSE), 0))</f>
        <v/>
      </c>
      <c r="G1889" s="11" t="str">
        <f t="shared" si="1"/>
        <v/>
      </c>
      <c r="H1889" s="22"/>
      <c r="I1889" s="11"/>
      <c r="J1889" s="17" t="str">
        <f>IF(TRIM(B1889)="","",IF(ISNUMBER(SEARCH(" - ",B1889)),TRIM(RIGHT(B1889,LEN(B1889)-FIND(" - ",B1889)-2)),IFERROR(VLOOKUP(UPPER(TRIM(B1889)), SETUP!$B$4:$C$11, 2, FALSE), UPPER(TRIM(B1889)))))</f>
        <v/>
      </c>
      <c r="K1889" s="23" t="str">
        <f t="shared" si="2"/>
        <v/>
      </c>
      <c r="L1889" s="17" t="str">
        <f t="shared" si="3"/>
        <v/>
      </c>
      <c r="M1889" s="17" t="str">
        <f t="shared" si="4"/>
        <v/>
      </c>
    </row>
    <row r="1890" ht="15.75" customHeight="1">
      <c r="A1890" s="12"/>
      <c r="B1890" s="11"/>
      <c r="C1890" s="11"/>
      <c r="D1890" s="11"/>
      <c r="E1890" s="11" t="str">
        <f>IF(J1890="","", C1890 * IFERROR(VLOOKUP(J1890, SETUP!$A:$D, 3, FALSE), 0))</f>
        <v/>
      </c>
      <c r="F1890" s="11" t="str">
        <f>IF(J1890="","", C1890 * IFERROR(VLOOKUP(J1890, SETUP!$A:$D, 4, FALSE), 0))</f>
        <v/>
      </c>
      <c r="G1890" s="11" t="str">
        <f t="shared" si="1"/>
        <v/>
      </c>
      <c r="H1890" s="22"/>
      <c r="I1890" s="11"/>
      <c r="J1890" s="17" t="str">
        <f>IF(TRIM(B1890)="","",IF(ISNUMBER(SEARCH(" - ",B1890)),TRIM(RIGHT(B1890,LEN(B1890)-FIND(" - ",B1890)-2)),IFERROR(VLOOKUP(UPPER(TRIM(B1890)), SETUP!$B$4:$C$11, 2, FALSE), UPPER(TRIM(B1890)))))</f>
        <v/>
      </c>
      <c r="K1890" s="23" t="str">
        <f t="shared" si="2"/>
        <v/>
      </c>
      <c r="L1890" s="17" t="str">
        <f t="shared" si="3"/>
        <v/>
      </c>
      <c r="M1890" s="17" t="str">
        <f t="shared" si="4"/>
        <v/>
      </c>
    </row>
    <row r="1891" ht="15.75" customHeight="1">
      <c r="A1891" s="12"/>
      <c r="B1891" s="11"/>
      <c r="C1891" s="11"/>
      <c r="D1891" s="11"/>
      <c r="E1891" s="11" t="str">
        <f>IF(J1891="","", C1891 * IFERROR(VLOOKUP(J1891, SETUP!$A:$D, 3, FALSE), 0))</f>
        <v/>
      </c>
      <c r="F1891" s="11" t="str">
        <f>IF(J1891="","", C1891 * IFERROR(VLOOKUP(J1891, SETUP!$A:$D, 4, FALSE), 0))</f>
        <v/>
      </c>
      <c r="G1891" s="11" t="str">
        <f t="shared" si="1"/>
        <v/>
      </c>
      <c r="H1891" s="22"/>
      <c r="I1891" s="11"/>
      <c r="J1891" s="17" t="str">
        <f>IF(TRIM(B1891)="","",IF(ISNUMBER(SEARCH(" - ",B1891)),TRIM(RIGHT(B1891,LEN(B1891)-FIND(" - ",B1891)-2)),IFERROR(VLOOKUP(UPPER(TRIM(B1891)), SETUP!$B$4:$C$11, 2, FALSE), UPPER(TRIM(B1891)))))</f>
        <v/>
      </c>
      <c r="K1891" s="23" t="str">
        <f t="shared" si="2"/>
        <v/>
      </c>
      <c r="L1891" s="17" t="str">
        <f t="shared" si="3"/>
        <v/>
      </c>
      <c r="M1891" s="17" t="str">
        <f t="shared" si="4"/>
        <v/>
      </c>
    </row>
    <row r="1892" ht="15.75" customHeight="1">
      <c r="A1892" s="12"/>
      <c r="B1892" s="11"/>
      <c r="C1892" s="11"/>
      <c r="D1892" s="11"/>
      <c r="E1892" s="11" t="str">
        <f>IF(J1892="","", C1892 * IFERROR(VLOOKUP(J1892, SETUP!$A:$D, 3, FALSE), 0))</f>
        <v/>
      </c>
      <c r="F1892" s="11" t="str">
        <f>IF(J1892="","", C1892 * IFERROR(VLOOKUP(J1892, SETUP!$A:$D, 4, FALSE), 0))</f>
        <v/>
      </c>
      <c r="G1892" s="11" t="str">
        <f t="shared" si="1"/>
        <v/>
      </c>
      <c r="H1892" s="22"/>
      <c r="I1892" s="11"/>
      <c r="J1892" s="17" t="str">
        <f>IF(TRIM(B1892)="","",IF(ISNUMBER(SEARCH(" - ",B1892)),TRIM(RIGHT(B1892,LEN(B1892)-FIND(" - ",B1892)-2)),IFERROR(VLOOKUP(UPPER(TRIM(B1892)), SETUP!$B$4:$C$11, 2, FALSE), UPPER(TRIM(B1892)))))</f>
        <v/>
      </c>
      <c r="K1892" s="23" t="str">
        <f t="shared" si="2"/>
        <v/>
      </c>
      <c r="L1892" s="17" t="str">
        <f t="shared" si="3"/>
        <v/>
      </c>
      <c r="M1892" s="17" t="str">
        <f t="shared" si="4"/>
        <v/>
      </c>
    </row>
    <row r="1893" ht="15.75" customHeight="1">
      <c r="A1893" s="12"/>
      <c r="B1893" s="11"/>
      <c r="C1893" s="11"/>
      <c r="D1893" s="11"/>
      <c r="E1893" s="11" t="str">
        <f>IF(J1893="","", C1893 * IFERROR(VLOOKUP(J1893, SETUP!$A:$D, 3, FALSE), 0))</f>
        <v/>
      </c>
      <c r="F1893" s="11" t="str">
        <f>IF(J1893="","", C1893 * IFERROR(VLOOKUP(J1893, SETUP!$A:$D, 4, FALSE), 0))</f>
        <v/>
      </c>
      <c r="G1893" s="11" t="str">
        <f t="shared" si="1"/>
        <v/>
      </c>
      <c r="H1893" s="22"/>
      <c r="I1893" s="11"/>
      <c r="J1893" s="17" t="str">
        <f>IF(TRIM(B1893)="","",IF(ISNUMBER(SEARCH(" - ",B1893)),TRIM(RIGHT(B1893,LEN(B1893)-FIND(" - ",B1893)-2)),IFERROR(VLOOKUP(UPPER(TRIM(B1893)), SETUP!$B$4:$C$11, 2, FALSE), UPPER(TRIM(B1893)))))</f>
        <v/>
      </c>
      <c r="K1893" s="23" t="str">
        <f t="shared" si="2"/>
        <v/>
      </c>
      <c r="L1893" s="17" t="str">
        <f t="shared" si="3"/>
        <v/>
      </c>
      <c r="M1893" s="17" t="str">
        <f t="shared" si="4"/>
        <v/>
      </c>
    </row>
    <row r="1894" ht="15.75" customHeight="1">
      <c r="A1894" s="12"/>
      <c r="B1894" s="11"/>
      <c r="C1894" s="11"/>
      <c r="D1894" s="11"/>
      <c r="E1894" s="11" t="str">
        <f>IF(J1894="","", C1894 * IFERROR(VLOOKUP(J1894, SETUP!$A:$D, 3, FALSE), 0))</f>
        <v/>
      </c>
      <c r="F1894" s="11" t="str">
        <f>IF(J1894="","", C1894 * IFERROR(VLOOKUP(J1894, SETUP!$A:$D, 4, FALSE), 0))</f>
        <v/>
      </c>
      <c r="G1894" s="11" t="str">
        <f t="shared" si="1"/>
        <v/>
      </c>
      <c r="H1894" s="22"/>
      <c r="I1894" s="11"/>
      <c r="J1894" s="17" t="str">
        <f>IF(TRIM(B1894)="","",IF(ISNUMBER(SEARCH(" - ",B1894)),TRIM(RIGHT(B1894,LEN(B1894)-FIND(" - ",B1894)-2)),IFERROR(VLOOKUP(UPPER(TRIM(B1894)), SETUP!$B$4:$C$11, 2, FALSE), UPPER(TRIM(B1894)))))</f>
        <v/>
      </c>
      <c r="K1894" s="23" t="str">
        <f t="shared" si="2"/>
        <v/>
      </c>
      <c r="L1894" s="17" t="str">
        <f t="shared" si="3"/>
        <v/>
      </c>
      <c r="M1894" s="17" t="str">
        <f t="shared" si="4"/>
        <v/>
      </c>
    </row>
    <row r="1895" ht="15.75" customHeight="1">
      <c r="A1895" s="12"/>
      <c r="B1895" s="11"/>
      <c r="C1895" s="11"/>
      <c r="D1895" s="11"/>
      <c r="E1895" s="11" t="str">
        <f>IF(J1895="","", C1895 * IFERROR(VLOOKUP(J1895, SETUP!$A:$D, 3, FALSE), 0))</f>
        <v/>
      </c>
      <c r="F1895" s="11" t="str">
        <f>IF(J1895="","", C1895 * IFERROR(VLOOKUP(J1895, SETUP!$A:$D, 4, FALSE), 0))</f>
        <v/>
      </c>
      <c r="G1895" s="11" t="str">
        <f t="shared" si="1"/>
        <v/>
      </c>
      <c r="H1895" s="22"/>
      <c r="I1895" s="11"/>
      <c r="J1895" s="17" t="str">
        <f>IF(TRIM(B1895)="","",IF(ISNUMBER(SEARCH(" - ",B1895)),TRIM(RIGHT(B1895,LEN(B1895)-FIND(" - ",B1895)-2)),IFERROR(VLOOKUP(UPPER(TRIM(B1895)), SETUP!$B$4:$C$11, 2, FALSE), UPPER(TRIM(B1895)))))</f>
        <v/>
      </c>
      <c r="K1895" s="23" t="str">
        <f t="shared" si="2"/>
        <v/>
      </c>
      <c r="L1895" s="17" t="str">
        <f t="shared" si="3"/>
        <v/>
      </c>
      <c r="M1895" s="17" t="str">
        <f t="shared" si="4"/>
        <v/>
      </c>
    </row>
    <row r="1896" ht="15.75" customHeight="1">
      <c r="A1896" s="12"/>
      <c r="B1896" s="11"/>
      <c r="C1896" s="11"/>
      <c r="D1896" s="11"/>
      <c r="E1896" s="11" t="str">
        <f>IF(J1896="","", C1896 * IFERROR(VLOOKUP(J1896, SETUP!$A:$D, 3, FALSE), 0))</f>
        <v/>
      </c>
      <c r="F1896" s="11" t="str">
        <f>IF(J1896="","", C1896 * IFERROR(VLOOKUP(J1896, SETUP!$A:$D, 4, FALSE), 0))</f>
        <v/>
      </c>
      <c r="G1896" s="11" t="str">
        <f t="shared" si="1"/>
        <v/>
      </c>
      <c r="H1896" s="22"/>
      <c r="I1896" s="11"/>
      <c r="J1896" s="17" t="str">
        <f>IF(TRIM(B1896)="","",IF(ISNUMBER(SEARCH(" - ",B1896)),TRIM(RIGHT(B1896,LEN(B1896)-FIND(" - ",B1896)-2)),IFERROR(VLOOKUP(UPPER(TRIM(B1896)), SETUP!$B$4:$C$11, 2, FALSE), UPPER(TRIM(B1896)))))</f>
        <v/>
      </c>
      <c r="K1896" s="23" t="str">
        <f t="shared" si="2"/>
        <v/>
      </c>
      <c r="L1896" s="17" t="str">
        <f t="shared" si="3"/>
        <v/>
      </c>
      <c r="M1896" s="17" t="str">
        <f t="shared" si="4"/>
        <v/>
      </c>
    </row>
    <row r="1897" ht="15.75" customHeight="1">
      <c r="A1897" s="12"/>
      <c r="B1897" s="11"/>
      <c r="C1897" s="11"/>
      <c r="D1897" s="11"/>
      <c r="E1897" s="11" t="str">
        <f>IF(J1897="","", C1897 * IFERROR(VLOOKUP(J1897, SETUP!$A:$D, 3, FALSE), 0))</f>
        <v/>
      </c>
      <c r="F1897" s="11" t="str">
        <f>IF(J1897="","", C1897 * IFERROR(VLOOKUP(J1897, SETUP!$A:$D, 4, FALSE), 0))</f>
        <v/>
      </c>
      <c r="G1897" s="11" t="str">
        <f t="shared" si="1"/>
        <v/>
      </c>
      <c r="H1897" s="22"/>
      <c r="I1897" s="11"/>
      <c r="J1897" s="17" t="str">
        <f>IF(TRIM(B1897)="","",IF(ISNUMBER(SEARCH(" - ",B1897)),TRIM(RIGHT(B1897,LEN(B1897)-FIND(" - ",B1897)-2)),IFERROR(VLOOKUP(UPPER(TRIM(B1897)), SETUP!$B$4:$C$11, 2, FALSE), UPPER(TRIM(B1897)))))</f>
        <v/>
      </c>
      <c r="K1897" s="23" t="str">
        <f t="shared" si="2"/>
        <v/>
      </c>
      <c r="L1897" s="17" t="str">
        <f t="shared" si="3"/>
        <v/>
      </c>
      <c r="M1897" s="17" t="str">
        <f t="shared" si="4"/>
        <v/>
      </c>
    </row>
    <row r="1898" ht="15.75" customHeight="1">
      <c r="A1898" s="12"/>
      <c r="B1898" s="11"/>
      <c r="C1898" s="11"/>
      <c r="D1898" s="11"/>
      <c r="E1898" s="11" t="str">
        <f>IF(J1898="","", C1898 * IFERROR(VLOOKUP(J1898, SETUP!$A:$D, 3, FALSE), 0))</f>
        <v/>
      </c>
      <c r="F1898" s="11" t="str">
        <f>IF(J1898="","", C1898 * IFERROR(VLOOKUP(J1898, SETUP!$A:$D, 4, FALSE), 0))</f>
        <v/>
      </c>
      <c r="G1898" s="11" t="str">
        <f t="shared" si="1"/>
        <v/>
      </c>
      <c r="H1898" s="22"/>
      <c r="I1898" s="11"/>
      <c r="J1898" s="17" t="str">
        <f>IF(TRIM(B1898)="","",IF(ISNUMBER(SEARCH(" - ",B1898)),TRIM(RIGHT(B1898,LEN(B1898)-FIND(" - ",B1898)-2)),IFERROR(VLOOKUP(UPPER(TRIM(B1898)), SETUP!$B$4:$C$11, 2, FALSE), UPPER(TRIM(B1898)))))</f>
        <v/>
      </c>
      <c r="K1898" s="23" t="str">
        <f t="shared" si="2"/>
        <v/>
      </c>
      <c r="L1898" s="17" t="str">
        <f t="shared" si="3"/>
        <v/>
      </c>
      <c r="M1898" s="17" t="str">
        <f t="shared" si="4"/>
        <v/>
      </c>
    </row>
    <row r="1899" ht="15.75" customHeight="1">
      <c r="A1899" s="12"/>
      <c r="B1899" s="11"/>
      <c r="C1899" s="11"/>
      <c r="D1899" s="11"/>
      <c r="E1899" s="11" t="str">
        <f>IF(J1899="","", C1899 * IFERROR(VLOOKUP(J1899, SETUP!$A:$D, 3, FALSE), 0))</f>
        <v/>
      </c>
      <c r="F1899" s="11" t="str">
        <f>IF(J1899="","", C1899 * IFERROR(VLOOKUP(J1899, SETUP!$A:$D, 4, FALSE), 0))</f>
        <v/>
      </c>
      <c r="G1899" s="11" t="str">
        <f t="shared" si="1"/>
        <v/>
      </c>
      <c r="H1899" s="22"/>
      <c r="I1899" s="11"/>
      <c r="J1899" s="17" t="str">
        <f>IF(TRIM(B1899)="","",IF(ISNUMBER(SEARCH(" - ",B1899)),TRIM(RIGHT(B1899,LEN(B1899)-FIND(" - ",B1899)-2)),IFERROR(VLOOKUP(UPPER(TRIM(B1899)), SETUP!$B$4:$C$11, 2, FALSE), UPPER(TRIM(B1899)))))</f>
        <v/>
      </c>
      <c r="K1899" s="23" t="str">
        <f t="shared" si="2"/>
        <v/>
      </c>
      <c r="L1899" s="17" t="str">
        <f t="shared" si="3"/>
        <v/>
      </c>
      <c r="M1899" s="17" t="str">
        <f t="shared" si="4"/>
        <v/>
      </c>
    </row>
    <row r="1900" ht="15.75" customHeight="1">
      <c r="A1900" s="12"/>
      <c r="B1900" s="11"/>
      <c r="C1900" s="11"/>
      <c r="D1900" s="11"/>
      <c r="E1900" s="11" t="str">
        <f>IF(J1900="","", C1900 * IFERROR(VLOOKUP(J1900, SETUP!$A:$D, 3, FALSE), 0))</f>
        <v/>
      </c>
      <c r="F1900" s="11" t="str">
        <f>IF(J1900="","", C1900 * IFERROR(VLOOKUP(J1900, SETUP!$A:$D, 4, FALSE), 0))</f>
        <v/>
      </c>
      <c r="G1900" s="11" t="str">
        <f t="shared" si="1"/>
        <v/>
      </c>
      <c r="H1900" s="22"/>
      <c r="I1900" s="11"/>
      <c r="J1900" s="17" t="str">
        <f>IF(TRIM(B1900)="","",IF(ISNUMBER(SEARCH(" - ",B1900)),TRIM(RIGHT(B1900,LEN(B1900)-FIND(" - ",B1900)-2)),IFERROR(VLOOKUP(UPPER(TRIM(B1900)), SETUP!$B$4:$C$11, 2, FALSE), UPPER(TRIM(B1900)))))</f>
        <v/>
      </c>
      <c r="K1900" s="23" t="str">
        <f t="shared" si="2"/>
        <v/>
      </c>
      <c r="L1900" s="17" t="str">
        <f t="shared" si="3"/>
        <v/>
      </c>
      <c r="M1900" s="17" t="str">
        <f t="shared" si="4"/>
        <v/>
      </c>
    </row>
    <row r="1901" ht="15.75" customHeight="1">
      <c r="A1901" s="12"/>
      <c r="B1901" s="11"/>
      <c r="C1901" s="11"/>
      <c r="D1901" s="11"/>
      <c r="E1901" s="11" t="str">
        <f>IF(J1901="","", C1901 * IFERROR(VLOOKUP(J1901, SETUP!$A:$D, 3, FALSE), 0))</f>
        <v/>
      </c>
      <c r="F1901" s="11" t="str">
        <f>IF(J1901="","", C1901 * IFERROR(VLOOKUP(J1901, SETUP!$A:$D, 4, FALSE), 0))</f>
        <v/>
      </c>
      <c r="G1901" s="11" t="str">
        <f t="shared" si="1"/>
        <v/>
      </c>
      <c r="H1901" s="22"/>
      <c r="I1901" s="11"/>
      <c r="J1901" s="17" t="str">
        <f>IF(TRIM(B1901)="","",IF(ISNUMBER(SEARCH(" - ",B1901)),TRIM(RIGHT(B1901,LEN(B1901)-FIND(" - ",B1901)-2)),IFERROR(VLOOKUP(UPPER(TRIM(B1901)), SETUP!$B$4:$C$11, 2, FALSE), UPPER(TRIM(B1901)))))</f>
        <v/>
      </c>
      <c r="K1901" s="23" t="str">
        <f t="shared" si="2"/>
        <v/>
      </c>
      <c r="L1901" s="17" t="str">
        <f t="shared" si="3"/>
        <v/>
      </c>
      <c r="M1901" s="17" t="str">
        <f t="shared" si="4"/>
        <v/>
      </c>
    </row>
    <row r="1902" ht="15.75" customHeight="1">
      <c r="A1902" s="12"/>
      <c r="B1902" s="11"/>
      <c r="C1902" s="11"/>
      <c r="D1902" s="11"/>
      <c r="E1902" s="11" t="str">
        <f>IF(J1902="","", C1902 * IFERROR(VLOOKUP(J1902, SETUP!$A:$D, 3, FALSE), 0))</f>
        <v/>
      </c>
      <c r="F1902" s="11" t="str">
        <f>IF(J1902="","", C1902 * IFERROR(VLOOKUP(J1902, SETUP!$A:$D, 4, FALSE), 0))</f>
        <v/>
      </c>
      <c r="G1902" s="11" t="str">
        <f t="shared" si="1"/>
        <v/>
      </c>
      <c r="H1902" s="22"/>
      <c r="I1902" s="11"/>
      <c r="J1902" s="17" t="str">
        <f>IF(TRIM(B1902)="","",IF(ISNUMBER(SEARCH(" - ",B1902)),TRIM(RIGHT(B1902,LEN(B1902)-FIND(" - ",B1902)-2)),IFERROR(VLOOKUP(UPPER(TRIM(B1902)), SETUP!$B$4:$C$11, 2, FALSE), UPPER(TRIM(B1902)))))</f>
        <v/>
      </c>
      <c r="K1902" s="23" t="str">
        <f t="shared" si="2"/>
        <v/>
      </c>
      <c r="L1902" s="17" t="str">
        <f t="shared" si="3"/>
        <v/>
      </c>
      <c r="M1902" s="17" t="str">
        <f t="shared" si="4"/>
        <v/>
      </c>
    </row>
    <row r="1903" ht="15.75" customHeight="1">
      <c r="A1903" s="12"/>
      <c r="B1903" s="11"/>
      <c r="C1903" s="11"/>
      <c r="D1903" s="11"/>
      <c r="E1903" s="11" t="str">
        <f>IF(J1903="","", C1903 * IFERROR(VLOOKUP(J1903, SETUP!$A:$D, 3, FALSE), 0))</f>
        <v/>
      </c>
      <c r="F1903" s="11" t="str">
        <f>IF(J1903="","", C1903 * IFERROR(VLOOKUP(J1903, SETUP!$A:$D, 4, FALSE), 0))</f>
        <v/>
      </c>
      <c r="G1903" s="11" t="str">
        <f t="shared" si="1"/>
        <v/>
      </c>
      <c r="H1903" s="22"/>
      <c r="I1903" s="11"/>
      <c r="J1903" s="17" t="str">
        <f>IF(TRIM(B1903)="","",IF(ISNUMBER(SEARCH(" - ",B1903)),TRIM(RIGHT(B1903,LEN(B1903)-FIND(" - ",B1903)-2)),IFERROR(VLOOKUP(UPPER(TRIM(B1903)), SETUP!$B$4:$C$11, 2, FALSE), UPPER(TRIM(B1903)))))</f>
        <v/>
      </c>
      <c r="K1903" s="23" t="str">
        <f t="shared" si="2"/>
        <v/>
      </c>
      <c r="L1903" s="17" t="str">
        <f t="shared" si="3"/>
        <v/>
      </c>
      <c r="M1903" s="17" t="str">
        <f t="shared" si="4"/>
        <v/>
      </c>
    </row>
    <row r="1904" ht="15.75" customHeight="1">
      <c r="A1904" s="12"/>
      <c r="B1904" s="11"/>
      <c r="C1904" s="11"/>
      <c r="D1904" s="11"/>
      <c r="E1904" s="11" t="str">
        <f>IF(J1904="","", C1904 * IFERROR(VLOOKUP(J1904, SETUP!$A:$D, 3, FALSE), 0))</f>
        <v/>
      </c>
      <c r="F1904" s="11" t="str">
        <f>IF(J1904="","", C1904 * IFERROR(VLOOKUP(J1904, SETUP!$A:$D, 4, FALSE), 0))</f>
        <v/>
      </c>
      <c r="G1904" s="11" t="str">
        <f t="shared" si="1"/>
        <v/>
      </c>
      <c r="H1904" s="22"/>
      <c r="I1904" s="11"/>
      <c r="J1904" s="17" t="str">
        <f>IF(TRIM(B1904)="","",IF(ISNUMBER(SEARCH(" - ",B1904)),TRIM(RIGHT(B1904,LEN(B1904)-FIND(" - ",B1904)-2)),IFERROR(VLOOKUP(UPPER(TRIM(B1904)), SETUP!$B$4:$C$11, 2, FALSE), UPPER(TRIM(B1904)))))</f>
        <v/>
      </c>
      <c r="K1904" s="23" t="str">
        <f t="shared" si="2"/>
        <v/>
      </c>
      <c r="L1904" s="17" t="str">
        <f t="shared" si="3"/>
        <v/>
      </c>
      <c r="M1904" s="17" t="str">
        <f t="shared" si="4"/>
        <v/>
      </c>
    </row>
    <row r="1905" ht="15.75" customHeight="1">
      <c r="A1905" s="12"/>
      <c r="B1905" s="11"/>
      <c r="C1905" s="11"/>
      <c r="D1905" s="11"/>
      <c r="E1905" s="11" t="str">
        <f>IF(J1905="","", C1905 * IFERROR(VLOOKUP(J1905, SETUP!$A:$D, 3, FALSE), 0))</f>
        <v/>
      </c>
      <c r="F1905" s="11" t="str">
        <f>IF(J1905="","", C1905 * IFERROR(VLOOKUP(J1905, SETUP!$A:$D, 4, FALSE), 0))</f>
        <v/>
      </c>
      <c r="G1905" s="11" t="str">
        <f t="shared" si="1"/>
        <v/>
      </c>
      <c r="H1905" s="22"/>
      <c r="I1905" s="11"/>
      <c r="J1905" s="17" t="str">
        <f>IF(TRIM(B1905)="","",IF(ISNUMBER(SEARCH(" - ",B1905)),TRIM(RIGHT(B1905,LEN(B1905)-FIND(" - ",B1905)-2)),IFERROR(VLOOKUP(UPPER(TRIM(B1905)), SETUP!$B$4:$C$11, 2, FALSE), UPPER(TRIM(B1905)))))</f>
        <v/>
      </c>
      <c r="K1905" s="23" t="str">
        <f t="shared" si="2"/>
        <v/>
      </c>
      <c r="L1905" s="17" t="str">
        <f t="shared" si="3"/>
        <v/>
      </c>
      <c r="M1905" s="17" t="str">
        <f t="shared" si="4"/>
        <v/>
      </c>
    </row>
    <row r="1906" ht="15.75" customHeight="1">
      <c r="A1906" s="12"/>
      <c r="B1906" s="11"/>
      <c r="C1906" s="11"/>
      <c r="D1906" s="11"/>
      <c r="E1906" s="11" t="str">
        <f>IF(J1906="","", C1906 * IFERROR(VLOOKUP(J1906, SETUP!$A:$D, 3, FALSE), 0))</f>
        <v/>
      </c>
      <c r="F1906" s="11" t="str">
        <f>IF(J1906="","", C1906 * IFERROR(VLOOKUP(J1906, SETUP!$A:$D, 4, FALSE), 0))</f>
        <v/>
      </c>
      <c r="G1906" s="11" t="str">
        <f t="shared" si="1"/>
        <v/>
      </c>
      <c r="H1906" s="22"/>
      <c r="I1906" s="11"/>
      <c r="J1906" s="17" t="str">
        <f>IF(TRIM(B1906)="","",IF(ISNUMBER(SEARCH(" - ",B1906)),TRIM(RIGHT(B1906,LEN(B1906)-FIND(" - ",B1906)-2)),IFERROR(VLOOKUP(UPPER(TRIM(B1906)), SETUP!$B$4:$C$11, 2, FALSE), UPPER(TRIM(B1906)))))</f>
        <v/>
      </c>
      <c r="K1906" s="23" t="str">
        <f t="shared" si="2"/>
        <v/>
      </c>
      <c r="L1906" s="17" t="str">
        <f t="shared" si="3"/>
        <v/>
      </c>
      <c r="M1906" s="17" t="str">
        <f t="shared" si="4"/>
        <v/>
      </c>
    </row>
    <row r="1907" ht="15.75" customHeight="1">
      <c r="A1907" s="12"/>
      <c r="B1907" s="11"/>
      <c r="C1907" s="11"/>
      <c r="D1907" s="11"/>
      <c r="E1907" s="11" t="str">
        <f>IF(J1907="","", C1907 * IFERROR(VLOOKUP(J1907, SETUP!$A:$D, 3, FALSE), 0))</f>
        <v/>
      </c>
      <c r="F1907" s="11" t="str">
        <f>IF(J1907="","", C1907 * IFERROR(VLOOKUP(J1907, SETUP!$A:$D, 4, FALSE), 0))</f>
        <v/>
      </c>
      <c r="G1907" s="11" t="str">
        <f t="shared" si="1"/>
        <v/>
      </c>
      <c r="H1907" s="22"/>
      <c r="I1907" s="11"/>
      <c r="J1907" s="17" t="str">
        <f>IF(TRIM(B1907)="","",IF(ISNUMBER(SEARCH(" - ",B1907)),TRIM(RIGHT(B1907,LEN(B1907)-FIND(" - ",B1907)-2)),IFERROR(VLOOKUP(UPPER(TRIM(B1907)), SETUP!$B$4:$C$11, 2, FALSE), UPPER(TRIM(B1907)))))</f>
        <v/>
      </c>
      <c r="K1907" s="23" t="str">
        <f t="shared" si="2"/>
        <v/>
      </c>
      <c r="L1907" s="17" t="str">
        <f t="shared" si="3"/>
        <v/>
      </c>
      <c r="M1907" s="17" t="str">
        <f t="shared" si="4"/>
        <v/>
      </c>
    </row>
    <row r="1908" ht="15.75" customHeight="1">
      <c r="A1908" s="12"/>
      <c r="B1908" s="11"/>
      <c r="C1908" s="11"/>
      <c r="D1908" s="11"/>
      <c r="E1908" s="11" t="str">
        <f>IF(J1908="","", C1908 * IFERROR(VLOOKUP(J1908, SETUP!$A:$D, 3, FALSE), 0))</f>
        <v/>
      </c>
      <c r="F1908" s="11" t="str">
        <f>IF(J1908="","", C1908 * IFERROR(VLOOKUP(J1908, SETUP!$A:$D, 4, FALSE), 0))</f>
        <v/>
      </c>
      <c r="G1908" s="11" t="str">
        <f t="shared" si="1"/>
        <v/>
      </c>
      <c r="H1908" s="22"/>
      <c r="I1908" s="11"/>
      <c r="J1908" s="17" t="str">
        <f>IF(TRIM(B1908)="","",IF(ISNUMBER(SEARCH(" - ",B1908)),TRIM(RIGHT(B1908,LEN(B1908)-FIND(" - ",B1908)-2)),IFERROR(VLOOKUP(UPPER(TRIM(B1908)), SETUP!$B$4:$C$11, 2, FALSE), UPPER(TRIM(B1908)))))</f>
        <v/>
      </c>
      <c r="K1908" s="23" t="str">
        <f t="shared" si="2"/>
        <v/>
      </c>
      <c r="L1908" s="17" t="str">
        <f t="shared" si="3"/>
        <v/>
      </c>
      <c r="M1908" s="17" t="str">
        <f t="shared" si="4"/>
        <v/>
      </c>
    </row>
    <row r="1909" ht="15.75" customHeight="1">
      <c r="A1909" s="12"/>
      <c r="B1909" s="11"/>
      <c r="C1909" s="11"/>
      <c r="D1909" s="11"/>
      <c r="E1909" s="11" t="str">
        <f>IF(J1909="","", C1909 * IFERROR(VLOOKUP(J1909, SETUP!$A:$D, 3, FALSE), 0))</f>
        <v/>
      </c>
      <c r="F1909" s="11" t="str">
        <f>IF(J1909="","", C1909 * IFERROR(VLOOKUP(J1909, SETUP!$A:$D, 4, FALSE), 0))</f>
        <v/>
      </c>
      <c r="G1909" s="11" t="str">
        <f t="shared" si="1"/>
        <v/>
      </c>
      <c r="H1909" s="22"/>
      <c r="I1909" s="11"/>
      <c r="J1909" s="17" t="str">
        <f>IF(TRIM(B1909)="","",IF(ISNUMBER(SEARCH(" - ",B1909)),TRIM(RIGHT(B1909,LEN(B1909)-FIND(" - ",B1909)-2)),IFERROR(VLOOKUP(UPPER(TRIM(B1909)), SETUP!$B$4:$C$11, 2, FALSE), UPPER(TRIM(B1909)))))</f>
        <v/>
      </c>
      <c r="K1909" s="23" t="str">
        <f t="shared" si="2"/>
        <v/>
      </c>
      <c r="L1909" s="17" t="str">
        <f t="shared" si="3"/>
        <v/>
      </c>
      <c r="M1909" s="17" t="str">
        <f t="shared" si="4"/>
        <v/>
      </c>
    </row>
    <row r="1910" ht="15.75" customHeight="1">
      <c r="A1910" s="12"/>
      <c r="B1910" s="11"/>
      <c r="C1910" s="11"/>
      <c r="D1910" s="11"/>
      <c r="E1910" s="11" t="str">
        <f>IF(J1910="","", C1910 * IFERROR(VLOOKUP(J1910, SETUP!$A:$D, 3, FALSE), 0))</f>
        <v/>
      </c>
      <c r="F1910" s="11" t="str">
        <f>IF(J1910="","", C1910 * IFERROR(VLOOKUP(J1910, SETUP!$A:$D, 4, FALSE), 0))</f>
        <v/>
      </c>
      <c r="G1910" s="11" t="str">
        <f t="shared" si="1"/>
        <v/>
      </c>
      <c r="H1910" s="22"/>
      <c r="I1910" s="11"/>
      <c r="J1910" s="17" t="str">
        <f>IF(TRIM(B1910)="","",IF(ISNUMBER(SEARCH(" - ",B1910)),TRIM(RIGHT(B1910,LEN(B1910)-FIND(" - ",B1910)-2)),IFERROR(VLOOKUP(UPPER(TRIM(B1910)), SETUP!$B$4:$C$11, 2, FALSE), UPPER(TRIM(B1910)))))</f>
        <v/>
      </c>
      <c r="K1910" s="23" t="str">
        <f t="shared" si="2"/>
        <v/>
      </c>
      <c r="L1910" s="17" t="str">
        <f t="shared" si="3"/>
        <v/>
      </c>
      <c r="M1910" s="17" t="str">
        <f t="shared" si="4"/>
        <v/>
      </c>
    </row>
    <row r="1911" ht="15.75" customHeight="1">
      <c r="A1911" s="12"/>
      <c r="B1911" s="11"/>
      <c r="C1911" s="11"/>
      <c r="D1911" s="11"/>
      <c r="E1911" s="11" t="str">
        <f>IF(J1911="","", C1911 * IFERROR(VLOOKUP(J1911, SETUP!$A:$D, 3, FALSE), 0))</f>
        <v/>
      </c>
      <c r="F1911" s="11" t="str">
        <f>IF(J1911="","", C1911 * IFERROR(VLOOKUP(J1911, SETUP!$A:$D, 4, FALSE), 0))</f>
        <v/>
      </c>
      <c r="G1911" s="11" t="str">
        <f t="shared" si="1"/>
        <v/>
      </c>
      <c r="H1911" s="22"/>
      <c r="I1911" s="11"/>
      <c r="J1911" s="17" t="str">
        <f>IF(TRIM(B1911)="","",IF(ISNUMBER(SEARCH(" - ",B1911)),TRIM(RIGHT(B1911,LEN(B1911)-FIND(" - ",B1911)-2)),IFERROR(VLOOKUP(UPPER(TRIM(B1911)), SETUP!$B$4:$C$11, 2, FALSE), UPPER(TRIM(B1911)))))</f>
        <v/>
      </c>
      <c r="K1911" s="23" t="str">
        <f t="shared" si="2"/>
        <v/>
      </c>
      <c r="L1911" s="17" t="str">
        <f t="shared" si="3"/>
        <v/>
      </c>
      <c r="M1911" s="17" t="str">
        <f t="shared" si="4"/>
        <v/>
      </c>
    </row>
    <row r="1912" ht="15.75" customHeight="1">
      <c r="A1912" s="12"/>
      <c r="B1912" s="11"/>
      <c r="C1912" s="11"/>
      <c r="D1912" s="11"/>
      <c r="E1912" s="11" t="str">
        <f>IF(J1912="","", C1912 * IFERROR(VLOOKUP(J1912, SETUP!$A:$D, 3, FALSE), 0))</f>
        <v/>
      </c>
      <c r="F1912" s="11" t="str">
        <f>IF(J1912="","", C1912 * IFERROR(VLOOKUP(J1912, SETUP!$A:$D, 4, FALSE), 0))</f>
        <v/>
      </c>
      <c r="G1912" s="11" t="str">
        <f t="shared" si="1"/>
        <v/>
      </c>
      <c r="H1912" s="22"/>
      <c r="I1912" s="11"/>
      <c r="J1912" s="17" t="str">
        <f>IF(TRIM(B1912)="","",IF(ISNUMBER(SEARCH(" - ",B1912)),TRIM(RIGHT(B1912,LEN(B1912)-FIND(" - ",B1912)-2)),IFERROR(VLOOKUP(UPPER(TRIM(B1912)), SETUP!$B$4:$C$11, 2, FALSE), UPPER(TRIM(B1912)))))</f>
        <v/>
      </c>
      <c r="K1912" s="23" t="str">
        <f t="shared" si="2"/>
        <v/>
      </c>
      <c r="L1912" s="17" t="str">
        <f t="shared" si="3"/>
        <v/>
      </c>
      <c r="M1912" s="17" t="str">
        <f t="shared" si="4"/>
        <v/>
      </c>
    </row>
    <row r="1913" ht="15.75" customHeight="1">
      <c r="A1913" s="12"/>
      <c r="B1913" s="11"/>
      <c r="C1913" s="11"/>
      <c r="D1913" s="11"/>
      <c r="E1913" s="11" t="str">
        <f>IF(J1913="","", C1913 * IFERROR(VLOOKUP(J1913, SETUP!$A:$D, 3, FALSE), 0))</f>
        <v/>
      </c>
      <c r="F1913" s="11" t="str">
        <f>IF(J1913="","", C1913 * IFERROR(VLOOKUP(J1913, SETUP!$A:$D, 4, FALSE), 0))</f>
        <v/>
      </c>
      <c r="G1913" s="11" t="str">
        <f t="shared" si="1"/>
        <v/>
      </c>
      <c r="H1913" s="22"/>
      <c r="I1913" s="11"/>
      <c r="J1913" s="17" t="str">
        <f>IF(TRIM(B1913)="","",IF(ISNUMBER(SEARCH(" - ",B1913)),TRIM(RIGHT(B1913,LEN(B1913)-FIND(" - ",B1913)-2)),IFERROR(VLOOKUP(UPPER(TRIM(B1913)), SETUP!$B$4:$C$11, 2, FALSE), UPPER(TRIM(B1913)))))</f>
        <v/>
      </c>
      <c r="K1913" s="23" t="str">
        <f t="shared" si="2"/>
        <v/>
      </c>
      <c r="L1913" s="17" t="str">
        <f t="shared" si="3"/>
        <v/>
      </c>
      <c r="M1913" s="17" t="str">
        <f t="shared" si="4"/>
        <v/>
      </c>
    </row>
    <row r="1914" ht="15.75" customHeight="1">
      <c r="A1914" s="12"/>
      <c r="B1914" s="11"/>
      <c r="C1914" s="11"/>
      <c r="D1914" s="11"/>
      <c r="E1914" s="11" t="str">
        <f>IF(J1914="","", C1914 * IFERROR(VLOOKUP(J1914, SETUP!$A:$D, 3, FALSE), 0))</f>
        <v/>
      </c>
      <c r="F1914" s="11" t="str">
        <f>IF(J1914="","", C1914 * IFERROR(VLOOKUP(J1914, SETUP!$A:$D, 4, FALSE), 0))</f>
        <v/>
      </c>
      <c r="G1914" s="11" t="str">
        <f t="shared" si="1"/>
        <v/>
      </c>
      <c r="H1914" s="22"/>
      <c r="I1914" s="11"/>
      <c r="J1914" s="17" t="str">
        <f>IF(TRIM(B1914)="","",IF(ISNUMBER(SEARCH(" - ",B1914)),TRIM(RIGHT(B1914,LEN(B1914)-FIND(" - ",B1914)-2)),IFERROR(VLOOKUP(UPPER(TRIM(B1914)), SETUP!$B$4:$C$11, 2, FALSE), UPPER(TRIM(B1914)))))</f>
        <v/>
      </c>
      <c r="K1914" s="23" t="str">
        <f t="shared" si="2"/>
        <v/>
      </c>
      <c r="L1914" s="17" t="str">
        <f t="shared" si="3"/>
        <v/>
      </c>
      <c r="M1914" s="17" t="str">
        <f t="shared" si="4"/>
        <v/>
      </c>
    </row>
    <row r="1915" ht="15.75" customHeight="1">
      <c r="A1915" s="12"/>
      <c r="B1915" s="11"/>
      <c r="C1915" s="11"/>
      <c r="D1915" s="11"/>
      <c r="E1915" s="11" t="str">
        <f>IF(J1915="","", C1915 * IFERROR(VLOOKUP(J1915, SETUP!$A:$D, 3, FALSE), 0))</f>
        <v/>
      </c>
      <c r="F1915" s="11" t="str">
        <f>IF(J1915="","", C1915 * IFERROR(VLOOKUP(J1915, SETUP!$A:$D, 4, FALSE), 0))</f>
        <v/>
      </c>
      <c r="G1915" s="11" t="str">
        <f t="shared" si="1"/>
        <v/>
      </c>
      <c r="H1915" s="22"/>
      <c r="I1915" s="11"/>
      <c r="J1915" s="17" t="str">
        <f>IF(TRIM(B1915)="","",IF(ISNUMBER(SEARCH(" - ",B1915)),TRIM(RIGHT(B1915,LEN(B1915)-FIND(" - ",B1915)-2)),IFERROR(VLOOKUP(UPPER(TRIM(B1915)), SETUP!$B$4:$C$11, 2, FALSE), UPPER(TRIM(B1915)))))</f>
        <v/>
      </c>
      <c r="K1915" s="23" t="str">
        <f t="shared" si="2"/>
        <v/>
      </c>
      <c r="L1915" s="17" t="str">
        <f t="shared" si="3"/>
        <v/>
      </c>
      <c r="M1915" s="17" t="str">
        <f t="shared" si="4"/>
        <v/>
      </c>
    </row>
    <row r="1916" ht="15.75" customHeight="1">
      <c r="A1916" s="12"/>
      <c r="B1916" s="11"/>
      <c r="C1916" s="11"/>
      <c r="D1916" s="11"/>
      <c r="E1916" s="11" t="str">
        <f>IF(J1916="","", C1916 * IFERROR(VLOOKUP(J1916, SETUP!$A:$D, 3, FALSE), 0))</f>
        <v/>
      </c>
      <c r="F1916" s="11" t="str">
        <f>IF(J1916="","", C1916 * IFERROR(VLOOKUP(J1916, SETUP!$A:$D, 4, FALSE), 0))</f>
        <v/>
      </c>
      <c r="G1916" s="11" t="str">
        <f t="shared" si="1"/>
        <v/>
      </c>
      <c r="H1916" s="22"/>
      <c r="I1916" s="11"/>
      <c r="J1916" s="17" t="str">
        <f>IF(TRIM(B1916)="","",IF(ISNUMBER(SEARCH(" - ",B1916)),TRIM(RIGHT(B1916,LEN(B1916)-FIND(" - ",B1916)-2)),IFERROR(VLOOKUP(UPPER(TRIM(B1916)), SETUP!$B$4:$C$11, 2, FALSE), UPPER(TRIM(B1916)))))</f>
        <v/>
      </c>
      <c r="K1916" s="23" t="str">
        <f t="shared" si="2"/>
        <v/>
      </c>
      <c r="L1916" s="17" t="str">
        <f t="shared" si="3"/>
        <v/>
      </c>
      <c r="M1916" s="17" t="str">
        <f t="shared" si="4"/>
        <v/>
      </c>
    </row>
    <row r="1917" ht="15.75" customHeight="1">
      <c r="A1917" s="12"/>
      <c r="B1917" s="11"/>
      <c r="C1917" s="11"/>
      <c r="D1917" s="11"/>
      <c r="E1917" s="11" t="str">
        <f>IF(J1917="","", C1917 * IFERROR(VLOOKUP(J1917, SETUP!$A:$D, 3, FALSE), 0))</f>
        <v/>
      </c>
      <c r="F1917" s="11" t="str">
        <f>IF(J1917="","", C1917 * IFERROR(VLOOKUP(J1917, SETUP!$A:$D, 4, FALSE), 0))</f>
        <v/>
      </c>
      <c r="G1917" s="11" t="str">
        <f t="shared" si="1"/>
        <v/>
      </c>
      <c r="H1917" s="22"/>
      <c r="I1917" s="11"/>
      <c r="J1917" s="17" t="str">
        <f>IF(TRIM(B1917)="","",IF(ISNUMBER(SEARCH(" - ",B1917)),TRIM(RIGHT(B1917,LEN(B1917)-FIND(" - ",B1917)-2)),IFERROR(VLOOKUP(UPPER(TRIM(B1917)), SETUP!$B$4:$C$11, 2, FALSE), UPPER(TRIM(B1917)))))</f>
        <v/>
      </c>
      <c r="K1917" s="23" t="str">
        <f t="shared" si="2"/>
        <v/>
      </c>
      <c r="L1917" s="17" t="str">
        <f t="shared" si="3"/>
        <v/>
      </c>
      <c r="M1917" s="17" t="str">
        <f t="shared" si="4"/>
        <v/>
      </c>
    </row>
    <row r="1918" ht="15.75" customHeight="1">
      <c r="A1918" s="12"/>
      <c r="B1918" s="11"/>
      <c r="C1918" s="11"/>
      <c r="D1918" s="11"/>
      <c r="E1918" s="11" t="str">
        <f>IF(J1918="","", C1918 * IFERROR(VLOOKUP(J1918, SETUP!$A:$D, 3, FALSE), 0))</f>
        <v/>
      </c>
      <c r="F1918" s="11" t="str">
        <f>IF(J1918="","", C1918 * IFERROR(VLOOKUP(J1918, SETUP!$A:$D, 4, FALSE), 0))</f>
        <v/>
      </c>
      <c r="G1918" s="11" t="str">
        <f t="shared" si="1"/>
        <v/>
      </c>
      <c r="H1918" s="22"/>
      <c r="I1918" s="11"/>
      <c r="J1918" s="17" t="str">
        <f>IF(TRIM(B1918)="","",IF(ISNUMBER(SEARCH(" - ",B1918)),TRIM(RIGHT(B1918,LEN(B1918)-FIND(" - ",B1918)-2)),IFERROR(VLOOKUP(UPPER(TRIM(B1918)), SETUP!$B$4:$C$11, 2, FALSE), UPPER(TRIM(B1918)))))</f>
        <v/>
      </c>
      <c r="K1918" s="23" t="str">
        <f t="shared" si="2"/>
        <v/>
      </c>
      <c r="L1918" s="17" t="str">
        <f t="shared" si="3"/>
        <v/>
      </c>
      <c r="M1918" s="17" t="str">
        <f t="shared" si="4"/>
        <v/>
      </c>
    </row>
    <row r="1919" ht="15.75" customHeight="1">
      <c r="A1919" s="12"/>
      <c r="B1919" s="11"/>
      <c r="C1919" s="11"/>
      <c r="D1919" s="11"/>
      <c r="E1919" s="11" t="str">
        <f>IF(J1919="","", C1919 * IFERROR(VLOOKUP(J1919, SETUP!$A:$D, 3, FALSE), 0))</f>
        <v/>
      </c>
      <c r="F1919" s="11" t="str">
        <f>IF(J1919="","", C1919 * IFERROR(VLOOKUP(J1919, SETUP!$A:$D, 4, FALSE), 0))</f>
        <v/>
      </c>
      <c r="G1919" s="11" t="str">
        <f t="shared" si="1"/>
        <v/>
      </c>
      <c r="H1919" s="22"/>
      <c r="I1919" s="11"/>
      <c r="J1919" s="17" t="str">
        <f>IF(TRIM(B1919)="","",IF(ISNUMBER(SEARCH(" - ",B1919)),TRIM(RIGHT(B1919,LEN(B1919)-FIND(" - ",B1919)-2)),IFERROR(VLOOKUP(UPPER(TRIM(B1919)), SETUP!$B$4:$C$11, 2, FALSE), UPPER(TRIM(B1919)))))</f>
        <v/>
      </c>
      <c r="K1919" s="23" t="str">
        <f t="shared" si="2"/>
        <v/>
      </c>
      <c r="L1919" s="17" t="str">
        <f t="shared" si="3"/>
        <v/>
      </c>
      <c r="M1919" s="17" t="str">
        <f t="shared" si="4"/>
        <v/>
      </c>
    </row>
    <row r="1920" ht="15.75" customHeight="1">
      <c r="A1920" s="12"/>
      <c r="B1920" s="11"/>
      <c r="C1920" s="11"/>
      <c r="D1920" s="11"/>
      <c r="E1920" s="11" t="str">
        <f>IF(J1920="","", C1920 * IFERROR(VLOOKUP(J1920, SETUP!$A:$D, 3, FALSE), 0))</f>
        <v/>
      </c>
      <c r="F1920" s="11" t="str">
        <f>IF(J1920="","", C1920 * IFERROR(VLOOKUP(J1920, SETUP!$A:$D, 4, FALSE), 0))</f>
        <v/>
      </c>
      <c r="G1920" s="11" t="str">
        <f t="shared" si="1"/>
        <v/>
      </c>
      <c r="H1920" s="22"/>
      <c r="I1920" s="11"/>
      <c r="J1920" s="17" t="str">
        <f>IF(TRIM(B1920)="","",IF(ISNUMBER(SEARCH(" - ",B1920)),TRIM(RIGHT(B1920,LEN(B1920)-FIND(" - ",B1920)-2)),IFERROR(VLOOKUP(UPPER(TRIM(B1920)), SETUP!$B$4:$C$11, 2, FALSE), UPPER(TRIM(B1920)))))</f>
        <v/>
      </c>
      <c r="K1920" s="23" t="str">
        <f t="shared" si="2"/>
        <v/>
      </c>
      <c r="L1920" s="17" t="str">
        <f t="shared" si="3"/>
        <v/>
      </c>
      <c r="M1920" s="17" t="str">
        <f t="shared" si="4"/>
        <v/>
      </c>
    </row>
    <row r="1921" ht="15.75" customHeight="1">
      <c r="A1921" s="12"/>
      <c r="B1921" s="11"/>
      <c r="C1921" s="11"/>
      <c r="D1921" s="11"/>
      <c r="E1921" s="11" t="str">
        <f>IF(J1921="","", C1921 * IFERROR(VLOOKUP(J1921, SETUP!$A:$D, 3, FALSE), 0))</f>
        <v/>
      </c>
      <c r="F1921" s="11" t="str">
        <f>IF(J1921="","", C1921 * IFERROR(VLOOKUP(J1921, SETUP!$A:$D, 4, FALSE), 0))</f>
        <v/>
      </c>
      <c r="G1921" s="11" t="str">
        <f t="shared" si="1"/>
        <v/>
      </c>
      <c r="H1921" s="22"/>
      <c r="I1921" s="11"/>
      <c r="J1921" s="17" t="str">
        <f>IF(TRIM(B1921)="","",IF(ISNUMBER(SEARCH(" - ",B1921)),TRIM(RIGHT(B1921,LEN(B1921)-FIND(" - ",B1921)-2)),IFERROR(VLOOKUP(UPPER(TRIM(B1921)), SETUP!$B$4:$C$11, 2, FALSE), UPPER(TRIM(B1921)))))</f>
        <v/>
      </c>
      <c r="K1921" s="23" t="str">
        <f t="shared" si="2"/>
        <v/>
      </c>
      <c r="L1921" s="17" t="str">
        <f t="shared" si="3"/>
        <v/>
      </c>
      <c r="M1921" s="17" t="str">
        <f t="shared" si="4"/>
        <v/>
      </c>
    </row>
    <row r="1922" ht="15.75" customHeight="1">
      <c r="A1922" s="12"/>
      <c r="B1922" s="11"/>
      <c r="C1922" s="11"/>
      <c r="D1922" s="11"/>
      <c r="E1922" s="11" t="str">
        <f>IF(J1922="","", C1922 * IFERROR(VLOOKUP(J1922, SETUP!$A:$D, 3, FALSE), 0))</f>
        <v/>
      </c>
      <c r="F1922" s="11" t="str">
        <f>IF(J1922="","", C1922 * IFERROR(VLOOKUP(J1922, SETUP!$A:$D, 4, FALSE), 0))</f>
        <v/>
      </c>
      <c r="G1922" s="11" t="str">
        <f t="shared" si="1"/>
        <v/>
      </c>
      <c r="H1922" s="22"/>
      <c r="I1922" s="11"/>
      <c r="J1922" s="17" t="str">
        <f>IF(TRIM(B1922)="","",IF(ISNUMBER(SEARCH(" - ",B1922)),TRIM(RIGHT(B1922,LEN(B1922)-FIND(" - ",B1922)-2)),IFERROR(VLOOKUP(UPPER(TRIM(B1922)), SETUP!$B$4:$C$11, 2, FALSE), UPPER(TRIM(B1922)))))</f>
        <v/>
      </c>
      <c r="K1922" s="23" t="str">
        <f t="shared" si="2"/>
        <v/>
      </c>
      <c r="L1922" s="17" t="str">
        <f t="shared" si="3"/>
        <v/>
      </c>
      <c r="M1922" s="17" t="str">
        <f t="shared" si="4"/>
        <v/>
      </c>
    </row>
    <row r="1923" ht="15.75" customHeight="1">
      <c r="A1923" s="12"/>
      <c r="B1923" s="11"/>
      <c r="C1923" s="11"/>
      <c r="D1923" s="11"/>
      <c r="E1923" s="11" t="str">
        <f>IF(J1923="","", C1923 * IFERROR(VLOOKUP(J1923, SETUP!$A:$D, 3, FALSE), 0))</f>
        <v/>
      </c>
      <c r="F1923" s="11" t="str">
        <f>IF(J1923="","", C1923 * IFERROR(VLOOKUP(J1923, SETUP!$A:$D, 4, FALSE), 0))</f>
        <v/>
      </c>
      <c r="G1923" s="11" t="str">
        <f t="shared" si="1"/>
        <v/>
      </c>
      <c r="H1923" s="22"/>
      <c r="I1923" s="11"/>
      <c r="J1923" s="17" t="str">
        <f>IF(TRIM(B1923)="","",IF(ISNUMBER(SEARCH(" - ",B1923)),TRIM(RIGHT(B1923,LEN(B1923)-FIND(" - ",B1923)-2)),IFERROR(VLOOKUP(UPPER(TRIM(B1923)), SETUP!$B$4:$C$11, 2, FALSE), UPPER(TRIM(B1923)))))</f>
        <v/>
      </c>
      <c r="K1923" s="23" t="str">
        <f t="shared" si="2"/>
        <v/>
      </c>
      <c r="L1923" s="17" t="str">
        <f t="shared" si="3"/>
        <v/>
      </c>
      <c r="M1923" s="17" t="str">
        <f t="shared" si="4"/>
        <v/>
      </c>
    </row>
    <row r="1924" ht="15.75" customHeight="1">
      <c r="A1924" s="12"/>
      <c r="B1924" s="11"/>
      <c r="C1924" s="11"/>
      <c r="D1924" s="11"/>
      <c r="E1924" s="11" t="str">
        <f>IF(J1924="","", C1924 * IFERROR(VLOOKUP(J1924, SETUP!$A:$D, 3, FALSE), 0))</f>
        <v/>
      </c>
      <c r="F1924" s="11" t="str">
        <f>IF(J1924="","", C1924 * IFERROR(VLOOKUP(J1924, SETUP!$A:$D, 4, FALSE), 0))</f>
        <v/>
      </c>
      <c r="G1924" s="11" t="str">
        <f t="shared" si="1"/>
        <v/>
      </c>
      <c r="H1924" s="22"/>
      <c r="I1924" s="11"/>
      <c r="J1924" s="17" t="str">
        <f>IF(TRIM(B1924)="","",IF(ISNUMBER(SEARCH(" - ",B1924)),TRIM(RIGHT(B1924,LEN(B1924)-FIND(" - ",B1924)-2)),IFERROR(VLOOKUP(UPPER(TRIM(B1924)), SETUP!$B$4:$C$11, 2, FALSE), UPPER(TRIM(B1924)))))</f>
        <v/>
      </c>
      <c r="K1924" s="23" t="str">
        <f t="shared" si="2"/>
        <v/>
      </c>
      <c r="L1924" s="17" t="str">
        <f t="shared" si="3"/>
        <v/>
      </c>
      <c r="M1924" s="17" t="str">
        <f t="shared" si="4"/>
        <v/>
      </c>
    </row>
    <row r="1925" ht="15.75" customHeight="1">
      <c r="A1925" s="12"/>
      <c r="B1925" s="11"/>
      <c r="C1925" s="11"/>
      <c r="D1925" s="11"/>
      <c r="E1925" s="11" t="str">
        <f>IF(J1925="","", C1925 * IFERROR(VLOOKUP(J1925, SETUP!$A:$D, 3, FALSE), 0))</f>
        <v/>
      </c>
      <c r="F1925" s="11" t="str">
        <f>IF(J1925="","", C1925 * IFERROR(VLOOKUP(J1925, SETUP!$A:$D, 4, FALSE), 0))</f>
        <v/>
      </c>
      <c r="G1925" s="11" t="str">
        <f t="shared" si="1"/>
        <v/>
      </c>
      <c r="H1925" s="22"/>
      <c r="I1925" s="11"/>
      <c r="J1925" s="17" t="str">
        <f>IF(TRIM(B1925)="","",IF(ISNUMBER(SEARCH(" - ",B1925)),TRIM(RIGHT(B1925,LEN(B1925)-FIND(" - ",B1925)-2)),IFERROR(VLOOKUP(UPPER(TRIM(B1925)), SETUP!$B$4:$C$11, 2, FALSE), UPPER(TRIM(B1925)))))</f>
        <v/>
      </c>
      <c r="K1925" s="23" t="str">
        <f t="shared" si="2"/>
        <v/>
      </c>
      <c r="L1925" s="17" t="str">
        <f t="shared" si="3"/>
        <v/>
      </c>
      <c r="M1925" s="17" t="str">
        <f t="shared" si="4"/>
        <v/>
      </c>
    </row>
    <row r="1926" ht="15.75" customHeight="1">
      <c r="A1926" s="12"/>
      <c r="B1926" s="11"/>
      <c r="C1926" s="11"/>
      <c r="D1926" s="11"/>
      <c r="E1926" s="11" t="str">
        <f>IF(J1926="","", C1926 * IFERROR(VLOOKUP(J1926, SETUP!$A:$D, 3, FALSE), 0))</f>
        <v/>
      </c>
      <c r="F1926" s="11" t="str">
        <f>IF(J1926="","", C1926 * IFERROR(VLOOKUP(J1926, SETUP!$A:$D, 4, FALSE), 0))</f>
        <v/>
      </c>
      <c r="G1926" s="11" t="str">
        <f t="shared" si="1"/>
        <v/>
      </c>
      <c r="H1926" s="22"/>
      <c r="I1926" s="11"/>
      <c r="J1926" s="17" t="str">
        <f>IF(TRIM(B1926)="","",IF(ISNUMBER(SEARCH(" - ",B1926)),TRIM(RIGHT(B1926,LEN(B1926)-FIND(" - ",B1926)-2)),IFERROR(VLOOKUP(UPPER(TRIM(B1926)), SETUP!$B$4:$C$11, 2, FALSE), UPPER(TRIM(B1926)))))</f>
        <v/>
      </c>
      <c r="K1926" s="23" t="str">
        <f t="shared" si="2"/>
        <v/>
      </c>
      <c r="L1926" s="17" t="str">
        <f t="shared" si="3"/>
        <v/>
      </c>
      <c r="M1926" s="17" t="str">
        <f t="shared" si="4"/>
        <v/>
      </c>
    </row>
    <row r="1927" ht="15.75" customHeight="1">
      <c r="A1927" s="12"/>
      <c r="B1927" s="11"/>
      <c r="C1927" s="11"/>
      <c r="D1927" s="11"/>
      <c r="E1927" s="11" t="str">
        <f>IF(J1927="","", C1927 * IFERROR(VLOOKUP(J1927, SETUP!$A:$D, 3, FALSE), 0))</f>
        <v/>
      </c>
      <c r="F1927" s="11" t="str">
        <f>IF(J1927="","", C1927 * IFERROR(VLOOKUP(J1927, SETUP!$A:$D, 4, FALSE), 0))</f>
        <v/>
      </c>
      <c r="G1927" s="11" t="str">
        <f t="shared" si="1"/>
        <v/>
      </c>
      <c r="H1927" s="22"/>
      <c r="I1927" s="11"/>
      <c r="J1927" s="17" t="str">
        <f>IF(TRIM(B1927)="","",IF(ISNUMBER(SEARCH(" - ",B1927)),TRIM(RIGHT(B1927,LEN(B1927)-FIND(" - ",B1927)-2)),IFERROR(VLOOKUP(UPPER(TRIM(B1927)), SETUP!$B$4:$C$11, 2, FALSE), UPPER(TRIM(B1927)))))</f>
        <v/>
      </c>
      <c r="K1927" s="23" t="str">
        <f t="shared" si="2"/>
        <v/>
      </c>
      <c r="L1927" s="17" t="str">
        <f t="shared" si="3"/>
        <v/>
      </c>
      <c r="M1927" s="17" t="str">
        <f t="shared" si="4"/>
        <v/>
      </c>
    </row>
    <row r="1928" ht="15.75" customHeight="1">
      <c r="A1928" s="12"/>
      <c r="B1928" s="11"/>
      <c r="C1928" s="11"/>
      <c r="D1928" s="11"/>
      <c r="E1928" s="11" t="str">
        <f>IF(J1928="","", C1928 * IFERROR(VLOOKUP(J1928, SETUP!$A:$D, 3, FALSE), 0))</f>
        <v/>
      </c>
      <c r="F1928" s="11" t="str">
        <f>IF(J1928="","", C1928 * IFERROR(VLOOKUP(J1928, SETUP!$A:$D, 4, FALSE), 0))</f>
        <v/>
      </c>
      <c r="G1928" s="11" t="str">
        <f t="shared" si="1"/>
        <v/>
      </c>
      <c r="H1928" s="22"/>
      <c r="I1928" s="11"/>
      <c r="J1928" s="17" t="str">
        <f>IF(TRIM(B1928)="","",IF(ISNUMBER(SEARCH(" - ",B1928)),TRIM(RIGHT(B1928,LEN(B1928)-FIND(" - ",B1928)-2)),IFERROR(VLOOKUP(UPPER(TRIM(B1928)), SETUP!$B$4:$C$11, 2, FALSE), UPPER(TRIM(B1928)))))</f>
        <v/>
      </c>
      <c r="K1928" s="23" t="str">
        <f t="shared" si="2"/>
        <v/>
      </c>
      <c r="L1928" s="17" t="str">
        <f t="shared" si="3"/>
        <v/>
      </c>
      <c r="M1928" s="17" t="str">
        <f t="shared" si="4"/>
        <v/>
      </c>
    </row>
    <row r="1929" ht="15.75" customHeight="1">
      <c r="A1929" s="12"/>
      <c r="B1929" s="11"/>
      <c r="C1929" s="11"/>
      <c r="D1929" s="11"/>
      <c r="E1929" s="11" t="str">
        <f>IF(J1929="","", C1929 * IFERROR(VLOOKUP(J1929, SETUP!$A:$D, 3, FALSE), 0))</f>
        <v/>
      </c>
      <c r="F1929" s="11" t="str">
        <f>IF(J1929="","", C1929 * IFERROR(VLOOKUP(J1929, SETUP!$A:$D, 4, FALSE), 0))</f>
        <v/>
      </c>
      <c r="G1929" s="11" t="str">
        <f t="shared" si="1"/>
        <v/>
      </c>
      <c r="H1929" s="22"/>
      <c r="I1929" s="11"/>
      <c r="J1929" s="17" t="str">
        <f>IF(TRIM(B1929)="","",IF(ISNUMBER(SEARCH(" - ",B1929)),TRIM(RIGHT(B1929,LEN(B1929)-FIND(" - ",B1929)-2)),IFERROR(VLOOKUP(UPPER(TRIM(B1929)), SETUP!$B$4:$C$11, 2, FALSE), UPPER(TRIM(B1929)))))</f>
        <v/>
      </c>
      <c r="K1929" s="23" t="str">
        <f t="shared" si="2"/>
        <v/>
      </c>
      <c r="L1929" s="17" t="str">
        <f t="shared" si="3"/>
        <v/>
      </c>
      <c r="M1929" s="17" t="str">
        <f t="shared" si="4"/>
        <v/>
      </c>
    </row>
    <row r="1930" ht="15.75" customHeight="1">
      <c r="A1930" s="12"/>
      <c r="B1930" s="11"/>
      <c r="C1930" s="11"/>
      <c r="D1930" s="11"/>
      <c r="E1930" s="11" t="str">
        <f>IF(J1930="","", C1930 * IFERROR(VLOOKUP(J1930, SETUP!$A:$D, 3, FALSE), 0))</f>
        <v/>
      </c>
      <c r="F1930" s="11" t="str">
        <f>IF(J1930="","", C1930 * IFERROR(VLOOKUP(J1930, SETUP!$A:$D, 4, FALSE), 0))</f>
        <v/>
      </c>
      <c r="G1930" s="11" t="str">
        <f t="shared" si="1"/>
        <v/>
      </c>
      <c r="H1930" s="22"/>
      <c r="I1930" s="11"/>
      <c r="J1930" s="17" t="str">
        <f>IF(TRIM(B1930)="","",IF(ISNUMBER(SEARCH(" - ",B1930)),TRIM(RIGHT(B1930,LEN(B1930)-FIND(" - ",B1930)-2)),IFERROR(VLOOKUP(UPPER(TRIM(B1930)), SETUP!$B$4:$C$11, 2, FALSE), UPPER(TRIM(B1930)))))</f>
        <v/>
      </c>
      <c r="K1930" s="23" t="str">
        <f t="shared" si="2"/>
        <v/>
      </c>
      <c r="L1930" s="17" t="str">
        <f t="shared" si="3"/>
        <v/>
      </c>
      <c r="M1930" s="17" t="str">
        <f t="shared" si="4"/>
        <v/>
      </c>
    </row>
    <row r="1931" ht="15.75" customHeight="1">
      <c r="A1931" s="12"/>
      <c r="B1931" s="11"/>
      <c r="C1931" s="11"/>
      <c r="D1931" s="11"/>
      <c r="E1931" s="11" t="str">
        <f>IF(J1931="","", C1931 * IFERROR(VLOOKUP(J1931, SETUP!$A:$D, 3, FALSE), 0))</f>
        <v/>
      </c>
      <c r="F1931" s="11" t="str">
        <f>IF(J1931="","", C1931 * IFERROR(VLOOKUP(J1931, SETUP!$A:$D, 4, FALSE), 0))</f>
        <v/>
      </c>
      <c r="G1931" s="11" t="str">
        <f t="shared" si="1"/>
        <v/>
      </c>
      <c r="H1931" s="22"/>
      <c r="I1931" s="11"/>
      <c r="J1931" s="17" t="str">
        <f>IF(TRIM(B1931)="","",IF(ISNUMBER(SEARCH(" - ",B1931)),TRIM(RIGHT(B1931,LEN(B1931)-FIND(" - ",B1931)-2)),IFERROR(VLOOKUP(UPPER(TRIM(B1931)), SETUP!$B$4:$C$11, 2, FALSE), UPPER(TRIM(B1931)))))</f>
        <v/>
      </c>
      <c r="K1931" s="23" t="str">
        <f t="shared" si="2"/>
        <v/>
      </c>
      <c r="L1931" s="17" t="str">
        <f t="shared" si="3"/>
        <v/>
      </c>
      <c r="M1931" s="17" t="str">
        <f t="shared" si="4"/>
        <v/>
      </c>
    </row>
    <row r="1932" ht="15.75" customHeight="1">
      <c r="A1932" s="12"/>
      <c r="B1932" s="11"/>
      <c r="C1932" s="11"/>
      <c r="D1932" s="11"/>
      <c r="E1932" s="11" t="str">
        <f>IF(J1932="","", C1932 * IFERROR(VLOOKUP(J1932, SETUP!$A:$D, 3, FALSE), 0))</f>
        <v/>
      </c>
      <c r="F1932" s="11" t="str">
        <f>IF(J1932="","", C1932 * IFERROR(VLOOKUP(J1932, SETUP!$A:$D, 4, FALSE), 0))</f>
        <v/>
      </c>
      <c r="G1932" s="11" t="str">
        <f t="shared" si="1"/>
        <v/>
      </c>
      <c r="H1932" s="22"/>
      <c r="I1932" s="11"/>
      <c r="J1932" s="17" t="str">
        <f>IF(TRIM(B1932)="","",IF(ISNUMBER(SEARCH(" - ",B1932)),TRIM(RIGHT(B1932,LEN(B1932)-FIND(" - ",B1932)-2)),IFERROR(VLOOKUP(UPPER(TRIM(B1932)), SETUP!$B$4:$C$11, 2, FALSE), UPPER(TRIM(B1932)))))</f>
        <v/>
      </c>
      <c r="K1932" s="23" t="str">
        <f t="shared" si="2"/>
        <v/>
      </c>
      <c r="L1932" s="17" t="str">
        <f t="shared" si="3"/>
        <v/>
      </c>
      <c r="M1932" s="17" t="str">
        <f t="shared" si="4"/>
        <v/>
      </c>
    </row>
    <row r="1933" ht="15.75" customHeight="1">
      <c r="A1933" s="12"/>
      <c r="B1933" s="11"/>
      <c r="C1933" s="11"/>
      <c r="D1933" s="11"/>
      <c r="E1933" s="11" t="str">
        <f>IF(J1933="","", C1933 * IFERROR(VLOOKUP(J1933, SETUP!$A:$D, 3, FALSE), 0))</f>
        <v/>
      </c>
      <c r="F1933" s="11" t="str">
        <f>IF(J1933="","", C1933 * IFERROR(VLOOKUP(J1933, SETUP!$A:$D, 4, FALSE), 0))</f>
        <v/>
      </c>
      <c r="G1933" s="11" t="str">
        <f t="shared" si="1"/>
        <v/>
      </c>
      <c r="H1933" s="22"/>
      <c r="I1933" s="11"/>
      <c r="J1933" s="17" t="str">
        <f>IF(TRIM(B1933)="","",IF(ISNUMBER(SEARCH(" - ",B1933)),TRIM(RIGHT(B1933,LEN(B1933)-FIND(" - ",B1933)-2)),IFERROR(VLOOKUP(UPPER(TRIM(B1933)), SETUP!$B$4:$C$11, 2, FALSE), UPPER(TRIM(B1933)))))</f>
        <v/>
      </c>
      <c r="K1933" s="23" t="str">
        <f t="shared" si="2"/>
        <v/>
      </c>
      <c r="L1933" s="17" t="str">
        <f t="shared" si="3"/>
        <v/>
      </c>
      <c r="M1933" s="17" t="str">
        <f t="shared" si="4"/>
        <v/>
      </c>
    </row>
    <row r="1934" ht="15.75" customHeight="1">
      <c r="A1934" s="12"/>
      <c r="B1934" s="11"/>
      <c r="C1934" s="11"/>
      <c r="D1934" s="11"/>
      <c r="E1934" s="11" t="str">
        <f>IF(J1934="","", C1934 * IFERROR(VLOOKUP(J1934, SETUP!$A:$D, 3, FALSE), 0))</f>
        <v/>
      </c>
      <c r="F1934" s="11" t="str">
        <f>IF(J1934="","", C1934 * IFERROR(VLOOKUP(J1934, SETUP!$A:$D, 4, FALSE), 0))</f>
        <v/>
      </c>
      <c r="G1934" s="11" t="str">
        <f t="shared" si="1"/>
        <v/>
      </c>
      <c r="H1934" s="22"/>
      <c r="I1934" s="11"/>
      <c r="J1934" s="17" t="str">
        <f>IF(TRIM(B1934)="","",IF(ISNUMBER(SEARCH(" - ",B1934)),TRIM(RIGHT(B1934,LEN(B1934)-FIND(" - ",B1934)-2)),IFERROR(VLOOKUP(UPPER(TRIM(B1934)), SETUP!$B$4:$C$11, 2, FALSE), UPPER(TRIM(B1934)))))</f>
        <v/>
      </c>
      <c r="K1934" s="23" t="str">
        <f t="shared" si="2"/>
        <v/>
      </c>
      <c r="L1934" s="17" t="str">
        <f t="shared" si="3"/>
        <v/>
      </c>
      <c r="M1934" s="17" t="str">
        <f t="shared" si="4"/>
        <v/>
      </c>
    </row>
    <row r="1935" ht="15.75" customHeight="1">
      <c r="A1935" s="12"/>
      <c r="B1935" s="11"/>
      <c r="C1935" s="11"/>
      <c r="D1935" s="11"/>
      <c r="E1935" s="11" t="str">
        <f>IF(J1935="","", C1935 * IFERROR(VLOOKUP(J1935, SETUP!$A:$D, 3, FALSE), 0))</f>
        <v/>
      </c>
      <c r="F1935" s="11" t="str">
        <f>IF(J1935="","", C1935 * IFERROR(VLOOKUP(J1935, SETUP!$A:$D, 4, FALSE), 0))</f>
        <v/>
      </c>
      <c r="G1935" s="11" t="str">
        <f t="shared" si="1"/>
        <v/>
      </c>
      <c r="H1935" s="22"/>
      <c r="I1935" s="11"/>
      <c r="J1935" s="17" t="str">
        <f>IF(TRIM(B1935)="","",IF(ISNUMBER(SEARCH(" - ",B1935)),TRIM(RIGHT(B1935,LEN(B1935)-FIND(" - ",B1935)-2)),IFERROR(VLOOKUP(UPPER(TRIM(B1935)), SETUP!$B$4:$C$11, 2, FALSE), UPPER(TRIM(B1935)))))</f>
        <v/>
      </c>
      <c r="K1935" s="23" t="str">
        <f t="shared" si="2"/>
        <v/>
      </c>
      <c r="L1935" s="17" t="str">
        <f t="shared" si="3"/>
        <v/>
      </c>
      <c r="M1935" s="17" t="str">
        <f t="shared" si="4"/>
        <v/>
      </c>
    </row>
    <row r="1936" ht="15.75" customHeight="1">
      <c r="A1936" s="12"/>
      <c r="B1936" s="11"/>
      <c r="C1936" s="11"/>
      <c r="D1936" s="11"/>
      <c r="E1936" s="11" t="str">
        <f>IF(J1936="","", C1936 * IFERROR(VLOOKUP(J1936, SETUP!$A:$D, 3, FALSE), 0))</f>
        <v/>
      </c>
      <c r="F1936" s="11" t="str">
        <f>IF(J1936="","", C1936 * IFERROR(VLOOKUP(J1936, SETUP!$A:$D, 4, FALSE), 0))</f>
        <v/>
      </c>
      <c r="G1936" s="11" t="str">
        <f t="shared" si="1"/>
        <v/>
      </c>
      <c r="H1936" s="22"/>
      <c r="I1936" s="11"/>
      <c r="J1936" s="17" t="str">
        <f>IF(TRIM(B1936)="","",IF(ISNUMBER(SEARCH(" - ",B1936)),TRIM(RIGHT(B1936,LEN(B1936)-FIND(" - ",B1936)-2)),IFERROR(VLOOKUP(UPPER(TRIM(B1936)), SETUP!$B$4:$C$11, 2, FALSE), UPPER(TRIM(B1936)))))</f>
        <v/>
      </c>
      <c r="K1936" s="23" t="str">
        <f t="shared" si="2"/>
        <v/>
      </c>
      <c r="L1936" s="17" t="str">
        <f t="shared" si="3"/>
        <v/>
      </c>
      <c r="M1936" s="17" t="str">
        <f t="shared" si="4"/>
        <v/>
      </c>
    </row>
    <row r="1937" ht="15.75" customHeight="1">
      <c r="A1937" s="12"/>
      <c r="B1937" s="11"/>
      <c r="C1937" s="11"/>
      <c r="D1937" s="11"/>
      <c r="E1937" s="11" t="str">
        <f>IF(J1937="","", C1937 * IFERROR(VLOOKUP(J1937, SETUP!$A:$D, 3, FALSE), 0))</f>
        <v/>
      </c>
      <c r="F1937" s="11" t="str">
        <f>IF(J1937="","", C1937 * IFERROR(VLOOKUP(J1937, SETUP!$A:$D, 4, FALSE), 0))</f>
        <v/>
      </c>
      <c r="G1937" s="11" t="str">
        <f t="shared" si="1"/>
        <v/>
      </c>
      <c r="H1937" s="22"/>
      <c r="I1937" s="11"/>
      <c r="J1937" s="17" t="str">
        <f>IF(TRIM(B1937)="","",IF(ISNUMBER(SEARCH(" - ",B1937)),TRIM(RIGHT(B1937,LEN(B1937)-FIND(" - ",B1937)-2)),IFERROR(VLOOKUP(UPPER(TRIM(B1937)), SETUP!$B$4:$C$11, 2, FALSE), UPPER(TRIM(B1937)))))</f>
        <v/>
      </c>
      <c r="K1937" s="23" t="str">
        <f t="shared" si="2"/>
        <v/>
      </c>
      <c r="L1937" s="17" t="str">
        <f t="shared" si="3"/>
        <v/>
      </c>
      <c r="M1937" s="17" t="str">
        <f t="shared" si="4"/>
        <v/>
      </c>
    </row>
    <row r="1938" ht="15.75" customHeight="1">
      <c r="A1938" s="12"/>
      <c r="B1938" s="11"/>
      <c r="C1938" s="11"/>
      <c r="D1938" s="11"/>
      <c r="E1938" s="11" t="str">
        <f>IF(J1938="","", C1938 * IFERROR(VLOOKUP(J1938, SETUP!$A:$D, 3, FALSE), 0))</f>
        <v/>
      </c>
      <c r="F1938" s="11" t="str">
        <f>IF(J1938="","", C1938 * IFERROR(VLOOKUP(J1938, SETUP!$A:$D, 4, FALSE), 0))</f>
        <v/>
      </c>
      <c r="G1938" s="11" t="str">
        <f t="shared" si="1"/>
        <v/>
      </c>
      <c r="H1938" s="22"/>
      <c r="I1938" s="11"/>
      <c r="J1938" s="17" t="str">
        <f>IF(TRIM(B1938)="","",IF(ISNUMBER(SEARCH(" - ",B1938)),TRIM(RIGHT(B1938,LEN(B1938)-FIND(" - ",B1938)-2)),IFERROR(VLOOKUP(UPPER(TRIM(B1938)), SETUP!$B$4:$C$11, 2, FALSE), UPPER(TRIM(B1938)))))</f>
        <v/>
      </c>
      <c r="K1938" s="23" t="str">
        <f t="shared" si="2"/>
        <v/>
      </c>
      <c r="L1938" s="17" t="str">
        <f t="shared" si="3"/>
        <v/>
      </c>
      <c r="M1938" s="17" t="str">
        <f t="shared" si="4"/>
        <v/>
      </c>
    </row>
    <row r="1939" ht="15.75" customHeight="1">
      <c r="A1939" s="12"/>
      <c r="B1939" s="11"/>
      <c r="C1939" s="11"/>
      <c r="D1939" s="11"/>
      <c r="E1939" s="11" t="str">
        <f>IF(J1939="","", C1939 * IFERROR(VLOOKUP(J1939, SETUP!$A:$D, 3, FALSE), 0))</f>
        <v/>
      </c>
      <c r="F1939" s="11" t="str">
        <f>IF(J1939="","", C1939 * IFERROR(VLOOKUP(J1939, SETUP!$A:$D, 4, FALSE), 0))</f>
        <v/>
      </c>
      <c r="G1939" s="11" t="str">
        <f t="shared" si="1"/>
        <v/>
      </c>
      <c r="H1939" s="22"/>
      <c r="I1939" s="11"/>
      <c r="J1939" s="17" t="str">
        <f>IF(TRIM(B1939)="","",IF(ISNUMBER(SEARCH(" - ",B1939)),TRIM(RIGHT(B1939,LEN(B1939)-FIND(" - ",B1939)-2)),IFERROR(VLOOKUP(UPPER(TRIM(B1939)), SETUP!$B$4:$C$11, 2, FALSE), UPPER(TRIM(B1939)))))</f>
        <v/>
      </c>
      <c r="K1939" s="23" t="str">
        <f t="shared" si="2"/>
        <v/>
      </c>
      <c r="L1939" s="17" t="str">
        <f t="shared" si="3"/>
        <v/>
      </c>
      <c r="M1939" s="17" t="str">
        <f t="shared" si="4"/>
        <v/>
      </c>
    </row>
    <row r="1940" ht="15.75" customHeight="1">
      <c r="A1940" s="12"/>
      <c r="B1940" s="11"/>
      <c r="C1940" s="11"/>
      <c r="D1940" s="11"/>
      <c r="E1940" s="11" t="str">
        <f>IF(J1940="","", C1940 * IFERROR(VLOOKUP(J1940, SETUP!$A:$D, 3, FALSE), 0))</f>
        <v/>
      </c>
      <c r="F1940" s="11" t="str">
        <f>IF(J1940="","", C1940 * IFERROR(VLOOKUP(J1940, SETUP!$A:$D, 4, FALSE), 0))</f>
        <v/>
      </c>
      <c r="G1940" s="11" t="str">
        <f t="shared" si="1"/>
        <v/>
      </c>
      <c r="H1940" s="22"/>
      <c r="I1940" s="11"/>
      <c r="J1940" s="17" t="str">
        <f>IF(TRIM(B1940)="","",IF(ISNUMBER(SEARCH(" - ",B1940)),TRIM(RIGHT(B1940,LEN(B1940)-FIND(" - ",B1940)-2)),IFERROR(VLOOKUP(UPPER(TRIM(B1940)), SETUP!$B$4:$C$11, 2, FALSE), UPPER(TRIM(B1940)))))</f>
        <v/>
      </c>
      <c r="K1940" s="23" t="str">
        <f t="shared" si="2"/>
        <v/>
      </c>
      <c r="L1940" s="17" t="str">
        <f t="shared" si="3"/>
        <v/>
      </c>
      <c r="M1940" s="17" t="str">
        <f t="shared" si="4"/>
        <v/>
      </c>
    </row>
    <row r="1941" ht="15.75" customHeight="1">
      <c r="A1941" s="12"/>
      <c r="B1941" s="11"/>
      <c r="C1941" s="11"/>
      <c r="D1941" s="11"/>
      <c r="E1941" s="11" t="str">
        <f>IF(J1941="","", C1941 * IFERROR(VLOOKUP(J1941, SETUP!$A:$D, 3, FALSE), 0))</f>
        <v/>
      </c>
      <c r="F1941" s="11" t="str">
        <f>IF(J1941="","", C1941 * IFERROR(VLOOKUP(J1941, SETUP!$A:$D, 4, FALSE), 0))</f>
        <v/>
      </c>
      <c r="G1941" s="11" t="str">
        <f t="shared" si="1"/>
        <v/>
      </c>
      <c r="H1941" s="22"/>
      <c r="I1941" s="11"/>
      <c r="J1941" s="17" t="str">
        <f>IF(TRIM(B1941)="","",IF(ISNUMBER(SEARCH(" - ",B1941)),TRIM(RIGHT(B1941,LEN(B1941)-FIND(" - ",B1941)-2)),IFERROR(VLOOKUP(UPPER(TRIM(B1941)), SETUP!$B$4:$C$11, 2, FALSE), UPPER(TRIM(B1941)))))</f>
        <v/>
      </c>
      <c r="K1941" s="23" t="str">
        <f t="shared" si="2"/>
        <v/>
      </c>
      <c r="L1941" s="17" t="str">
        <f t="shared" si="3"/>
        <v/>
      </c>
      <c r="M1941" s="17" t="str">
        <f t="shared" si="4"/>
        <v/>
      </c>
    </row>
    <row r="1942" ht="15.75" customHeight="1">
      <c r="A1942" s="12"/>
      <c r="B1942" s="11"/>
      <c r="C1942" s="11"/>
      <c r="D1942" s="11"/>
      <c r="E1942" s="11" t="str">
        <f>IF(J1942="","", C1942 * IFERROR(VLOOKUP(J1942, SETUP!$A:$D, 3, FALSE), 0))</f>
        <v/>
      </c>
      <c r="F1942" s="11" t="str">
        <f>IF(J1942="","", C1942 * IFERROR(VLOOKUP(J1942, SETUP!$A:$D, 4, FALSE), 0))</f>
        <v/>
      </c>
      <c r="G1942" s="11" t="str">
        <f t="shared" si="1"/>
        <v/>
      </c>
      <c r="H1942" s="22"/>
      <c r="I1942" s="11"/>
      <c r="J1942" s="17" t="str">
        <f>IF(TRIM(B1942)="","",IF(ISNUMBER(SEARCH(" - ",B1942)),TRIM(RIGHT(B1942,LEN(B1942)-FIND(" - ",B1942)-2)),IFERROR(VLOOKUP(UPPER(TRIM(B1942)), SETUP!$B$4:$C$11, 2, FALSE), UPPER(TRIM(B1942)))))</f>
        <v/>
      </c>
      <c r="K1942" s="23" t="str">
        <f t="shared" si="2"/>
        <v/>
      </c>
      <c r="L1942" s="17" t="str">
        <f t="shared" si="3"/>
        <v/>
      </c>
      <c r="M1942" s="17" t="str">
        <f t="shared" si="4"/>
        <v/>
      </c>
    </row>
    <row r="1943" ht="15.75" customHeight="1">
      <c r="A1943" s="12"/>
      <c r="B1943" s="11"/>
      <c r="C1943" s="11"/>
      <c r="D1943" s="11"/>
      <c r="E1943" s="11" t="str">
        <f>IF(J1943="","", C1943 * IFERROR(VLOOKUP(J1943, SETUP!$A:$D, 3, FALSE), 0))</f>
        <v/>
      </c>
      <c r="F1943" s="11" t="str">
        <f>IF(J1943="","", C1943 * IFERROR(VLOOKUP(J1943, SETUP!$A:$D, 4, FALSE), 0))</f>
        <v/>
      </c>
      <c r="G1943" s="11" t="str">
        <f t="shared" si="1"/>
        <v/>
      </c>
      <c r="H1943" s="22"/>
      <c r="I1943" s="11"/>
      <c r="J1943" s="17" t="str">
        <f>IF(TRIM(B1943)="","",IF(ISNUMBER(SEARCH(" - ",B1943)),TRIM(RIGHT(B1943,LEN(B1943)-FIND(" - ",B1943)-2)),IFERROR(VLOOKUP(UPPER(TRIM(B1943)), SETUP!$B$4:$C$11, 2, FALSE), UPPER(TRIM(B1943)))))</f>
        <v/>
      </c>
      <c r="K1943" s="23" t="str">
        <f t="shared" si="2"/>
        <v/>
      </c>
      <c r="L1943" s="17" t="str">
        <f t="shared" si="3"/>
        <v/>
      </c>
      <c r="M1943" s="17" t="str">
        <f t="shared" si="4"/>
        <v/>
      </c>
    </row>
    <row r="1944" ht="15.75" customHeight="1">
      <c r="A1944" s="12"/>
      <c r="B1944" s="11"/>
      <c r="C1944" s="11"/>
      <c r="D1944" s="11"/>
      <c r="E1944" s="11" t="str">
        <f>IF(J1944="","", C1944 * IFERROR(VLOOKUP(J1944, SETUP!$A:$D, 3, FALSE), 0))</f>
        <v/>
      </c>
      <c r="F1944" s="11" t="str">
        <f>IF(J1944="","", C1944 * IFERROR(VLOOKUP(J1944, SETUP!$A:$D, 4, FALSE), 0))</f>
        <v/>
      </c>
      <c r="G1944" s="11" t="str">
        <f t="shared" si="1"/>
        <v/>
      </c>
      <c r="H1944" s="22"/>
      <c r="I1944" s="11"/>
      <c r="J1944" s="17" t="str">
        <f>IF(TRIM(B1944)="","",IF(ISNUMBER(SEARCH(" - ",B1944)),TRIM(RIGHT(B1944,LEN(B1944)-FIND(" - ",B1944)-2)),IFERROR(VLOOKUP(UPPER(TRIM(B1944)), SETUP!$B$4:$C$11, 2, FALSE), UPPER(TRIM(B1944)))))</f>
        <v/>
      </c>
      <c r="K1944" s="23" t="str">
        <f t="shared" si="2"/>
        <v/>
      </c>
      <c r="L1944" s="17" t="str">
        <f t="shared" si="3"/>
        <v/>
      </c>
      <c r="M1944" s="17" t="str">
        <f t="shared" si="4"/>
        <v/>
      </c>
    </row>
    <row r="1945" ht="15.75" customHeight="1">
      <c r="A1945" s="12"/>
      <c r="B1945" s="11"/>
      <c r="C1945" s="11"/>
      <c r="D1945" s="11"/>
      <c r="E1945" s="11" t="str">
        <f>IF(J1945="","", C1945 * IFERROR(VLOOKUP(J1945, SETUP!$A:$D, 3, FALSE), 0))</f>
        <v/>
      </c>
      <c r="F1945" s="11" t="str">
        <f>IF(J1945="","", C1945 * IFERROR(VLOOKUP(J1945, SETUP!$A:$D, 4, FALSE), 0))</f>
        <v/>
      </c>
      <c r="G1945" s="11" t="str">
        <f t="shared" si="1"/>
        <v/>
      </c>
      <c r="H1945" s="22"/>
      <c r="I1945" s="11"/>
      <c r="J1945" s="17" t="str">
        <f>IF(TRIM(B1945)="","",IF(ISNUMBER(SEARCH(" - ",B1945)),TRIM(RIGHT(B1945,LEN(B1945)-FIND(" - ",B1945)-2)),IFERROR(VLOOKUP(UPPER(TRIM(B1945)), SETUP!$B$4:$C$11, 2, FALSE), UPPER(TRIM(B1945)))))</f>
        <v/>
      </c>
      <c r="K1945" s="23" t="str">
        <f t="shared" si="2"/>
        <v/>
      </c>
      <c r="L1945" s="17" t="str">
        <f t="shared" si="3"/>
        <v/>
      </c>
      <c r="M1945" s="17" t="str">
        <f t="shared" si="4"/>
        <v/>
      </c>
    </row>
    <row r="1946" ht="15.75" customHeight="1">
      <c r="A1946" s="12"/>
      <c r="B1946" s="11"/>
      <c r="C1946" s="11"/>
      <c r="D1946" s="11"/>
      <c r="E1946" s="11" t="str">
        <f>IF(J1946="","", C1946 * IFERROR(VLOOKUP(J1946, SETUP!$A:$D, 3, FALSE), 0))</f>
        <v/>
      </c>
      <c r="F1946" s="11" t="str">
        <f>IF(J1946="","", C1946 * IFERROR(VLOOKUP(J1946, SETUP!$A:$D, 4, FALSE), 0))</f>
        <v/>
      </c>
      <c r="G1946" s="11" t="str">
        <f t="shared" si="1"/>
        <v/>
      </c>
      <c r="H1946" s="22"/>
      <c r="I1946" s="11"/>
      <c r="J1946" s="17" t="str">
        <f>IF(TRIM(B1946)="","",IF(ISNUMBER(SEARCH(" - ",B1946)),TRIM(RIGHT(B1946,LEN(B1946)-FIND(" - ",B1946)-2)),IFERROR(VLOOKUP(UPPER(TRIM(B1946)), SETUP!$B$4:$C$11, 2, FALSE), UPPER(TRIM(B1946)))))</f>
        <v/>
      </c>
      <c r="K1946" s="23" t="str">
        <f t="shared" si="2"/>
        <v/>
      </c>
      <c r="L1946" s="17" t="str">
        <f t="shared" si="3"/>
        <v/>
      </c>
      <c r="M1946" s="17" t="str">
        <f t="shared" si="4"/>
        <v/>
      </c>
    </row>
    <row r="1947" ht="15.75" customHeight="1">
      <c r="A1947" s="12"/>
      <c r="B1947" s="11"/>
      <c r="C1947" s="11"/>
      <c r="D1947" s="11"/>
      <c r="E1947" s="11" t="str">
        <f>IF(J1947="","", C1947 * IFERROR(VLOOKUP(J1947, SETUP!$A:$D, 3, FALSE), 0))</f>
        <v/>
      </c>
      <c r="F1947" s="11" t="str">
        <f>IF(J1947="","", C1947 * IFERROR(VLOOKUP(J1947, SETUP!$A:$D, 4, FALSE), 0))</f>
        <v/>
      </c>
      <c r="G1947" s="11" t="str">
        <f t="shared" si="1"/>
        <v/>
      </c>
      <c r="H1947" s="22"/>
      <c r="I1947" s="11"/>
      <c r="J1947" s="17" t="str">
        <f>IF(TRIM(B1947)="","",IF(ISNUMBER(SEARCH(" - ",B1947)),TRIM(RIGHT(B1947,LEN(B1947)-FIND(" - ",B1947)-2)),IFERROR(VLOOKUP(UPPER(TRIM(B1947)), SETUP!$B$4:$C$11, 2, FALSE), UPPER(TRIM(B1947)))))</f>
        <v/>
      </c>
      <c r="K1947" s="23" t="str">
        <f t="shared" si="2"/>
        <v/>
      </c>
      <c r="L1947" s="17" t="str">
        <f t="shared" si="3"/>
        <v/>
      </c>
      <c r="M1947" s="17" t="str">
        <f t="shared" si="4"/>
        <v/>
      </c>
    </row>
    <row r="1948" ht="15.75" customHeight="1">
      <c r="A1948" s="12"/>
      <c r="B1948" s="11"/>
      <c r="C1948" s="11"/>
      <c r="D1948" s="11"/>
      <c r="E1948" s="11" t="str">
        <f>IF(J1948="","", C1948 * IFERROR(VLOOKUP(J1948, SETUP!$A:$D, 3, FALSE), 0))</f>
        <v/>
      </c>
      <c r="F1948" s="11" t="str">
        <f>IF(J1948="","", C1948 * IFERROR(VLOOKUP(J1948, SETUP!$A:$D, 4, FALSE), 0))</f>
        <v/>
      </c>
      <c r="G1948" s="11" t="str">
        <f t="shared" si="1"/>
        <v/>
      </c>
      <c r="H1948" s="22"/>
      <c r="I1948" s="11"/>
      <c r="J1948" s="17" t="str">
        <f>IF(TRIM(B1948)="","",IF(ISNUMBER(SEARCH(" - ",B1948)),TRIM(RIGHT(B1948,LEN(B1948)-FIND(" - ",B1948)-2)),IFERROR(VLOOKUP(UPPER(TRIM(B1948)), SETUP!$B$4:$C$11, 2, FALSE), UPPER(TRIM(B1948)))))</f>
        <v/>
      </c>
      <c r="K1948" s="23" t="str">
        <f t="shared" si="2"/>
        <v/>
      </c>
      <c r="L1948" s="17" t="str">
        <f t="shared" si="3"/>
        <v/>
      </c>
      <c r="M1948" s="17" t="str">
        <f t="shared" si="4"/>
        <v/>
      </c>
    </row>
    <row r="1949" ht="15.75" customHeight="1">
      <c r="A1949" s="12"/>
      <c r="B1949" s="11"/>
      <c r="C1949" s="11"/>
      <c r="D1949" s="11"/>
      <c r="E1949" s="11" t="str">
        <f>IF(J1949="","", C1949 * IFERROR(VLOOKUP(J1949, SETUP!$A:$D, 3, FALSE), 0))</f>
        <v/>
      </c>
      <c r="F1949" s="11" t="str">
        <f>IF(J1949="","", C1949 * IFERROR(VLOOKUP(J1949, SETUP!$A:$D, 4, FALSE), 0))</f>
        <v/>
      </c>
      <c r="G1949" s="11" t="str">
        <f t="shared" si="1"/>
        <v/>
      </c>
      <c r="H1949" s="22"/>
      <c r="I1949" s="11"/>
      <c r="J1949" s="17" t="str">
        <f>IF(TRIM(B1949)="","",IF(ISNUMBER(SEARCH(" - ",B1949)),TRIM(RIGHT(B1949,LEN(B1949)-FIND(" - ",B1949)-2)),IFERROR(VLOOKUP(UPPER(TRIM(B1949)), SETUP!$B$4:$C$11, 2, FALSE), UPPER(TRIM(B1949)))))</f>
        <v/>
      </c>
      <c r="K1949" s="23" t="str">
        <f t="shared" si="2"/>
        <v/>
      </c>
      <c r="L1949" s="17" t="str">
        <f t="shared" si="3"/>
        <v/>
      </c>
      <c r="M1949" s="17" t="str">
        <f t="shared" si="4"/>
        <v/>
      </c>
    </row>
    <row r="1950" ht="15.75" customHeight="1">
      <c r="A1950" s="12"/>
      <c r="B1950" s="11"/>
      <c r="C1950" s="11"/>
      <c r="D1950" s="11"/>
      <c r="E1950" s="11" t="str">
        <f>IF(J1950="","", C1950 * IFERROR(VLOOKUP(J1950, SETUP!$A:$D, 3, FALSE), 0))</f>
        <v/>
      </c>
      <c r="F1950" s="11" t="str">
        <f>IF(J1950="","", C1950 * IFERROR(VLOOKUP(J1950, SETUP!$A:$D, 4, FALSE), 0))</f>
        <v/>
      </c>
      <c r="G1950" s="11" t="str">
        <f t="shared" si="1"/>
        <v/>
      </c>
      <c r="H1950" s="22"/>
      <c r="I1950" s="11"/>
      <c r="J1950" s="17" t="str">
        <f>IF(TRIM(B1950)="","",IF(ISNUMBER(SEARCH(" - ",B1950)),TRIM(RIGHT(B1950,LEN(B1950)-FIND(" - ",B1950)-2)),IFERROR(VLOOKUP(UPPER(TRIM(B1950)), SETUP!$B$4:$C$11, 2, FALSE), UPPER(TRIM(B1950)))))</f>
        <v/>
      </c>
      <c r="K1950" s="23" t="str">
        <f t="shared" si="2"/>
        <v/>
      </c>
      <c r="L1950" s="17" t="str">
        <f t="shared" si="3"/>
        <v/>
      </c>
      <c r="M1950" s="17" t="str">
        <f t="shared" si="4"/>
        <v/>
      </c>
    </row>
    <row r="1951" ht="15.75" customHeight="1">
      <c r="A1951" s="12"/>
      <c r="B1951" s="11"/>
      <c r="C1951" s="11"/>
      <c r="D1951" s="11"/>
      <c r="E1951" s="11" t="str">
        <f>IF(J1951="","", C1951 * IFERROR(VLOOKUP(J1951, SETUP!$A:$D, 3, FALSE), 0))</f>
        <v/>
      </c>
      <c r="F1951" s="11" t="str">
        <f>IF(J1951="","", C1951 * IFERROR(VLOOKUP(J1951, SETUP!$A:$D, 4, FALSE), 0))</f>
        <v/>
      </c>
      <c r="G1951" s="11" t="str">
        <f t="shared" si="1"/>
        <v/>
      </c>
      <c r="H1951" s="22"/>
      <c r="I1951" s="11"/>
      <c r="J1951" s="17" t="str">
        <f>IF(TRIM(B1951)="","",IF(ISNUMBER(SEARCH(" - ",B1951)),TRIM(RIGHT(B1951,LEN(B1951)-FIND(" - ",B1951)-2)),IFERROR(VLOOKUP(UPPER(TRIM(B1951)), SETUP!$B$4:$C$11, 2, FALSE), UPPER(TRIM(B1951)))))</f>
        <v/>
      </c>
      <c r="K1951" s="23" t="str">
        <f t="shared" si="2"/>
        <v/>
      </c>
      <c r="L1951" s="17" t="str">
        <f t="shared" si="3"/>
        <v/>
      </c>
      <c r="M1951" s="17" t="str">
        <f t="shared" si="4"/>
        <v/>
      </c>
    </row>
    <row r="1952" ht="15.75" customHeight="1">
      <c r="A1952" s="12"/>
      <c r="B1952" s="11"/>
      <c r="C1952" s="11"/>
      <c r="D1952" s="11"/>
      <c r="E1952" s="11" t="str">
        <f>IF(J1952="","", C1952 * IFERROR(VLOOKUP(J1952, SETUP!$A:$D, 3, FALSE), 0))</f>
        <v/>
      </c>
      <c r="F1952" s="11" t="str">
        <f>IF(J1952="","", C1952 * IFERROR(VLOOKUP(J1952, SETUP!$A:$D, 4, FALSE), 0))</f>
        <v/>
      </c>
      <c r="G1952" s="11" t="str">
        <f t="shared" si="1"/>
        <v/>
      </c>
      <c r="H1952" s="22"/>
      <c r="I1952" s="11"/>
      <c r="J1952" s="17" t="str">
        <f>IF(TRIM(B1952)="","",IF(ISNUMBER(SEARCH(" - ",B1952)),TRIM(RIGHT(B1952,LEN(B1952)-FIND(" - ",B1952)-2)),IFERROR(VLOOKUP(UPPER(TRIM(B1952)), SETUP!$B$4:$C$11, 2, FALSE), UPPER(TRIM(B1952)))))</f>
        <v/>
      </c>
      <c r="K1952" s="23" t="str">
        <f t="shared" si="2"/>
        <v/>
      </c>
      <c r="L1952" s="17" t="str">
        <f t="shared" si="3"/>
        <v/>
      </c>
      <c r="M1952" s="17" t="str">
        <f t="shared" si="4"/>
        <v/>
      </c>
    </row>
    <row r="1953" ht="15.75" customHeight="1">
      <c r="A1953" s="12"/>
      <c r="B1953" s="11"/>
      <c r="C1953" s="11"/>
      <c r="D1953" s="11"/>
      <c r="E1953" s="11" t="str">
        <f>IF(J1953="","", C1953 * IFERROR(VLOOKUP(J1953, SETUP!$A:$D, 3, FALSE), 0))</f>
        <v/>
      </c>
      <c r="F1953" s="11" t="str">
        <f>IF(J1953="","", C1953 * IFERROR(VLOOKUP(J1953, SETUP!$A:$D, 4, FALSE), 0))</f>
        <v/>
      </c>
      <c r="G1953" s="11" t="str">
        <f t="shared" si="1"/>
        <v/>
      </c>
      <c r="H1953" s="22"/>
      <c r="I1953" s="11"/>
      <c r="J1953" s="17" t="str">
        <f>IF(TRIM(B1953)="","",IF(ISNUMBER(SEARCH(" - ",B1953)),TRIM(RIGHT(B1953,LEN(B1953)-FIND(" - ",B1953)-2)),IFERROR(VLOOKUP(UPPER(TRIM(B1953)), SETUP!$B$4:$C$11, 2, FALSE), UPPER(TRIM(B1953)))))</f>
        <v/>
      </c>
      <c r="K1953" s="23" t="str">
        <f t="shared" si="2"/>
        <v/>
      </c>
      <c r="L1953" s="17" t="str">
        <f t="shared" si="3"/>
        <v/>
      </c>
      <c r="M1953" s="17" t="str">
        <f t="shared" si="4"/>
        <v/>
      </c>
    </row>
    <row r="1954" ht="15.75" customHeight="1">
      <c r="A1954" s="12"/>
      <c r="B1954" s="11"/>
      <c r="C1954" s="11"/>
      <c r="D1954" s="11"/>
      <c r="E1954" s="11" t="str">
        <f>IF(J1954="","", C1954 * IFERROR(VLOOKUP(J1954, SETUP!$A:$D, 3, FALSE), 0))</f>
        <v/>
      </c>
      <c r="F1954" s="11" t="str">
        <f>IF(J1954="","", C1954 * IFERROR(VLOOKUP(J1954, SETUP!$A:$D, 4, FALSE), 0))</f>
        <v/>
      </c>
      <c r="G1954" s="11" t="str">
        <f t="shared" si="1"/>
        <v/>
      </c>
      <c r="H1954" s="22"/>
      <c r="I1954" s="11"/>
      <c r="J1954" s="17" t="str">
        <f>IF(TRIM(B1954)="","",IF(ISNUMBER(SEARCH(" - ",B1954)),TRIM(RIGHT(B1954,LEN(B1954)-FIND(" - ",B1954)-2)),IFERROR(VLOOKUP(UPPER(TRIM(B1954)), SETUP!$B$4:$C$11, 2, FALSE), UPPER(TRIM(B1954)))))</f>
        <v/>
      </c>
      <c r="K1954" s="23" t="str">
        <f t="shared" si="2"/>
        <v/>
      </c>
      <c r="L1954" s="17" t="str">
        <f t="shared" si="3"/>
        <v/>
      </c>
      <c r="M1954" s="17" t="str">
        <f t="shared" si="4"/>
        <v/>
      </c>
    </row>
    <row r="1955" ht="15.75" customHeight="1">
      <c r="A1955" s="12"/>
      <c r="B1955" s="11"/>
      <c r="C1955" s="11"/>
      <c r="D1955" s="11"/>
      <c r="E1955" s="11" t="str">
        <f>IF(J1955="","", C1955 * IFERROR(VLOOKUP(J1955, SETUP!$A:$D, 3, FALSE), 0))</f>
        <v/>
      </c>
      <c r="F1955" s="11" t="str">
        <f>IF(J1955="","", C1955 * IFERROR(VLOOKUP(J1955, SETUP!$A:$D, 4, FALSE), 0))</f>
        <v/>
      </c>
      <c r="G1955" s="11" t="str">
        <f t="shared" si="1"/>
        <v/>
      </c>
      <c r="H1955" s="22"/>
      <c r="I1955" s="11"/>
      <c r="J1955" s="17" t="str">
        <f>IF(TRIM(B1955)="","",IF(ISNUMBER(SEARCH(" - ",B1955)),TRIM(RIGHT(B1955,LEN(B1955)-FIND(" - ",B1955)-2)),IFERROR(VLOOKUP(UPPER(TRIM(B1955)), SETUP!$B$4:$C$11, 2, FALSE), UPPER(TRIM(B1955)))))</f>
        <v/>
      </c>
      <c r="K1955" s="23" t="str">
        <f t="shared" si="2"/>
        <v/>
      </c>
      <c r="L1955" s="17" t="str">
        <f t="shared" si="3"/>
        <v/>
      </c>
      <c r="M1955" s="17" t="str">
        <f t="shared" si="4"/>
        <v/>
      </c>
    </row>
    <row r="1956" ht="15.75" customHeight="1">
      <c r="A1956" s="12"/>
      <c r="B1956" s="11"/>
      <c r="C1956" s="11"/>
      <c r="D1956" s="11"/>
      <c r="E1956" s="11" t="str">
        <f>IF(J1956="","", C1956 * IFERROR(VLOOKUP(J1956, SETUP!$A:$D, 3, FALSE), 0))</f>
        <v/>
      </c>
      <c r="F1956" s="11" t="str">
        <f>IF(J1956="","", C1956 * IFERROR(VLOOKUP(J1956, SETUP!$A:$D, 4, FALSE), 0))</f>
        <v/>
      </c>
      <c r="G1956" s="11" t="str">
        <f t="shared" si="1"/>
        <v/>
      </c>
      <c r="H1956" s="22"/>
      <c r="I1956" s="11"/>
      <c r="J1956" s="17" t="str">
        <f>IF(TRIM(B1956)="","",IF(ISNUMBER(SEARCH(" - ",B1956)),TRIM(RIGHT(B1956,LEN(B1956)-FIND(" - ",B1956)-2)),IFERROR(VLOOKUP(UPPER(TRIM(B1956)), SETUP!$B$4:$C$11, 2, FALSE), UPPER(TRIM(B1956)))))</f>
        <v/>
      </c>
      <c r="K1956" s="23" t="str">
        <f t="shared" si="2"/>
        <v/>
      </c>
      <c r="L1956" s="17" t="str">
        <f t="shared" si="3"/>
        <v/>
      </c>
      <c r="M1956" s="17" t="str">
        <f t="shared" si="4"/>
        <v/>
      </c>
    </row>
    <row r="1957" ht="15.75" customHeight="1">
      <c r="A1957" s="12"/>
      <c r="B1957" s="11"/>
      <c r="C1957" s="11"/>
      <c r="D1957" s="11"/>
      <c r="E1957" s="11" t="str">
        <f>IF(J1957="","", C1957 * IFERROR(VLOOKUP(J1957, SETUP!$A:$D, 3, FALSE), 0))</f>
        <v/>
      </c>
      <c r="F1957" s="11" t="str">
        <f>IF(J1957="","", C1957 * IFERROR(VLOOKUP(J1957, SETUP!$A:$D, 4, FALSE), 0))</f>
        <v/>
      </c>
      <c r="G1957" s="11" t="str">
        <f t="shared" si="1"/>
        <v/>
      </c>
      <c r="H1957" s="22"/>
      <c r="I1957" s="11"/>
      <c r="J1957" s="17" t="str">
        <f>IF(TRIM(B1957)="","",IF(ISNUMBER(SEARCH(" - ",B1957)),TRIM(RIGHT(B1957,LEN(B1957)-FIND(" - ",B1957)-2)),IFERROR(VLOOKUP(UPPER(TRIM(B1957)), SETUP!$B$4:$C$11, 2, FALSE), UPPER(TRIM(B1957)))))</f>
        <v/>
      </c>
      <c r="K1957" s="23" t="str">
        <f t="shared" si="2"/>
        <v/>
      </c>
      <c r="L1957" s="17" t="str">
        <f t="shared" si="3"/>
        <v/>
      </c>
      <c r="M1957" s="17" t="str">
        <f t="shared" si="4"/>
        <v/>
      </c>
    </row>
    <row r="1958" ht="15.75" customHeight="1">
      <c r="A1958" s="12"/>
      <c r="B1958" s="11"/>
      <c r="C1958" s="11"/>
      <c r="D1958" s="11"/>
      <c r="E1958" s="11" t="str">
        <f>IF(J1958="","", C1958 * IFERROR(VLOOKUP(J1958, SETUP!$A:$D, 3, FALSE), 0))</f>
        <v/>
      </c>
      <c r="F1958" s="11" t="str">
        <f>IF(J1958="","", C1958 * IFERROR(VLOOKUP(J1958, SETUP!$A:$D, 4, FALSE), 0))</f>
        <v/>
      </c>
      <c r="G1958" s="11" t="str">
        <f t="shared" si="1"/>
        <v/>
      </c>
      <c r="H1958" s="22"/>
      <c r="I1958" s="11"/>
      <c r="J1958" s="17" t="str">
        <f>IF(TRIM(B1958)="","",IF(ISNUMBER(SEARCH(" - ",B1958)),TRIM(RIGHT(B1958,LEN(B1958)-FIND(" - ",B1958)-2)),IFERROR(VLOOKUP(UPPER(TRIM(B1958)), SETUP!$B$4:$C$11, 2, FALSE), UPPER(TRIM(B1958)))))</f>
        <v/>
      </c>
      <c r="K1958" s="23" t="str">
        <f t="shared" si="2"/>
        <v/>
      </c>
      <c r="L1958" s="17" t="str">
        <f t="shared" si="3"/>
        <v/>
      </c>
      <c r="M1958" s="17" t="str">
        <f t="shared" si="4"/>
        <v/>
      </c>
    </row>
    <row r="1959" ht="15.75" customHeight="1">
      <c r="A1959" s="12"/>
      <c r="B1959" s="11"/>
      <c r="C1959" s="11"/>
      <c r="D1959" s="11"/>
      <c r="E1959" s="11" t="str">
        <f>IF(J1959="","", C1959 * IFERROR(VLOOKUP(J1959, SETUP!$A:$D, 3, FALSE), 0))</f>
        <v/>
      </c>
      <c r="F1959" s="11" t="str">
        <f>IF(J1959="","", C1959 * IFERROR(VLOOKUP(J1959, SETUP!$A:$D, 4, FALSE), 0))</f>
        <v/>
      </c>
      <c r="G1959" s="11" t="str">
        <f t="shared" si="1"/>
        <v/>
      </c>
      <c r="H1959" s="22"/>
      <c r="I1959" s="11"/>
      <c r="J1959" s="17" t="str">
        <f>IF(TRIM(B1959)="","",IF(ISNUMBER(SEARCH(" - ",B1959)),TRIM(RIGHT(B1959,LEN(B1959)-FIND(" - ",B1959)-2)),IFERROR(VLOOKUP(UPPER(TRIM(B1959)), SETUP!$B$4:$C$11, 2, FALSE), UPPER(TRIM(B1959)))))</f>
        <v/>
      </c>
      <c r="K1959" s="23" t="str">
        <f t="shared" si="2"/>
        <v/>
      </c>
      <c r="L1959" s="17" t="str">
        <f t="shared" si="3"/>
        <v/>
      </c>
      <c r="M1959" s="17" t="str">
        <f t="shared" si="4"/>
        <v/>
      </c>
    </row>
    <row r="1960" ht="15.75" customHeight="1">
      <c r="A1960" s="12"/>
      <c r="B1960" s="11"/>
      <c r="C1960" s="11"/>
      <c r="D1960" s="11"/>
      <c r="E1960" s="11" t="str">
        <f>IF(J1960="","", C1960 * IFERROR(VLOOKUP(J1960, SETUP!$A:$D, 3, FALSE), 0))</f>
        <v/>
      </c>
      <c r="F1960" s="11" t="str">
        <f>IF(J1960="","", C1960 * IFERROR(VLOOKUP(J1960, SETUP!$A:$D, 4, FALSE), 0))</f>
        <v/>
      </c>
      <c r="G1960" s="11" t="str">
        <f t="shared" si="1"/>
        <v/>
      </c>
      <c r="H1960" s="22"/>
      <c r="I1960" s="11"/>
      <c r="J1960" s="17" t="str">
        <f>IF(TRIM(B1960)="","",IF(ISNUMBER(SEARCH(" - ",B1960)),TRIM(RIGHT(B1960,LEN(B1960)-FIND(" - ",B1960)-2)),IFERROR(VLOOKUP(UPPER(TRIM(B1960)), SETUP!$B$4:$C$11, 2, FALSE), UPPER(TRIM(B1960)))))</f>
        <v/>
      </c>
      <c r="K1960" s="23" t="str">
        <f t="shared" si="2"/>
        <v/>
      </c>
      <c r="L1960" s="17" t="str">
        <f t="shared" si="3"/>
        <v/>
      </c>
      <c r="M1960" s="17" t="str">
        <f t="shared" si="4"/>
        <v/>
      </c>
    </row>
    <row r="1961" ht="15.75" customHeight="1">
      <c r="A1961" s="12"/>
      <c r="B1961" s="11"/>
      <c r="C1961" s="11"/>
      <c r="D1961" s="11"/>
      <c r="E1961" s="11" t="str">
        <f>IF(J1961="","", C1961 * IFERROR(VLOOKUP(J1961, SETUP!$A:$D, 3, FALSE), 0))</f>
        <v/>
      </c>
      <c r="F1961" s="11" t="str">
        <f>IF(J1961="","", C1961 * IFERROR(VLOOKUP(J1961, SETUP!$A:$D, 4, FALSE), 0))</f>
        <v/>
      </c>
      <c r="G1961" s="11" t="str">
        <f t="shared" si="1"/>
        <v/>
      </c>
      <c r="H1961" s="22"/>
      <c r="I1961" s="11"/>
      <c r="J1961" s="17" t="str">
        <f>IF(TRIM(B1961)="","",IF(ISNUMBER(SEARCH(" - ",B1961)),TRIM(RIGHT(B1961,LEN(B1961)-FIND(" - ",B1961)-2)),IFERROR(VLOOKUP(UPPER(TRIM(B1961)), SETUP!$B$4:$C$11, 2, FALSE), UPPER(TRIM(B1961)))))</f>
        <v/>
      </c>
      <c r="K1961" s="23" t="str">
        <f t="shared" si="2"/>
        <v/>
      </c>
      <c r="L1961" s="17" t="str">
        <f t="shared" si="3"/>
        <v/>
      </c>
      <c r="M1961" s="17" t="str">
        <f t="shared" si="4"/>
        <v/>
      </c>
    </row>
    <row r="1962" ht="15.75" customHeight="1">
      <c r="A1962" s="12"/>
      <c r="B1962" s="11"/>
      <c r="C1962" s="11"/>
      <c r="D1962" s="11"/>
      <c r="E1962" s="11" t="str">
        <f>IF(J1962="","", C1962 * IFERROR(VLOOKUP(J1962, SETUP!$A:$D, 3, FALSE), 0))</f>
        <v/>
      </c>
      <c r="F1962" s="11" t="str">
        <f>IF(J1962="","", C1962 * IFERROR(VLOOKUP(J1962, SETUP!$A:$D, 4, FALSE), 0))</f>
        <v/>
      </c>
      <c r="G1962" s="11" t="str">
        <f t="shared" si="1"/>
        <v/>
      </c>
      <c r="H1962" s="22"/>
      <c r="I1962" s="11"/>
      <c r="J1962" s="17" t="str">
        <f>IF(TRIM(B1962)="","",IF(ISNUMBER(SEARCH(" - ",B1962)),TRIM(RIGHT(B1962,LEN(B1962)-FIND(" - ",B1962)-2)),IFERROR(VLOOKUP(UPPER(TRIM(B1962)), SETUP!$B$4:$C$11, 2, FALSE), UPPER(TRIM(B1962)))))</f>
        <v/>
      </c>
      <c r="K1962" s="23" t="str">
        <f t="shared" si="2"/>
        <v/>
      </c>
      <c r="L1962" s="17" t="str">
        <f t="shared" si="3"/>
        <v/>
      </c>
      <c r="M1962" s="17" t="str">
        <f t="shared" si="4"/>
        <v/>
      </c>
    </row>
    <row r="1963" ht="15.75" customHeight="1">
      <c r="A1963" s="12"/>
      <c r="B1963" s="11"/>
      <c r="C1963" s="11"/>
      <c r="D1963" s="11"/>
      <c r="E1963" s="11" t="str">
        <f>IF(J1963="","", C1963 * IFERROR(VLOOKUP(J1963, SETUP!$A:$D, 3, FALSE), 0))</f>
        <v/>
      </c>
      <c r="F1963" s="11" t="str">
        <f>IF(J1963="","", C1963 * IFERROR(VLOOKUP(J1963, SETUP!$A:$D, 4, FALSE), 0))</f>
        <v/>
      </c>
      <c r="G1963" s="11" t="str">
        <f t="shared" si="1"/>
        <v/>
      </c>
      <c r="H1963" s="22"/>
      <c r="I1963" s="11"/>
      <c r="J1963" s="17" t="str">
        <f>IF(TRIM(B1963)="","",IF(ISNUMBER(SEARCH(" - ",B1963)),TRIM(RIGHT(B1963,LEN(B1963)-FIND(" - ",B1963)-2)),IFERROR(VLOOKUP(UPPER(TRIM(B1963)), SETUP!$B$4:$C$11, 2, FALSE), UPPER(TRIM(B1963)))))</f>
        <v/>
      </c>
      <c r="K1963" s="23" t="str">
        <f t="shared" si="2"/>
        <v/>
      </c>
      <c r="L1963" s="17" t="str">
        <f t="shared" si="3"/>
        <v/>
      </c>
      <c r="M1963" s="17" t="str">
        <f t="shared" si="4"/>
        <v/>
      </c>
    </row>
    <row r="1964" ht="15.75" customHeight="1">
      <c r="A1964" s="12"/>
      <c r="B1964" s="11"/>
      <c r="C1964" s="11"/>
      <c r="D1964" s="11"/>
      <c r="E1964" s="11" t="str">
        <f>IF(J1964="","", C1964 * IFERROR(VLOOKUP(J1964, SETUP!$A:$D, 3, FALSE), 0))</f>
        <v/>
      </c>
      <c r="F1964" s="11" t="str">
        <f>IF(J1964="","", C1964 * IFERROR(VLOOKUP(J1964, SETUP!$A:$D, 4, FALSE), 0))</f>
        <v/>
      </c>
      <c r="G1964" s="11" t="str">
        <f t="shared" si="1"/>
        <v/>
      </c>
      <c r="H1964" s="22"/>
      <c r="I1964" s="11"/>
      <c r="J1964" s="17" t="str">
        <f>IF(TRIM(B1964)="","",IF(ISNUMBER(SEARCH(" - ",B1964)),TRIM(RIGHT(B1964,LEN(B1964)-FIND(" - ",B1964)-2)),IFERROR(VLOOKUP(UPPER(TRIM(B1964)), SETUP!$B$4:$C$11, 2, FALSE), UPPER(TRIM(B1964)))))</f>
        <v/>
      </c>
      <c r="K1964" s="23" t="str">
        <f t="shared" si="2"/>
        <v/>
      </c>
      <c r="L1964" s="17" t="str">
        <f t="shared" si="3"/>
        <v/>
      </c>
      <c r="M1964" s="17" t="str">
        <f t="shared" si="4"/>
        <v/>
      </c>
    </row>
    <row r="1965" ht="15.75" customHeight="1">
      <c r="A1965" s="12"/>
      <c r="B1965" s="11"/>
      <c r="C1965" s="11"/>
      <c r="D1965" s="11"/>
      <c r="E1965" s="11" t="str">
        <f>IF(J1965="","", C1965 * IFERROR(VLOOKUP(J1965, SETUP!$A:$D, 3, FALSE), 0))</f>
        <v/>
      </c>
      <c r="F1965" s="11" t="str">
        <f>IF(J1965="","", C1965 * IFERROR(VLOOKUP(J1965, SETUP!$A:$D, 4, FALSE), 0))</f>
        <v/>
      </c>
      <c r="G1965" s="11" t="str">
        <f t="shared" si="1"/>
        <v/>
      </c>
      <c r="H1965" s="22"/>
      <c r="I1965" s="11"/>
      <c r="J1965" s="17" t="str">
        <f>IF(TRIM(B1965)="","",IF(ISNUMBER(SEARCH(" - ",B1965)),TRIM(RIGHT(B1965,LEN(B1965)-FIND(" - ",B1965)-2)),IFERROR(VLOOKUP(UPPER(TRIM(B1965)), SETUP!$B$4:$C$11, 2, FALSE), UPPER(TRIM(B1965)))))</f>
        <v/>
      </c>
      <c r="K1965" s="23" t="str">
        <f t="shared" si="2"/>
        <v/>
      </c>
      <c r="L1965" s="17" t="str">
        <f t="shared" si="3"/>
        <v/>
      </c>
      <c r="M1965" s="17" t="str">
        <f t="shared" si="4"/>
        <v/>
      </c>
    </row>
    <row r="1966" ht="15.75" customHeight="1">
      <c r="A1966" s="12"/>
      <c r="B1966" s="11"/>
      <c r="C1966" s="11"/>
      <c r="D1966" s="11"/>
      <c r="E1966" s="11" t="str">
        <f>IF(J1966="","", C1966 * IFERROR(VLOOKUP(J1966, SETUP!$A:$D, 3, FALSE), 0))</f>
        <v/>
      </c>
      <c r="F1966" s="11" t="str">
        <f>IF(J1966="","", C1966 * IFERROR(VLOOKUP(J1966, SETUP!$A:$D, 4, FALSE), 0))</f>
        <v/>
      </c>
      <c r="G1966" s="11" t="str">
        <f t="shared" si="1"/>
        <v/>
      </c>
      <c r="H1966" s="22"/>
      <c r="I1966" s="11"/>
      <c r="J1966" s="17" t="str">
        <f>IF(TRIM(B1966)="","",IF(ISNUMBER(SEARCH(" - ",B1966)),TRIM(RIGHT(B1966,LEN(B1966)-FIND(" - ",B1966)-2)),IFERROR(VLOOKUP(UPPER(TRIM(B1966)), SETUP!$B$4:$C$11, 2, FALSE), UPPER(TRIM(B1966)))))</f>
        <v/>
      </c>
      <c r="K1966" s="23" t="str">
        <f t="shared" si="2"/>
        <v/>
      </c>
      <c r="L1966" s="17" t="str">
        <f t="shared" si="3"/>
        <v/>
      </c>
      <c r="M1966" s="17" t="str">
        <f t="shared" si="4"/>
        <v/>
      </c>
    </row>
    <row r="1967" ht="15.75" customHeight="1">
      <c r="A1967" s="12"/>
      <c r="B1967" s="11"/>
      <c r="C1967" s="11"/>
      <c r="D1967" s="11"/>
      <c r="E1967" s="11" t="str">
        <f>IF(J1967="","", C1967 * IFERROR(VLOOKUP(J1967, SETUP!$A:$D, 3, FALSE), 0))</f>
        <v/>
      </c>
      <c r="F1967" s="11" t="str">
        <f>IF(J1967="","", C1967 * IFERROR(VLOOKUP(J1967, SETUP!$A:$D, 4, FALSE), 0))</f>
        <v/>
      </c>
      <c r="G1967" s="11" t="str">
        <f t="shared" si="1"/>
        <v/>
      </c>
      <c r="H1967" s="22"/>
      <c r="I1967" s="11"/>
      <c r="J1967" s="17" t="str">
        <f>IF(TRIM(B1967)="","",IF(ISNUMBER(SEARCH(" - ",B1967)),TRIM(RIGHT(B1967,LEN(B1967)-FIND(" - ",B1967)-2)),IFERROR(VLOOKUP(UPPER(TRIM(B1967)), SETUP!$B$4:$C$11, 2, FALSE), UPPER(TRIM(B1967)))))</f>
        <v/>
      </c>
      <c r="K1967" s="23" t="str">
        <f t="shared" si="2"/>
        <v/>
      </c>
      <c r="L1967" s="17" t="str">
        <f t="shared" si="3"/>
        <v/>
      </c>
      <c r="M1967" s="17" t="str">
        <f t="shared" si="4"/>
        <v/>
      </c>
    </row>
    <row r="1968" ht="15.75" customHeight="1">
      <c r="A1968" s="12"/>
      <c r="B1968" s="11"/>
      <c r="C1968" s="11"/>
      <c r="D1968" s="11"/>
      <c r="E1968" s="11" t="str">
        <f>IF(J1968="","", C1968 * IFERROR(VLOOKUP(J1968, SETUP!$A:$D, 3, FALSE), 0))</f>
        <v/>
      </c>
      <c r="F1968" s="11" t="str">
        <f>IF(J1968="","", C1968 * IFERROR(VLOOKUP(J1968, SETUP!$A:$D, 4, FALSE), 0))</f>
        <v/>
      </c>
      <c r="G1968" s="11" t="str">
        <f t="shared" si="1"/>
        <v/>
      </c>
      <c r="H1968" s="22"/>
      <c r="I1968" s="11"/>
      <c r="J1968" s="17" t="str">
        <f>IF(TRIM(B1968)="","",IF(ISNUMBER(SEARCH(" - ",B1968)),TRIM(RIGHT(B1968,LEN(B1968)-FIND(" - ",B1968)-2)),IFERROR(VLOOKUP(UPPER(TRIM(B1968)), SETUP!$B$4:$C$11, 2, FALSE), UPPER(TRIM(B1968)))))</f>
        <v/>
      </c>
      <c r="K1968" s="23" t="str">
        <f t="shared" si="2"/>
        <v/>
      </c>
      <c r="L1968" s="17" t="str">
        <f t="shared" si="3"/>
        <v/>
      </c>
      <c r="M1968" s="17" t="str">
        <f t="shared" si="4"/>
        <v/>
      </c>
    </row>
    <row r="1969" ht="15.75" customHeight="1">
      <c r="A1969" s="12"/>
      <c r="B1969" s="11"/>
      <c r="C1969" s="11"/>
      <c r="D1969" s="11"/>
      <c r="E1969" s="11" t="str">
        <f>IF(J1969="","", C1969 * IFERROR(VLOOKUP(J1969, SETUP!$A:$D, 3, FALSE), 0))</f>
        <v/>
      </c>
      <c r="F1969" s="11" t="str">
        <f>IF(J1969="","", C1969 * IFERROR(VLOOKUP(J1969, SETUP!$A:$D, 4, FALSE), 0))</f>
        <v/>
      </c>
      <c r="G1969" s="11" t="str">
        <f t="shared" si="1"/>
        <v/>
      </c>
      <c r="H1969" s="22"/>
      <c r="I1969" s="11"/>
      <c r="J1969" s="17" t="str">
        <f>IF(TRIM(B1969)="","",IF(ISNUMBER(SEARCH(" - ",B1969)),TRIM(RIGHT(B1969,LEN(B1969)-FIND(" - ",B1969)-2)),IFERROR(VLOOKUP(UPPER(TRIM(B1969)), SETUP!$B$4:$C$11, 2, FALSE), UPPER(TRIM(B1969)))))</f>
        <v/>
      </c>
      <c r="K1969" s="23" t="str">
        <f t="shared" si="2"/>
        <v/>
      </c>
      <c r="L1969" s="17" t="str">
        <f t="shared" si="3"/>
        <v/>
      </c>
      <c r="M1969" s="17" t="str">
        <f t="shared" si="4"/>
        <v/>
      </c>
    </row>
    <row r="1970" ht="15.75" customHeight="1">
      <c r="A1970" s="12"/>
      <c r="B1970" s="11"/>
      <c r="C1970" s="11"/>
      <c r="D1970" s="11"/>
      <c r="E1970" s="11" t="str">
        <f>IF(J1970="","", C1970 * IFERROR(VLOOKUP(J1970, SETUP!$A:$D, 3, FALSE), 0))</f>
        <v/>
      </c>
      <c r="F1970" s="11" t="str">
        <f>IF(J1970="","", C1970 * IFERROR(VLOOKUP(J1970, SETUP!$A:$D, 4, FALSE), 0))</f>
        <v/>
      </c>
      <c r="G1970" s="11" t="str">
        <f t="shared" si="1"/>
        <v/>
      </c>
      <c r="H1970" s="22"/>
      <c r="I1970" s="11"/>
      <c r="J1970" s="17" t="str">
        <f>IF(TRIM(B1970)="","",IF(ISNUMBER(SEARCH(" - ",B1970)),TRIM(RIGHT(B1970,LEN(B1970)-FIND(" - ",B1970)-2)),IFERROR(VLOOKUP(UPPER(TRIM(B1970)), SETUP!$B$4:$C$11, 2, FALSE), UPPER(TRIM(B1970)))))</f>
        <v/>
      </c>
      <c r="K1970" s="23" t="str">
        <f t="shared" si="2"/>
        <v/>
      </c>
      <c r="L1970" s="17" t="str">
        <f t="shared" si="3"/>
        <v/>
      </c>
      <c r="M1970" s="17" t="str">
        <f t="shared" si="4"/>
        <v/>
      </c>
    </row>
    <row r="1971" ht="15.75" customHeight="1">
      <c r="A1971" s="12"/>
      <c r="B1971" s="11"/>
      <c r="C1971" s="11"/>
      <c r="D1971" s="11"/>
      <c r="E1971" s="11" t="str">
        <f>IF(J1971="","", C1971 * IFERROR(VLOOKUP(J1971, SETUP!$A:$D, 3, FALSE), 0))</f>
        <v/>
      </c>
      <c r="F1971" s="11" t="str">
        <f>IF(J1971="","", C1971 * IFERROR(VLOOKUP(J1971, SETUP!$A:$D, 4, FALSE), 0))</f>
        <v/>
      </c>
      <c r="G1971" s="11" t="str">
        <f t="shared" si="1"/>
        <v/>
      </c>
      <c r="H1971" s="22"/>
      <c r="I1971" s="11"/>
      <c r="J1971" s="17" t="str">
        <f>IF(TRIM(B1971)="","",IF(ISNUMBER(SEARCH(" - ",B1971)),TRIM(RIGHT(B1971,LEN(B1971)-FIND(" - ",B1971)-2)),IFERROR(VLOOKUP(UPPER(TRIM(B1971)), SETUP!$B$4:$C$11, 2, FALSE), UPPER(TRIM(B1971)))))</f>
        <v/>
      </c>
      <c r="K1971" s="23" t="str">
        <f t="shared" si="2"/>
        <v/>
      </c>
      <c r="L1971" s="17" t="str">
        <f t="shared" si="3"/>
        <v/>
      </c>
      <c r="M1971" s="17" t="str">
        <f t="shared" si="4"/>
        <v/>
      </c>
    </row>
    <row r="1972" ht="15.75" customHeight="1">
      <c r="A1972" s="12"/>
      <c r="B1972" s="11"/>
      <c r="C1972" s="11"/>
      <c r="D1972" s="11"/>
      <c r="E1972" s="11" t="str">
        <f>IF(J1972="","", C1972 * IFERROR(VLOOKUP(J1972, SETUP!$A:$D, 3, FALSE), 0))</f>
        <v/>
      </c>
      <c r="F1972" s="11" t="str">
        <f>IF(J1972="","", C1972 * IFERROR(VLOOKUP(J1972, SETUP!$A:$D, 4, FALSE), 0))</f>
        <v/>
      </c>
      <c r="G1972" s="11" t="str">
        <f t="shared" si="1"/>
        <v/>
      </c>
      <c r="H1972" s="22"/>
      <c r="I1972" s="11"/>
      <c r="J1972" s="17" t="str">
        <f>IF(TRIM(B1972)="","",IF(ISNUMBER(SEARCH(" - ",B1972)),TRIM(RIGHT(B1972,LEN(B1972)-FIND(" - ",B1972)-2)),IFERROR(VLOOKUP(UPPER(TRIM(B1972)), SETUP!$B$4:$C$11, 2, FALSE), UPPER(TRIM(B1972)))))</f>
        <v/>
      </c>
      <c r="K1972" s="23" t="str">
        <f t="shared" si="2"/>
        <v/>
      </c>
      <c r="L1972" s="17" t="str">
        <f t="shared" si="3"/>
        <v/>
      </c>
      <c r="M1972" s="17" t="str">
        <f t="shared" si="4"/>
        <v/>
      </c>
    </row>
    <row r="1973" ht="15.75" customHeight="1">
      <c r="A1973" s="12"/>
      <c r="B1973" s="11"/>
      <c r="C1973" s="11"/>
      <c r="D1973" s="11"/>
      <c r="E1973" s="11" t="str">
        <f>IF(J1973="","", C1973 * IFERROR(VLOOKUP(J1973, SETUP!$A:$D, 3, FALSE), 0))</f>
        <v/>
      </c>
      <c r="F1973" s="11" t="str">
        <f>IF(J1973="","", C1973 * IFERROR(VLOOKUP(J1973, SETUP!$A:$D, 4, FALSE), 0))</f>
        <v/>
      </c>
      <c r="G1973" s="11" t="str">
        <f t="shared" si="1"/>
        <v/>
      </c>
      <c r="H1973" s="22"/>
      <c r="I1973" s="11"/>
      <c r="J1973" s="17" t="str">
        <f>IF(TRIM(B1973)="","",IF(ISNUMBER(SEARCH(" - ",B1973)),TRIM(RIGHT(B1973,LEN(B1973)-FIND(" - ",B1973)-2)),IFERROR(VLOOKUP(UPPER(TRIM(B1973)), SETUP!$B$4:$C$11, 2, FALSE), UPPER(TRIM(B1973)))))</f>
        <v/>
      </c>
      <c r="K1973" s="23" t="str">
        <f t="shared" si="2"/>
        <v/>
      </c>
      <c r="L1973" s="17" t="str">
        <f t="shared" si="3"/>
        <v/>
      </c>
      <c r="M1973" s="17" t="str">
        <f t="shared" si="4"/>
        <v/>
      </c>
    </row>
    <row r="1974" ht="15.75" customHeight="1">
      <c r="A1974" s="12"/>
      <c r="B1974" s="11"/>
      <c r="C1974" s="11"/>
      <c r="D1974" s="11"/>
      <c r="E1974" s="11" t="str">
        <f>IF(J1974="","", C1974 * IFERROR(VLOOKUP(J1974, SETUP!$A:$D, 3, FALSE), 0))</f>
        <v/>
      </c>
      <c r="F1974" s="11" t="str">
        <f>IF(J1974="","", C1974 * IFERROR(VLOOKUP(J1974, SETUP!$A:$D, 4, FALSE), 0))</f>
        <v/>
      </c>
      <c r="G1974" s="11" t="str">
        <f t="shared" si="1"/>
        <v/>
      </c>
      <c r="H1974" s="22"/>
      <c r="I1974" s="11"/>
      <c r="J1974" s="17" t="str">
        <f>IF(TRIM(B1974)="","",IF(ISNUMBER(SEARCH(" - ",B1974)),TRIM(RIGHT(B1974,LEN(B1974)-FIND(" - ",B1974)-2)),IFERROR(VLOOKUP(UPPER(TRIM(B1974)), SETUP!$B$4:$C$11, 2, FALSE), UPPER(TRIM(B1974)))))</f>
        <v/>
      </c>
      <c r="K1974" s="23" t="str">
        <f t="shared" si="2"/>
        <v/>
      </c>
      <c r="L1974" s="17" t="str">
        <f t="shared" si="3"/>
        <v/>
      </c>
      <c r="M1974" s="17" t="str">
        <f t="shared" si="4"/>
        <v/>
      </c>
    </row>
    <row r="1975" ht="15.75" customHeight="1">
      <c r="A1975" s="12"/>
      <c r="B1975" s="11"/>
      <c r="C1975" s="11"/>
      <c r="D1975" s="11"/>
      <c r="E1975" s="11" t="str">
        <f>IF(J1975="","", C1975 * IFERROR(VLOOKUP(J1975, SETUP!$A:$D, 3, FALSE), 0))</f>
        <v/>
      </c>
      <c r="F1975" s="11" t="str">
        <f>IF(J1975="","", C1975 * IFERROR(VLOOKUP(J1975, SETUP!$A:$D, 4, FALSE), 0))</f>
        <v/>
      </c>
      <c r="G1975" s="11" t="str">
        <f t="shared" si="1"/>
        <v/>
      </c>
      <c r="H1975" s="22"/>
      <c r="I1975" s="11"/>
      <c r="J1975" s="17" t="str">
        <f>IF(TRIM(B1975)="","",IF(ISNUMBER(SEARCH(" - ",B1975)),TRIM(RIGHT(B1975,LEN(B1975)-FIND(" - ",B1975)-2)),IFERROR(VLOOKUP(UPPER(TRIM(B1975)), SETUP!$B$4:$C$11, 2, FALSE), UPPER(TRIM(B1975)))))</f>
        <v/>
      </c>
      <c r="K1975" s="23" t="str">
        <f t="shared" si="2"/>
        <v/>
      </c>
      <c r="L1975" s="17" t="str">
        <f t="shared" si="3"/>
        <v/>
      </c>
      <c r="M1975" s="17" t="str">
        <f t="shared" si="4"/>
        <v/>
      </c>
    </row>
    <row r="1976" ht="15.75" customHeight="1">
      <c r="A1976" s="12"/>
      <c r="B1976" s="11"/>
      <c r="C1976" s="11"/>
      <c r="D1976" s="11"/>
      <c r="E1976" s="11" t="str">
        <f>IF(J1976="","", C1976 * IFERROR(VLOOKUP(J1976, SETUP!$A:$D, 3, FALSE), 0))</f>
        <v/>
      </c>
      <c r="F1976" s="11" t="str">
        <f>IF(J1976="","", C1976 * IFERROR(VLOOKUP(J1976, SETUP!$A:$D, 4, FALSE), 0))</f>
        <v/>
      </c>
      <c r="G1976" s="11" t="str">
        <f t="shared" si="1"/>
        <v/>
      </c>
      <c r="H1976" s="22"/>
      <c r="I1976" s="11"/>
      <c r="J1976" s="17" t="str">
        <f>IF(TRIM(B1976)="","",IF(ISNUMBER(SEARCH(" - ",B1976)),TRIM(RIGHT(B1976,LEN(B1976)-FIND(" - ",B1976)-2)),IFERROR(VLOOKUP(UPPER(TRIM(B1976)), SETUP!$B$4:$C$11, 2, FALSE), UPPER(TRIM(B1976)))))</f>
        <v/>
      </c>
      <c r="K1976" s="23" t="str">
        <f t="shared" si="2"/>
        <v/>
      </c>
      <c r="L1976" s="17" t="str">
        <f t="shared" si="3"/>
        <v/>
      </c>
      <c r="M1976" s="17" t="str">
        <f t="shared" si="4"/>
        <v/>
      </c>
    </row>
    <row r="1977" ht="15.75" customHeight="1">
      <c r="A1977" s="12"/>
      <c r="B1977" s="11"/>
      <c r="C1977" s="11"/>
      <c r="D1977" s="11"/>
      <c r="E1977" s="11" t="str">
        <f>IF(J1977="","", C1977 * IFERROR(VLOOKUP(J1977, SETUP!$A:$D, 3, FALSE), 0))</f>
        <v/>
      </c>
      <c r="F1977" s="11" t="str">
        <f>IF(J1977="","", C1977 * IFERROR(VLOOKUP(J1977, SETUP!$A:$D, 4, FALSE), 0))</f>
        <v/>
      </c>
      <c r="G1977" s="11" t="str">
        <f t="shared" si="1"/>
        <v/>
      </c>
      <c r="H1977" s="22"/>
      <c r="I1977" s="11"/>
      <c r="J1977" s="17" t="str">
        <f>IF(TRIM(B1977)="","",IF(ISNUMBER(SEARCH(" - ",B1977)),TRIM(RIGHT(B1977,LEN(B1977)-FIND(" - ",B1977)-2)),IFERROR(VLOOKUP(UPPER(TRIM(B1977)), SETUP!$B$4:$C$11, 2, FALSE), UPPER(TRIM(B1977)))))</f>
        <v/>
      </c>
      <c r="K1977" s="23" t="str">
        <f t="shared" si="2"/>
        <v/>
      </c>
      <c r="L1977" s="17" t="str">
        <f t="shared" si="3"/>
        <v/>
      </c>
      <c r="M1977" s="17" t="str">
        <f t="shared" si="4"/>
        <v/>
      </c>
    </row>
    <row r="1978" ht="15.75" customHeight="1">
      <c r="A1978" s="12"/>
      <c r="B1978" s="11"/>
      <c r="C1978" s="11"/>
      <c r="D1978" s="11"/>
      <c r="E1978" s="11" t="str">
        <f>IF(J1978="","", C1978 * IFERROR(VLOOKUP(J1978, SETUP!$A:$D, 3, FALSE), 0))</f>
        <v/>
      </c>
      <c r="F1978" s="11" t="str">
        <f>IF(J1978="","", C1978 * IFERROR(VLOOKUP(J1978, SETUP!$A:$D, 4, FALSE), 0))</f>
        <v/>
      </c>
      <c r="G1978" s="11" t="str">
        <f t="shared" si="1"/>
        <v/>
      </c>
      <c r="H1978" s="22"/>
      <c r="I1978" s="11"/>
      <c r="J1978" s="17" t="str">
        <f>IF(TRIM(B1978)="","",IF(ISNUMBER(SEARCH(" - ",B1978)),TRIM(RIGHT(B1978,LEN(B1978)-FIND(" - ",B1978)-2)),IFERROR(VLOOKUP(UPPER(TRIM(B1978)), SETUP!$B$4:$C$11, 2, FALSE), UPPER(TRIM(B1978)))))</f>
        <v/>
      </c>
      <c r="K1978" s="23" t="str">
        <f t="shared" si="2"/>
        <v/>
      </c>
      <c r="L1978" s="17" t="str">
        <f t="shared" si="3"/>
        <v/>
      </c>
      <c r="M1978" s="17" t="str">
        <f t="shared" si="4"/>
        <v/>
      </c>
    </row>
    <row r="1979" ht="15.75" customHeight="1">
      <c r="A1979" s="12"/>
      <c r="B1979" s="11"/>
      <c r="C1979" s="11"/>
      <c r="D1979" s="11"/>
      <c r="E1979" s="11" t="str">
        <f>IF(J1979="","", C1979 * IFERROR(VLOOKUP(J1979, SETUP!$A:$D, 3, FALSE), 0))</f>
        <v/>
      </c>
      <c r="F1979" s="11" t="str">
        <f>IF(J1979="","", C1979 * IFERROR(VLOOKUP(J1979, SETUP!$A:$D, 4, FALSE), 0))</f>
        <v/>
      </c>
      <c r="G1979" s="11" t="str">
        <f t="shared" si="1"/>
        <v/>
      </c>
      <c r="H1979" s="22"/>
      <c r="I1979" s="11"/>
      <c r="J1979" s="17" t="str">
        <f>IF(TRIM(B1979)="","",IF(ISNUMBER(SEARCH(" - ",B1979)),TRIM(RIGHT(B1979,LEN(B1979)-FIND(" - ",B1979)-2)),IFERROR(VLOOKUP(UPPER(TRIM(B1979)), SETUP!$B$4:$C$11, 2, FALSE), UPPER(TRIM(B1979)))))</f>
        <v/>
      </c>
      <c r="K1979" s="23" t="str">
        <f t="shared" si="2"/>
        <v/>
      </c>
      <c r="L1979" s="17" t="str">
        <f t="shared" si="3"/>
        <v/>
      </c>
      <c r="M1979" s="17" t="str">
        <f t="shared" si="4"/>
        <v/>
      </c>
    </row>
    <row r="1980" ht="15.75" customHeight="1">
      <c r="A1980" s="12"/>
      <c r="B1980" s="11"/>
      <c r="C1980" s="11"/>
      <c r="D1980" s="11"/>
      <c r="E1980" s="11" t="str">
        <f>IF(J1980="","", C1980 * IFERROR(VLOOKUP(J1980, SETUP!$A:$D, 3, FALSE), 0))</f>
        <v/>
      </c>
      <c r="F1980" s="11" t="str">
        <f>IF(J1980="","", C1980 * IFERROR(VLOOKUP(J1980, SETUP!$A:$D, 4, FALSE), 0))</f>
        <v/>
      </c>
      <c r="G1980" s="11" t="str">
        <f t="shared" si="1"/>
        <v/>
      </c>
      <c r="H1980" s="22"/>
      <c r="I1980" s="11"/>
      <c r="J1980" s="17" t="str">
        <f>IF(TRIM(B1980)="","",IF(ISNUMBER(SEARCH(" - ",B1980)),TRIM(RIGHT(B1980,LEN(B1980)-FIND(" - ",B1980)-2)),IFERROR(VLOOKUP(UPPER(TRIM(B1980)), SETUP!$B$4:$C$11, 2, FALSE), UPPER(TRIM(B1980)))))</f>
        <v/>
      </c>
      <c r="K1980" s="23" t="str">
        <f t="shared" si="2"/>
        <v/>
      </c>
      <c r="L1980" s="17" t="str">
        <f t="shared" si="3"/>
        <v/>
      </c>
      <c r="M1980" s="17" t="str">
        <f t="shared" si="4"/>
        <v/>
      </c>
    </row>
    <row r="1981" ht="15.75" customHeight="1">
      <c r="A1981" s="12"/>
      <c r="B1981" s="11"/>
      <c r="C1981" s="11"/>
      <c r="D1981" s="11"/>
      <c r="E1981" s="11" t="str">
        <f>IF(J1981="","", C1981 * IFERROR(VLOOKUP(J1981, SETUP!$A:$D, 3, FALSE), 0))</f>
        <v/>
      </c>
      <c r="F1981" s="11" t="str">
        <f>IF(J1981="","", C1981 * IFERROR(VLOOKUP(J1981, SETUP!$A:$D, 4, FALSE), 0))</f>
        <v/>
      </c>
      <c r="G1981" s="11" t="str">
        <f t="shared" si="1"/>
        <v/>
      </c>
      <c r="H1981" s="22"/>
      <c r="I1981" s="11"/>
      <c r="J1981" s="17" t="str">
        <f>IF(TRIM(B1981)="","",IF(ISNUMBER(SEARCH(" - ",B1981)),TRIM(RIGHT(B1981,LEN(B1981)-FIND(" - ",B1981)-2)),IFERROR(VLOOKUP(UPPER(TRIM(B1981)), SETUP!$B$4:$C$11, 2, FALSE), UPPER(TRIM(B1981)))))</f>
        <v/>
      </c>
      <c r="K1981" s="23" t="str">
        <f t="shared" si="2"/>
        <v/>
      </c>
      <c r="L1981" s="17" t="str">
        <f t="shared" si="3"/>
        <v/>
      </c>
      <c r="M1981" s="17" t="str">
        <f t="shared" si="4"/>
        <v/>
      </c>
    </row>
    <row r="1982" ht="15.75" customHeight="1">
      <c r="A1982" s="12"/>
      <c r="B1982" s="11"/>
      <c r="C1982" s="11"/>
      <c r="D1982" s="11"/>
      <c r="E1982" s="11" t="str">
        <f>IF(J1982="","", C1982 * IFERROR(VLOOKUP(J1982, SETUP!$A:$D, 3, FALSE), 0))</f>
        <v/>
      </c>
      <c r="F1982" s="11" t="str">
        <f>IF(J1982="","", C1982 * IFERROR(VLOOKUP(J1982, SETUP!$A:$D, 4, FALSE), 0))</f>
        <v/>
      </c>
      <c r="G1982" s="11" t="str">
        <f t="shared" si="1"/>
        <v/>
      </c>
      <c r="H1982" s="22"/>
      <c r="I1982" s="11"/>
      <c r="J1982" s="17" t="str">
        <f>IF(TRIM(B1982)="","",IF(ISNUMBER(SEARCH(" - ",B1982)),TRIM(RIGHT(B1982,LEN(B1982)-FIND(" - ",B1982)-2)),IFERROR(VLOOKUP(UPPER(TRIM(B1982)), SETUP!$B$4:$C$11, 2, FALSE), UPPER(TRIM(B1982)))))</f>
        <v/>
      </c>
      <c r="K1982" s="23" t="str">
        <f t="shared" si="2"/>
        <v/>
      </c>
      <c r="L1982" s="17" t="str">
        <f t="shared" si="3"/>
        <v/>
      </c>
      <c r="M1982" s="17" t="str">
        <f t="shared" si="4"/>
        <v/>
      </c>
    </row>
    <row r="1983" ht="15.75" customHeight="1">
      <c r="A1983" s="12"/>
      <c r="B1983" s="11"/>
      <c r="C1983" s="11"/>
      <c r="D1983" s="11"/>
      <c r="E1983" s="11" t="str">
        <f>IF(J1983="","", C1983 * IFERROR(VLOOKUP(J1983, SETUP!$A:$D, 3, FALSE), 0))</f>
        <v/>
      </c>
      <c r="F1983" s="11" t="str">
        <f>IF(J1983="","", C1983 * IFERROR(VLOOKUP(J1983, SETUP!$A:$D, 4, FALSE), 0))</f>
        <v/>
      </c>
      <c r="G1983" s="11" t="str">
        <f t="shared" si="1"/>
        <v/>
      </c>
      <c r="H1983" s="22"/>
      <c r="I1983" s="11"/>
      <c r="J1983" s="17" t="str">
        <f>IF(TRIM(B1983)="","",IF(ISNUMBER(SEARCH(" - ",B1983)),TRIM(RIGHT(B1983,LEN(B1983)-FIND(" - ",B1983)-2)),IFERROR(VLOOKUP(UPPER(TRIM(B1983)), SETUP!$B$4:$C$11, 2, FALSE), UPPER(TRIM(B1983)))))</f>
        <v/>
      </c>
      <c r="K1983" s="23" t="str">
        <f t="shared" si="2"/>
        <v/>
      </c>
      <c r="L1983" s="17" t="str">
        <f t="shared" si="3"/>
        <v/>
      </c>
      <c r="M1983" s="17" t="str">
        <f t="shared" si="4"/>
        <v/>
      </c>
    </row>
    <row r="1984" ht="15.75" customHeight="1">
      <c r="A1984" s="12"/>
      <c r="B1984" s="11"/>
      <c r="C1984" s="11"/>
      <c r="D1984" s="11"/>
      <c r="E1984" s="11" t="str">
        <f>IF(J1984="","", C1984 * IFERROR(VLOOKUP(J1984, SETUP!$A:$D, 3, FALSE), 0))</f>
        <v/>
      </c>
      <c r="F1984" s="11" t="str">
        <f>IF(J1984="","", C1984 * IFERROR(VLOOKUP(J1984, SETUP!$A:$D, 4, FALSE), 0))</f>
        <v/>
      </c>
      <c r="G1984" s="11" t="str">
        <f t="shared" si="1"/>
        <v/>
      </c>
      <c r="H1984" s="22"/>
      <c r="I1984" s="11"/>
      <c r="J1984" s="17" t="str">
        <f>IF(TRIM(B1984)="","",IF(ISNUMBER(SEARCH(" - ",B1984)),TRIM(RIGHT(B1984,LEN(B1984)-FIND(" - ",B1984)-2)),IFERROR(VLOOKUP(UPPER(TRIM(B1984)), SETUP!$B$4:$C$11, 2, FALSE), UPPER(TRIM(B1984)))))</f>
        <v/>
      </c>
      <c r="K1984" s="23" t="str">
        <f t="shared" si="2"/>
        <v/>
      </c>
      <c r="L1984" s="17" t="str">
        <f t="shared" si="3"/>
        <v/>
      </c>
      <c r="M1984" s="17" t="str">
        <f t="shared" si="4"/>
        <v/>
      </c>
    </row>
    <row r="1985" ht="15.75" customHeight="1">
      <c r="A1985" s="12"/>
      <c r="B1985" s="11"/>
      <c r="C1985" s="11"/>
      <c r="D1985" s="11"/>
      <c r="E1985" s="11" t="str">
        <f>IF(J1985="","", C1985 * IFERROR(VLOOKUP(J1985, SETUP!$A:$D, 3, FALSE), 0))</f>
        <v/>
      </c>
      <c r="F1985" s="11" t="str">
        <f>IF(J1985="","", C1985 * IFERROR(VLOOKUP(J1985, SETUP!$A:$D, 4, FALSE), 0))</f>
        <v/>
      </c>
      <c r="G1985" s="11" t="str">
        <f t="shared" si="1"/>
        <v/>
      </c>
      <c r="H1985" s="22"/>
      <c r="I1985" s="11"/>
      <c r="J1985" s="17" t="str">
        <f>IF(TRIM(B1985)="","",IF(ISNUMBER(SEARCH(" - ",B1985)),TRIM(RIGHT(B1985,LEN(B1985)-FIND(" - ",B1985)-2)),IFERROR(VLOOKUP(UPPER(TRIM(B1985)), SETUP!$B$4:$C$11, 2, FALSE), UPPER(TRIM(B1985)))))</f>
        <v/>
      </c>
      <c r="K1985" s="23" t="str">
        <f t="shared" si="2"/>
        <v/>
      </c>
      <c r="L1985" s="17" t="str">
        <f t="shared" si="3"/>
        <v/>
      </c>
      <c r="M1985" s="17" t="str">
        <f t="shared" si="4"/>
        <v/>
      </c>
    </row>
    <row r="1986" ht="15.75" customHeight="1">
      <c r="A1986" s="12"/>
      <c r="B1986" s="11"/>
      <c r="C1986" s="11"/>
      <c r="D1986" s="11"/>
      <c r="E1986" s="11" t="str">
        <f>IF(J1986="","", C1986 * IFERROR(VLOOKUP(J1986, SETUP!$A:$D, 3, FALSE), 0))</f>
        <v/>
      </c>
      <c r="F1986" s="11" t="str">
        <f>IF(J1986="","", C1986 * IFERROR(VLOOKUP(J1986, SETUP!$A:$D, 4, FALSE), 0))</f>
        <v/>
      </c>
      <c r="G1986" s="11" t="str">
        <f t="shared" si="1"/>
        <v/>
      </c>
      <c r="H1986" s="22"/>
      <c r="I1986" s="11"/>
      <c r="J1986" s="17" t="str">
        <f>IF(TRIM(B1986)="","",IF(ISNUMBER(SEARCH(" - ",B1986)),TRIM(RIGHT(B1986,LEN(B1986)-FIND(" - ",B1986)-2)),IFERROR(VLOOKUP(UPPER(TRIM(B1986)), SETUP!$B$4:$C$11, 2, FALSE), UPPER(TRIM(B1986)))))</f>
        <v/>
      </c>
      <c r="K1986" s="23" t="str">
        <f t="shared" si="2"/>
        <v/>
      </c>
      <c r="L1986" s="17" t="str">
        <f t="shared" si="3"/>
        <v/>
      </c>
      <c r="M1986" s="17" t="str">
        <f t="shared" si="4"/>
        <v/>
      </c>
    </row>
    <row r="1987" ht="15.75" customHeight="1">
      <c r="A1987" s="12"/>
      <c r="B1987" s="11"/>
      <c r="C1987" s="11"/>
      <c r="D1987" s="11"/>
      <c r="E1987" s="11" t="str">
        <f>IF(J1987="","", C1987 * IFERROR(VLOOKUP(J1987, SETUP!$A:$D, 3, FALSE), 0))</f>
        <v/>
      </c>
      <c r="F1987" s="11" t="str">
        <f>IF(J1987="","", C1987 * IFERROR(VLOOKUP(J1987, SETUP!$A:$D, 4, FALSE), 0))</f>
        <v/>
      </c>
      <c r="G1987" s="11" t="str">
        <f t="shared" si="1"/>
        <v/>
      </c>
      <c r="H1987" s="22"/>
      <c r="I1987" s="11"/>
      <c r="J1987" s="17" t="str">
        <f>IF(TRIM(B1987)="","",IF(ISNUMBER(SEARCH(" - ",B1987)),TRIM(RIGHT(B1987,LEN(B1987)-FIND(" - ",B1987)-2)),IFERROR(VLOOKUP(UPPER(TRIM(B1987)), SETUP!$B$4:$C$11, 2, FALSE), UPPER(TRIM(B1987)))))</f>
        <v/>
      </c>
      <c r="K1987" s="23" t="str">
        <f t="shared" si="2"/>
        <v/>
      </c>
      <c r="L1987" s="17" t="str">
        <f t="shared" si="3"/>
        <v/>
      </c>
      <c r="M1987" s="17" t="str">
        <f t="shared" si="4"/>
        <v/>
      </c>
    </row>
    <row r="1988" ht="15.75" customHeight="1">
      <c r="A1988" s="12"/>
      <c r="B1988" s="11"/>
      <c r="C1988" s="11"/>
      <c r="D1988" s="11"/>
      <c r="E1988" s="11" t="str">
        <f>IF(J1988="","", C1988 * IFERROR(VLOOKUP(J1988, SETUP!$A:$D, 3, FALSE), 0))</f>
        <v/>
      </c>
      <c r="F1988" s="11" t="str">
        <f>IF(J1988="","", C1988 * IFERROR(VLOOKUP(J1988, SETUP!$A:$D, 4, FALSE), 0))</f>
        <v/>
      </c>
      <c r="G1988" s="11" t="str">
        <f t="shared" si="1"/>
        <v/>
      </c>
      <c r="H1988" s="22"/>
      <c r="I1988" s="11"/>
      <c r="J1988" s="17" t="str">
        <f>IF(TRIM(B1988)="","",IF(ISNUMBER(SEARCH(" - ",B1988)),TRIM(RIGHT(B1988,LEN(B1988)-FIND(" - ",B1988)-2)),IFERROR(VLOOKUP(UPPER(TRIM(B1988)), SETUP!$B$4:$C$11, 2, FALSE), UPPER(TRIM(B1988)))))</f>
        <v/>
      </c>
      <c r="K1988" s="23" t="str">
        <f t="shared" si="2"/>
        <v/>
      </c>
      <c r="L1988" s="17" t="str">
        <f t="shared" si="3"/>
        <v/>
      </c>
      <c r="M1988" s="17" t="str">
        <f t="shared" si="4"/>
        <v/>
      </c>
    </row>
    <row r="1989" ht="15.75" customHeight="1">
      <c r="A1989" s="12"/>
      <c r="B1989" s="11"/>
      <c r="C1989" s="11"/>
      <c r="D1989" s="11"/>
      <c r="E1989" s="11" t="str">
        <f>IF(J1989="","", C1989 * IFERROR(VLOOKUP(J1989, SETUP!$A:$D, 3, FALSE), 0))</f>
        <v/>
      </c>
      <c r="F1989" s="11" t="str">
        <f>IF(J1989="","", C1989 * IFERROR(VLOOKUP(J1989, SETUP!$A:$D, 4, FALSE), 0))</f>
        <v/>
      </c>
      <c r="G1989" s="11" t="str">
        <f t="shared" si="1"/>
        <v/>
      </c>
      <c r="H1989" s="22"/>
      <c r="I1989" s="11"/>
      <c r="J1989" s="17" t="str">
        <f>IF(TRIM(B1989)="","",IF(ISNUMBER(SEARCH(" - ",B1989)),TRIM(RIGHT(B1989,LEN(B1989)-FIND(" - ",B1989)-2)),IFERROR(VLOOKUP(UPPER(TRIM(B1989)), SETUP!$B$4:$C$11, 2, FALSE), UPPER(TRIM(B1989)))))</f>
        <v/>
      </c>
      <c r="K1989" s="23" t="str">
        <f t="shared" si="2"/>
        <v/>
      </c>
      <c r="L1989" s="17" t="str">
        <f t="shared" si="3"/>
        <v/>
      </c>
      <c r="M1989" s="17" t="str">
        <f t="shared" si="4"/>
        <v/>
      </c>
    </row>
    <row r="1990" ht="15.75" customHeight="1">
      <c r="A1990" s="12"/>
      <c r="B1990" s="11"/>
      <c r="C1990" s="11"/>
      <c r="D1990" s="11"/>
      <c r="E1990" s="11" t="str">
        <f>IF(J1990="","", C1990 * IFERROR(VLOOKUP(J1990, SETUP!$A:$D, 3, FALSE), 0))</f>
        <v/>
      </c>
      <c r="F1990" s="11" t="str">
        <f>IF(J1990="","", C1990 * IFERROR(VLOOKUP(J1990, SETUP!$A:$D, 4, FALSE), 0))</f>
        <v/>
      </c>
      <c r="G1990" s="11" t="str">
        <f t="shared" si="1"/>
        <v/>
      </c>
      <c r="H1990" s="22"/>
      <c r="I1990" s="11"/>
      <c r="J1990" s="17" t="str">
        <f>IF(TRIM(B1990)="","",IF(ISNUMBER(SEARCH(" - ",B1990)),TRIM(RIGHT(B1990,LEN(B1990)-FIND(" - ",B1990)-2)),IFERROR(VLOOKUP(UPPER(TRIM(B1990)), SETUP!$B$4:$C$11, 2, FALSE), UPPER(TRIM(B1990)))))</f>
        <v/>
      </c>
      <c r="K1990" s="23" t="str">
        <f t="shared" si="2"/>
        <v/>
      </c>
      <c r="L1990" s="17" t="str">
        <f t="shared" si="3"/>
        <v/>
      </c>
      <c r="M1990" s="17" t="str">
        <f t="shared" si="4"/>
        <v/>
      </c>
    </row>
    <row r="1991" ht="15.75" customHeight="1">
      <c r="A1991" s="12"/>
      <c r="B1991" s="11"/>
      <c r="C1991" s="11"/>
      <c r="D1991" s="11"/>
      <c r="E1991" s="11" t="str">
        <f>IF(J1991="","", C1991 * IFERROR(VLOOKUP(J1991, SETUP!$A:$D, 3, FALSE), 0))</f>
        <v/>
      </c>
      <c r="F1991" s="11" t="str">
        <f>IF(J1991="","", C1991 * IFERROR(VLOOKUP(J1991, SETUP!$A:$D, 4, FALSE), 0))</f>
        <v/>
      </c>
      <c r="G1991" s="11" t="str">
        <f t="shared" si="1"/>
        <v/>
      </c>
      <c r="H1991" s="22"/>
      <c r="I1991" s="11"/>
      <c r="J1991" s="17" t="str">
        <f>IF(TRIM(B1991)="","",IF(ISNUMBER(SEARCH(" - ",B1991)),TRIM(RIGHT(B1991,LEN(B1991)-FIND(" - ",B1991)-2)),IFERROR(VLOOKUP(UPPER(TRIM(B1991)), SETUP!$B$4:$C$11, 2, FALSE), UPPER(TRIM(B1991)))))</f>
        <v/>
      </c>
      <c r="K1991" s="23" t="str">
        <f t="shared" si="2"/>
        <v/>
      </c>
      <c r="L1991" s="17" t="str">
        <f t="shared" si="3"/>
        <v/>
      </c>
      <c r="M1991" s="17" t="str">
        <f t="shared" si="4"/>
        <v/>
      </c>
    </row>
    <row r="1992" ht="15.75" customHeight="1">
      <c r="A1992" s="12"/>
      <c r="B1992" s="11"/>
      <c r="C1992" s="11"/>
      <c r="D1992" s="11"/>
      <c r="E1992" s="11" t="str">
        <f>IF(J1992="","", C1992 * IFERROR(VLOOKUP(J1992, SETUP!$A:$D, 3, FALSE), 0))</f>
        <v/>
      </c>
      <c r="F1992" s="11" t="str">
        <f>IF(J1992="","", C1992 * IFERROR(VLOOKUP(J1992, SETUP!$A:$D, 4, FALSE), 0))</f>
        <v/>
      </c>
      <c r="G1992" s="11" t="str">
        <f t="shared" si="1"/>
        <v/>
      </c>
      <c r="H1992" s="22"/>
      <c r="I1992" s="11"/>
      <c r="J1992" s="17" t="str">
        <f>IF(TRIM(B1992)="","",IF(ISNUMBER(SEARCH(" - ",B1992)),TRIM(RIGHT(B1992,LEN(B1992)-FIND(" - ",B1992)-2)),IFERROR(VLOOKUP(UPPER(TRIM(B1992)), SETUP!$B$4:$C$11, 2, FALSE), UPPER(TRIM(B1992)))))</f>
        <v/>
      </c>
      <c r="K1992" s="23" t="str">
        <f t="shared" si="2"/>
        <v/>
      </c>
      <c r="L1992" s="17" t="str">
        <f t="shared" si="3"/>
        <v/>
      </c>
      <c r="M1992" s="17" t="str">
        <f t="shared" si="4"/>
        <v/>
      </c>
    </row>
    <row r="1993" ht="15.75" customHeight="1">
      <c r="A1993" s="12"/>
      <c r="B1993" s="11"/>
      <c r="C1993" s="11"/>
      <c r="D1993" s="11"/>
      <c r="E1993" s="11" t="str">
        <f>IF(J1993="","", C1993 * IFERROR(VLOOKUP(J1993, SETUP!$A:$D, 3, FALSE), 0))</f>
        <v/>
      </c>
      <c r="F1993" s="11" t="str">
        <f>IF(J1993="","", C1993 * IFERROR(VLOOKUP(J1993, SETUP!$A:$D, 4, FALSE), 0))</f>
        <v/>
      </c>
      <c r="G1993" s="11" t="str">
        <f t="shared" si="1"/>
        <v/>
      </c>
      <c r="H1993" s="22"/>
      <c r="I1993" s="11"/>
      <c r="J1993" s="17" t="str">
        <f>IF(TRIM(B1993)="","",IF(ISNUMBER(SEARCH(" - ",B1993)),TRIM(RIGHT(B1993,LEN(B1993)-FIND(" - ",B1993)-2)),IFERROR(VLOOKUP(UPPER(TRIM(B1993)), SETUP!$B$4:$C$11, 2, FALSE), UPPER(TRIM(B1993)))))</f>
        <v/>
      </c>
      <c r="K1993" s="23" t="str">
        <f t="shared" si="2"/>
        <v/>
      </c>
      <c r="L1993" s="17" t="str">
        <f t="shared" si="3"/>
        <v/>
      </c>
      <c r="M1993" s="17" t="str">
        <f t="shared" si="4"/>
        <v/>
      </c>
    </row>
    <row r="1994" ht="15.75" customHeight="1">
      <c r="A1994" s="12"/>
      <c r="B1994" s="11"/>
      <c r="C1994" s="11"/>
      <c r="D1994" s="11"/>
      <c r="E1994" s="11" t="str">
        <f>IF(J1994="","", C1994 * IFERROR(VLOOKUP(J1994, SETUP!$A:$D, 3, FALSE), 0))</f>
        <v/>
      </c>
      <c r="F1994" s="11" t="str">
        <f>IF(J1994="","", C1994 * IFERROR(VLOOKUP(J1994, SETUP!$A:$D, 4, FALSE), 0))</f>
        <v/>
      </c>
      <c r="G1994" s="11" t="str">
        <f t="shared" si="1"/>
        <v/>
      </c>
      <c r="H1994" s="22"/>
      <c r="I1994" s="11"/>
      <c r="J1994" s="17" t="str">
        <f>IF(TRIM(B1994)="","",IF(ISNUMBER(SEARCH(" - ",B1994)),TRIM(RIGHT(B1994,LEN(B1994)-FIND(" - ",B1994)-2)),IFERROR(VLOOKUP(UPPER(TRIM(B1994)), SETUP!$B$4:$C$11, 2, FALSE), UPPER(TRIM(B1994)))))</f>
        <v/>
      </c>
      <c r="K1994" s="23" t="str">
        <f t="shared" si="2"/>
        <v/>
      </c>
      <c r="L1994" s="17" t="str">
        <f t="shared" si="3"/>
        <v/>
      </c>
      <c r="M1994" s="17" t="str">
        <f t="shared" si="4"/>
        <v/>
      </c>
    </row>
    <row r="1995" ht="15.75" customHeight="1">
      <c r="A1995" s="12"/>
      <c r="B1995" s="11"/>
      <c r="C1995" s="11"/>
      <c r="D1995" s="11"/>
      <c r="E1995" s="11" t="str">
        <f>IF(J1995="","", C1995 * IFERROR(VLOOKUP(J1995, SETUP!$A:$D, 3, FALSE), 0))</f>
        <v/>
      </c>
      <c r="F1995" s="11" t="str">
        <f>IF(J1995="","", C1995 * IFERROR(VLOOKUP(J1995, SETUP!$A:$D, 4, FALSE), 0))</f>
        <v/>
      </c>
      <c r="G1995" s="11" t="str">
        <f t="shared" si="1"/>
        <v/>
      </c>
      <c r="H1995" s="22"/>
      <c r="I1995" s="11"/>
      <c r="J1995" s="17" t="str">
        <f>IF(TRIM(B1995)="","",IF(ISNUMBER(SEARCH(" - ",B1995)),TRIM(RIGHT(B1995,LEN(B1995)-FIND(" - ",B1995)-2)),IFERROR(VLOOKUP(UPPER(TRIM(B1995)), SETUP!$B$4:$C$11, 2, FALSE), UPPER(TRIM(B1995)))))</f>
        <v/>
      </c>
      <c r="K1995" s="23" t="str">
        <f t="shared" si="2"/>
        <v/>
      </c>
      <c r="L1995" s="17" t="str">
        <f t="shared" si="3"/>
        <v/>
      </c>
      <c r="M1995" s="17" t="str">
        <f t="shared" si="4"/>
        <v/>
      </c>
    </row>
    <row r="1996" ht="15.75" customHeight="1">
      <c r="A1996" s="12"/>
      <c r="B1996" s="11"/>
      <c r="C1996" s="11"/>
      <c r="D1996" s="11"/>
      <c r="E1996" s="11" t="str">
        <f>IF(J1996="","", C1996 * IFERROR(VLOOKUP(J1996, SETUP!$A:$D, 3, FALSE), 0))</f>
        <v/>
      </c>
      <c r="F1996" s="11" t="str">
        <f>IF(J1996="","", C1996 * IFERROR(VLOOKUP(J1996, SETUP!$A:$D, 4, FALSE), 0))</f>
        <v/>
      </c>
      <c r="G1996" s="11" t="str">
        <f t="shared" si="1"/>
        <v/>
      </c>
      <c r="H1996" s="22"/>
      <c r="I1996" s="11"/>
      <c r="J1996" s="17" t="str">
        <f>IF(TRIM(B1996)="","",IF(ISNUMBER(SEARCH(" - ",B1996)),TRIM(RIGHT(B1996,LEN(B1996)-FIND(" - ",B1996)-2)),IFERROR(VLOOKUP(UPPER(TRIM(B1996)), SETUP!$B$4:$C$11, 2, FALSE), UPPER(TRIM(B1996)))))</f>
        <v/>
      </c>
      <c r="K1996" s="23" t="str">
        <f t="shared" si="2"/>
        <v/>
      </c>
      <c r="L1996" s="17" t="str">
        <f t="shared" si="3"/>
        <v/>
      </c>
      <c r="M1996" s="17" t="str">
        <f t="shared" si="4"/>
        <v/>
      </c>
    </row>
    <row r="1997" ht="15.75" customHeight="1">
      <c r="A1997" s="12"/>
      <c r="B1997" s="11"/>
      <c r="C1997" s="11"/>
      <c r="D1997" s="11"/>
      <c r="E1997" s="11" t="str">
        <f>IF(J1997="","", C1997 * IFERROR(VLOOKUP(J1997, SETUP!$A:$D, 3, FALSE), 0))</f>
        <v/>
      </c>
      <c r="F1997" s="11" t="str">
        <f>IF(J1997="","", C1997 * IFERROR(VLOOKUP(J1997, SETUP!$A:$D, 4, FALSE), 0))</f>
        <v/>
      </c>
      <c r="G1997" s="11" t="str">
        <f t="shared" si="1"/>
        <v/>
      </c>
      <c r="H1997" s="22"/>
      <c r="I1997" s="11"/>
      <c r="J1997" s="17" t="str">
        <f>IF(TRIM(B1997)="","",IF(ISNUMBER(SEARCH(" - ",B1997)),TRIM(RIGHT(B1997,LEN(B1997)-FIND(" - ",B1997)-2)),IFERROR(VLOOKUP(UPPER(TRIM(B1997)), SETUP!$B$4:$C$11, 2, FALSE), UPPER(TRIM(B1997)))))</f>
        <v/>
      </c>
      <c r="K1997" s="23" t="str">
        <f t="shared" si="2"/>
        <v/>
      </c>
      <c r="L1997" s="17" t="str">
        <f t="shared" si="3"/>
        <v/>
      </c>
      <c r="M1997" s="17" t="str">
        <f t="shared" si="4"/>
        <v/>
      </c>
    </row>
    <row r="1998" ht="15.75" customHeight="1">
      <c r="A1998" s="12"/>
      <c r="B1998" s="11"/>
      <c r="C1998" s="11"/>
      <c r="D1998" s="11"/>
      <c r="E1998" s="11" t="str">
        <f>IF(J1998="","", C1998 * IFERROR(VLOOKUP(J1998, SETUP!$A:$D, 3, FALSE), 0))</f>
        <v/>
      </c>
      <c r="F1998" s="11" t="str">
        <f>IF(J1998="","", C1998 * IFERROR(VLOOKUP(J1998, SETUP!$A:$D, 4, FALSE), 0))</f>
        <v/>
      </c>
      <c r="G1998" s="11" t="str">
        <f t="shared" si="1"/>
        <v/>
      </c>
      <c r="H1998" s="22"/>
      <c r="I1998" s="11"/>
      <c r="J1998" s="17" t="str">
        <f>IF(TRIM(B1998)="","",IF(ISNUMBER(SEARCH(" - ",B1998)),TRIM(RIGHT(B1998,LEN(B1998)-FIND(" - ",B1998)-2)),IFERROR(VLOOKUP(UPPER(TRIM(B1998)), SETUP!$B$4:$C$11, 2, FALSE), UPPER(TRIM(B1998)))))</f>
        <v/>
      </c>
      <c r="K1998" s="23" t="str">
        <f t="shared" si="2"/>
        <v/>
      </c>
      <c r="L1998" s="17" t="str">
        <f t="shared" si="3"/>
        <v/>
      </c>
      <c r="M1998" s="17" t="str">
        <f t="shared" si="4"/>
        <v/>
      </c>
    </row>
    <row r="1999" ht="15.75" customHeight="1">
      <c r="A1999" s="12"/>
      <c r="B1999" s="11"/>
      <c r="C1999" s="11"/>
      <c r="D1999" s="11"/>
      <c r="E1999" s="11" t="str">
        <f>IF(J1999="","", C1999 * IFERROR(VLOOKUP(J1999, SETUP!$A:$D, 3, FALSE), 0))</f>
        <v/>
      </c>
      <c r="F1999" s="11" t="str">
        <f>IF(J1999="","", C1999 * IFERROR(VLOOKUP(J1999, SETUP!$A:$D, 4, FALSE), 0))</f>
        <v/>
      </c>
      <c r="G1999" s="11" t="str">
        <f t="shared" si="1"/>
        <v/>
      </c>
      <c r="H1999" s="22"/>
      <c r="I1999" s="11"/>
      <c r="J1999" s="17" t="str">
        <f>IF(TRIM(B1999)="","",IF(ISNUMBER(SEARCH(" - ",B1999)),TRIM(RIGHT(B1999,LEN(B1999)-FIND(" - ",B1999)-2)),IFERROR(VLOOKUP(UPPER(TRIM(B1999)), SETUP!$B$4:$C$11, 2, FALSE), UPPER(TRIM(B1999)))))</f>
        <v/>
      </c>
      <c r="K1999" s="23" t="str">
        <f t="shared" si="2"/>
        <v/>
      </c>
      <c r="L1999" s="17" t="str">
        <f t="shared" si="3"/>
        <v/>
      </c>
      <c r="M1999" s="17" t="str">
        <f t="shared" si="4"/>
        <v/>
      </c>
    </row>
    <row r="2000" ht="15.75" customHeight="1">
      <c r="A2000" s="12"/>
      <c r="B2000" s="11"/>
      <c r="C2000" s="11"/>
      <c r="D2000" s="11"/>
      <c r="E2000" s="11" t="str">
        <f>IF(J2000="","", C2000 * IFERROR(VLOOKUP(J2000, SETUP!$A:$D, 3, FALSE), 0))</f>
        <v/>
      </c>
      <c r="F2000" s="11" t="str">
        <f>IF(J2000="","", C2000 * IFERROR(VLOOKUP(J2000, SETUP!$A:$D, 4, FALSE), 0))</f>
        <v/>
      </c>
      <c r="G2000" s="11" t="str">
        <f t="shared" si="1"/>
        <v/>
      </c>
      <c r="H2000" s="22"/>
      <c r="I2000" s="11"/>
      <c r="J2000" s="17" t="str">
        <f>IF(TRIM(B2000)="","",IF(ISNUMBER(SEARCH(" - ",B2000)),TRIM(RIGHT(B2000,LEN(B2000)-FIND(" - ",B2000)-2)),IFERROR(VLOOKUP(UPPER(TRIM(B2000)), SETUP!$B$4:$C$11, 2, FALSE), UPPER(TRIM(B2000)))))</f>
        <v/>
      </c>
      <c r="K2000" s="23" t="str">
        <f t="shared" si="2"/>
        <v/>
      </c>
      <c r="L2000" s="17" t="str">
        <f t="shared" si="3"/>
        <v/>
      </c>
      <c r="M2000" s="17" t="str">
        <f t="shared" si="4"/>
        <v/>
      </c>
    </row>
    <row r="2001" ht="15.75" customHeight="1">
      <c r="A2001" s="12"/>
      <c r="B2001" s="11"/>
      <c r="C2001" s="11"/>
      <c r="D2001" s="11"/>
      <c r="E2001" s="11" t="str">
        <f>IF(J2001="","", C2001 * IFERROR(VLOOKUP(J2001, SETUP!$A:$D, 3, FALSE), 0))</f>
        <v/>
      </c>
      <c r="F2001" s="11" t="str">
        <f>IF(J2001="","", C2001 * IFERROR(VLOOKUP(J2001, SETUP!$A:$D, 4, FALSE), 0))</f>
        <v/>
      </c>
      <c r="G2001" s="11" t="str">
        <f t="shared" si="1"/>
        <v/>
      </c>
      <c r="H2001" s="22"/>
      <c r="I2001" s="11"/>
      <c r="J2001" s="17" t="str">
        <f>IF(TRIM(B2001)="","",IF(ISNUMBER(SEARCH(" - ",B2001)),TRIM(RIGHT(B2001,LEN(B2001)-FIND(" - ",B2001)-2)),IFERROR(VLOOKUP(UPPER(TRIM(B2001)), SETUP!$B$4:$C$11, 2, FALSE), UPPER(TRIM(B2001)))))</f>
        <v/>
      </c>
      <c r="K2001" s="23" t="str">
        <f t="shared" si="2"/>
        <v/>
      </c>
      <c r="L2001" s="17" t="str">
        <f t="shared" si="3"/>
        <v/>
      </c>
      <c r="M2001" s="17" t="str">
        <f t="shared" si="4"/>
        <v/>
      </c>
    </row>
    <row r="2002" ht="15.75" customHeight="1">
      <c r="A2002" s="12"/>
      <c r="B2002" s="11"/>
      <c r="C2002" s="11"/>
      <c r="D2002" s="11"/>
      <c r="E2002" s="11" t="str">
        <f>IF(J2002="","", C2002 * IFERROR(VLOOKUP(J2002, SETUP!$A:$D, 3, FALSE), 0))</f>
        <v/>
      </c>
      <c r="F2002" s="11" t="str">
        <f>IF(J2002="","", C2002 * IFERROR(VLOOKUP(J2002, SETUP!$A:$D, 4, FALSE), 0))</f>
        <v/>
      </c>
      <c r="G2002" s="11" t="str">
        <f t="shared" si="1"/>
        <v/>
      </c>
      <c r="H2002" s="22"/>
      <c r="I2002" s="11"/>
      <c r="J2002" s="17" t="str">
        <f>IF(TRIM(B2002)="","",IF(ISNUMBER(SEARCH(" - ",B2002)),TRIM(RIGHT(B2002,LEN(B2002)-FIND(" - ",B2002)-2)),IFERROR(VLOOKUP(UPPER(TRIM(B2002)), SETUP!$B$4:$C$11, 2, FALSE), UPPER(TRIM(B2002)))))</f>
        <v/>
      </c>
      <c r="K2002" s="23" t="str">
        <f t="shared" si="2"/>
        <v/>
      </c>
      <c r="L2002" s="17" t="str">
        <f t="shared" si="3"/>
        <v/>
      </c>
      <c r="M2002" s="17" t="str">
        <f t="shared" si="4"/>
        <v/>
      </c>
    </row>
    <row r="2003" ht="15.75" customHeight="1">
      <c r="A2003" s="12"/>
      <c r="B2003" s="11"/>
      <c r="C2003" s="11"/>
      <c r="D2003" s="11"/>
      <c r="E2003" s="11" t="str">
        <f>IF(J2003="","", C2003 * IFERROR(VLOOKUP(J2003, SETUP!$A:$D, 3, FALSE), 0))</f>
        <v/>
      </c>
      <c r="F2003" s="11" t="str">
        <f>IF(J2003="","", C2003 * IFERROR(VLOOKUP(J2003, SETUP!$A:$D, 4, FALSE), 0))</f>
        <v/>
      </c>
      <c r="G2003" s="11" t="str">
        <f t="shared" si="1"/>
        <v/>
      </c>
      <c r="H2003" s="22"/>
      <c r="I2003" s="11"/>
      <c r="J2003" s="17" t="str">
        <f>IF(TRIM(B2003)="","",IF(ISNUMBER(SEARCH(" - ",B2003)),TRIM(RIGHT(B2003,LEN(B2003)-FIND(" - ",B2003)-2)),IFERROR(VLOOKUP(UPPER(TRIM(B2003)), SETUP!$B$4:$C$11, 2, FALSE), UPPER(TRIM(B2003)))))</f>
        <v/>
      </c>
      <c r="K2003" s="23" t="str">
        <f t="shared" si="2"/>
        <v/>
      </c>
      <c r="L2003" s="17" t="str">
        <f t="shared" si="3"/>
        <v/>
      </c>
      <c r="M2003" s="17" t="str">
        <f t="shared" si="4"/>
        <v/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10.0"/>
    <col customWidth="1" min="4" max="4" width="12.0"/>
    <col customWidth="1" min="5" max="5" width="10.0"/>
    <col customWidth="1" min="6" max="6" width="8.0"/>
    <col customWidth="1" min="7" max="9" width="12.0"/>
    <col customWidth="1" min="10" max="11" width="8.71"/>
    <col customWidth="1" min="12" max="12" width="12.0"/>
    <col customWidth="1" min="13" max="14" width="10.0"/>
    <col customWidth="1" min="15" max="15" width="12.0"/>
    <col customWidth="1" min="16" max="16" width="10.0"/>
    <col customWidth="1" min="17" max="17" width="12.0"/>
    <col customWidth="1" min="18" max="26" width="8.71"/>
  </cols>
  <sheetData>
    <row r="1">
      <c r="A1" s="1" t="s">
        <v>38</v>
      </c>
    </row>
    <row r="2">
      <c r="A2" s="2"/>
    </row>
    <row r="3">
      <c r="A3" s="15" t="s">
        <v>39</v>
      </c>
      <c r="B3" s="4">
        <v>46082.0</v>
      </c>
    </row>
    <row r="4">
      <c r="A4" s="2"/>
    </row>
    <row r="5">
      <c r="A5" s="8" t="s">
        <v>14</v>
      </c>
      <c r="B5" s="9" t="s">
        <v>8</v>
      </c>
      <c r="C5" s="9" t="s">
        <v>10</v>
      </c>
      <c r="D5" s="9" t="s">
        <v>27</v>
      </c>
      <c r="E5" s="9" t="s">
        <v>32</v>
      </c>
      <c r="F5" s="9" t="s">
        <v>12</v>
      </c>
      <c r="G5" s="9" t="s">
        <v>11</v>
      </c>
      <c r="H5" s="9" t="s">
        <v>40</v>
      </c>
      <c r="I5" s="9" t="s">
        <v>13</v>
      </c>
      <c r="L5" s="9" t="s">
        <v>8</v>
      </c>
      <c r="M5" s="9" t="s">
        <v>9</v>
      </c>
      <c r="N5" s="9" t="s">
        <v>10</v>
      </c>
      <c r="O5" s="9" t="s">
        <v>11</v>
      </c>
      <c r="P5" s="9" t="s">
        <v>12</v>
      </c>
      <c r="Q5" s="9" t="s">
        <v>13</v>
      </c>
    </row>
    <row r="6">
      <c r="A6" s="16">
        <f>IFERROR(__xludf.DUMMYFUNCTION("IFERROR(FILTER({INPUT!A:A,INPUT!J:J,INPUT!C:C,INPUT!H:H,INPUT!I:I,INPUT!D:D,INPUT!E:E,INPUT!F:F,INPUT!G:G}, INPUT!L:L=INT($B$3)), """")"),46082.0)</f>
        <v>46082</v>
      </c>
      <c r="B6" s="17" t="str">
        <f>IFERROR(__xludf.DUMMYFUNCTION("""COMPUTED_VALUE"""),"RYAN")</f>
        <v>RYAN</v>
      </c>
      <c r="C6" s="17">
        <f>IFERROR(__xludf.DUMMYFUNCTION("""COMPUTED_VALUE"""),72.0)</f>
        <v>72</v>
      </c>
      <c r="D6" s="17"/>
      <c r="E6" s="17"/>
      <c r="F6" s="17"/>
      <c r="G6" s="17">
        <f>IFERROR(__xludf.DUMMYFUNCTION("""COMPUTED_VALUE"""),43.199999999999996)</f>
        <v>43.2</v>
      </c>
      <c r="H6" s="17">
        <f>IFERROR(__xludf.DUMMYFUNCTION("""COMPUTED_VALUE"""),28.8)</f>
        <v>28.8</v>
      </c>
      <c r="I6" s="17">
        <f>IFERROR(__xludf.DUMMYFUNCTION("""COMPUTED_VALUE"""),28.8)</f>
        <v>28.8</v>
      </c>
      <c r="L6" s="11" t="s">
        <v>16</v>
      </c>
      <c r="M6" s="11">
        <f>COUNTIFS(INPUT!J:J,$L6, INPUT!L:L, INT($B$3))</f>
        <v>0</v>
      </c>
      <c r="N6" s="11">
        <f>SUMIFS(INPUT!C:C, INPUT!J:J,$L6, INPUT!L:L, INT($B$3))</f>
        <v>0</v>
      </c>
      <c r="O6" s="11">
        <f>SUMIFS(INPUT!E:E, INPUT!J:J,$L6, INPUT!L:L, INT($B$3))</f>
        <v>0</v>
      </c>
      <c r="P6" s="11">
        <f>SUMIFS(INPUT!D:D, INPUT!J:J,$L6, INPUT!L:L, INT($B$3))</f>
        <v>0</v>
      </c>
      <c r="Q6" s="11">
        <f>SUMIFS(INPUT!G:G, INPUT!J:J,$L6, INPUT!L:L, INT($B$3))</f>
        <v>0</v>
      </c>
    </row>
    <row r="7">
      <c r="A7" s="2">
        <f>IFERROR(__xludf.DUMMYFUNCTION("""COMPUTED_VALUE"""),46082.0)</f>
        <v>46082</v>
      </c>
      <c r="B7" s="17" t="str">
        <f>IFERROR(__xludf.DUMMYFUNCTION("""COMPUTED_VALUE"""),"RYAN")</f>
        <v>RYAN</v>
      </c>
      <c r="C7" s="17">
        <f>IFERROR(__xludf.DUMMYFUNCTION("""COMPUTED_VALUE"""),57.0)</f>
        <v>57</v>
      </c>
      <c r="D7" s="17"/>
      <c r="E7" s="17"/>
      <c r="F7" s="17"/>
      <c r="G7" s="17">
        <f>IFERROR(__xludf.DUMMYFUNCTION("""COMPUTED_VALUE"""),34.199999999999996)</f>
        <v>34.2</v>
      </c>
      <c r="H7" s="17">
        <f>IFERROR(__xludf.DUMMYFUNCTION("""COMPUTED_VALUE"""),22.8)</f>
        <v>22.8</v>
      </c>
      <c r="I7" s="17">
        <f>IFERROR(__xludf.DUMMYFUNCTION("""COMPUTED_VALUE"""),22.8)</f>
        <v>22.8</v>
      </c>
      <c r="L7" s="11" t="s">
        <v>17</v>
      </c>
      <c r="M7" s="11">
        <f>COUNTIFS(INPUT!J:J,$L7, INPUT!L:L, INT($B$3))</f>
        <v>4</v>
      </c>
      <c r="N7" s="11">
        <f>SUMIFS(INPUT!C:C, INPUT!J:J,$L7, INPUT!L:L, INT($B$3))</f>
        <v>259</v>
      </c>
      <c r="O7" s="11">
        <f>SUMIFS(INPUT!E:E, INPUT!J:J,$L7, INPUT!L:L, INT($B$3))</f>
        <v>155.4</v>
      </c>
      <c r="P7" s="11">
        <f>SUMIFS(INPUT!D:D, INPUT!J:J,$L7, INPUT!L:L, INT($B$3))</f>
        <v>0</v>
      </c>
      <c r="Q7" s="11">
        <f>SUMIFS(INPUT!G:G, INPUT!J:J,$L7, INPUT!L:L, INT($B$3))</f>
        <v>103.6</v>
      </c>
    </row>
    <row r="8">
      <c r="A8" s="2">
        <f>IFERROR(__xludf.DUMMYFUNCTION("""COMPUTED_VALUE"""),46082.0)</f>
        <v>46082</v>
      </c>
      <c r="B8" s="17" t="str">
        <f>IFERROR(__xludf.DUMMYFUNCTION("""COMPUTED_VALUE"""),"RYAN")</f>
        <v>RYAN</v>
      </c>
      <c r="C8" s="17">
        <f>IFERROR(__xludf.DUMMYFUNCTION("""COMPUTED_VALUE"""),65.0)</f>
        <v>65</v>
      </c>
      <c r="D8" s="17"/>
      <c r="E8" s="17"/>
      <c r="F8" s="17"/>
      <c r="G8" s="17">
        <f>IFERROR(__xludf.DUMMYFUNCTION("""COMPUTED_VALUE"""),39.0)</f>
        <v>39</v>
      </c>
      <c r="H8" s="17">
        <f>IFERROR(__xludf.DUMMYFUNCTION("""COMPUTED_VALUE"""),26.0)</f>
        <v>26</v>
      </c>
      <c r="I8" s="17">
        <f>IFERROR(__xludf.DUMMYFUNCTION("""COMPUTED_VALUE"""),26.0)</f>
        <v>26</v>
      </c>
      <c r="L8" s="11" t="s">
        <v>18</v>
      </c>
      <c r="M8" s="11">
        <f>COUNTIFS(INPUT!J:J,$L8, INPUT!L:L, INT($B$3))</f>
        <v>3</v>
      </c>
      <c r="N8" s="11">
        <f>SUMIFS(INPUT!C:C, INPUT!J:J,$L8, INPUT!L:L, INT($B$3))</f>
        <v>135</v>
      </c>
      <c r="O8" s="11">
        <f>SUMIFS(INPUT!E:E, INPUT!J:J,$L8, INPUT!L:L, INT($B$3))</f>
        <v>67.5</v>
      </c>
      <c r="P8" s="11">
        <f>SUMIFS(INPUT!D:D, INPUT!J:J,$L8, INPUT!L:L, INT($B$3))</f>
        <v>0</v>
      </c>
      <c r="Q8" s="11">
        <f>SUMIFS(INPUT!G:G, INPUT!J:J,$L8, INPUT!L:L, INT($B$3))</f>
        <v>67.5</v>
      </c>
    </row>
    <row r="9">
      <c r="A9" s="2">
        <f>IFERROR(__xludf.DUMMYFUNCTION("""COMPUTED_VALUE"""),46082.0)</f>
        <v>46082</v>
      </c>
      <c r="B9" s="17" t="str">
        <f>IFERROR(__xludf.DUMMYFUNCTION("""COMPUTED_VALUE"""),"CRIS")</f>
        <v>CRIS</v>
      </c>
      <c r="C9" s="17">
        <f>IFERROR(__xludf.DUMMYFUNCTION("""COMPUTED_VALUE"""),55.0)</f>
        <v>55</v>
      </c>
      <c r="D9" s="17"/>
      <c r="E9" s="17"/>
      <c r="F9" s="17"/>
      <c r="G9" s="17">
        <f>IFERROR(__xludf.DUMMYFUNCTION("""COMPUTED_VALUE"""),27.5)</f>
        <v>27.5</v>
      </c>
      <c r="H9" s="17">
        <f>IFERROR(__xludf.DUMMYFUNCTION("""COMPUTED_VALUE"""),27.5)</f>
        <v>27.5</v>
      </c>
      <c r="I9" s="17">
        <f>IFERROR(__xludf.DUMMYFUNCTION("""COMPUTED_VALUE"""),27.5)</f>
        <v>27.5</v>
      </c>
      <c r="L9" s="11" t="s">
        <v>19</v>
      </c>
      <c r="M9" s="11">
        <f>COUNTIFS(INPUT!J:J,$L9, INPUT!L:L, INT($B$3))</f>
        <v>0</v>
      </c>
      <c r="N9" s="11">
        <f>SUMIFS(INPUT!C:C, INPUT!J:J,$L9, INPUT!L:L, INT($B$3))</f>
        <v>0</v>
      </c>
      <c r="O9" s="11">
        <f>SUMIFS(INPUT!E:E, INPUT!J:J,$L9, INPUT!L:L, INT($B$3))</f>
        <v>0</v>
      </c>
      <c r="P9" s="11">
        <f>SUMIFS(INPUT!D:D, INPUT!J:J,$L9, INPUT!L:L, INT($B$3))</f>
        <v>0</v>
      </c>
      <c r="Q9" s="11">
        <f>SUMIFS(INPUT!G:G, INPUT!J:J,$L9, INPUT!L:L, INT($B$3))</f>
        <v>0</v>
      </c>
    </row>
    <row r="10">
      <c r="A10" s="2">
        <f>IFERROR(__xludf.DUMMYFUNCTION("""COMPUTED_VALUE"""),46082.0)</f>
        <v>46082</v>
      </c>
      <c r="B10" s="17" t="str">
        <f>IFERROR(__xludf.DUMMYFUNCTION("""COMPUTED_VALUE"""),"CRIS")</f>
        <v>CRIS</v>
      </c>
      <c r="C10" s="17">
        <f>IFERROR(__xludf.DUMMYFUNCTION("""COMPUTED_VALUE"""),30.0)</f>
        <v>30</v>
      </c>
      <c r="D10" s="17"/>
      <c r="E10" s="17"/>
      <c r="F10" s="17"/>
      <c r="G10" s="17">
        <f>IFERROR(__xludf.DUMMYFUNCTION("""COMPUTED_VALUE"""),15.0)</f>
        <v>15</v>
      </c>
      <c r="H10" s="17">
        <f>IFERROR(__xludf.DUMMYFUNCTION("""COMPUTED_VALUE"""),15.0)</f>
        <v>15</v>
      </c>
      <c r="I10" s="17">
        <f>IFERROR(__xludf.DUMMYFUNCTION("""COMPUTED_VALUE"""),15.0)</f>
        <v>15</v>
      </c>
      <c r="L10" s="11" t="s">
        <v>20</v>
      </c>
      <c r="M10" s="11">
        <f>COUNTIFS(INPUT!J:J,$L10, INPUT!L:L, INT($B$3))</f>
        <v>5</v>
      </c>
      <c r="N10" s="11">
        <f>SUMIFS(INPUT!C:C, INPUT!J:J,$L10, INPUT!L:L, INT($B$3))</f>
        <v>236</v>
      </c>
      <c r="O10" s="11">
        <f>SUMIFS(INPUT!E:E, INPUT!J:J,$L10, INPUT!L:L, INT($B$3))</f>
        <v>141.6</v>
      </c>
      <c r="P10" s="11">
        <f>SUMIFS(INPUT!D:D, INPUT!J:J,$L10, INPUT!L:L, INT($B$3))</f>
        <v>0</v>
      </c>
      <c r="Q10" s="11">
        <f>SUMIFS(INPUT!G:G, INPUT!J:J,$L10, INPUT!L:L, INT($B$3))</f>
        <v>94.4</v>
      </c>
    </row>
    <row r="11">
      <c r="A11" s="2">
        <f>IFERROR(__xludf.DUMMYFUNCTION("""COMPUTED_VALUE"""),46082.0)</f>
        <v>46082</v>
      </c>
      <c r="B11" s="17" t="str">
        <f>IFERROR(__xludf.DUMMYFUNCTION("""COMPUTED_VALUE"""),"CRIS")</f>
        <v>CRIS</v>
      </c>
      <c r="C11" s="17">
        <f>IFERROR(__xludf.DUMMYFUNCTION("""COMPUTED_VALUE"""),50.0)</f>
        <v>50</v>
      </c>
      <c r="D11" s="17"/>
      <c r="E11" s="17"/>
      <c r="F11" s="17"/>
      <c r="G11" s="17">
        <f>IFERROR(__xludf.DUMMYFUNCTION("""COMPUTED_VALUE"""),25.0)</f>
        <v>25</v>
      </c>
      <c r="H11" s="17">
        <f>IFERROR(__xludf.DUMMYFUNCTION("""COMPUTED_VALUE"""),25.0)</f>
        <v>25</v>
      </c>
      <c r="I11" s="17">
        <f>IFERROR(__xludf.DUMMYFUNCTION("""COMPUTED_VALUE"""),25.0)</f>
        <v>25</v>
      </c>
      <c r="L11" s="11" t="s">
        <v>21</v>
      </c>
      <c r="M11" s="11">
        <f>COUNTIFS(INPUT!J:J,$L11, INPUT!L:L, INT($B$3))</f>
        <v>5</v>
      </c>
      <c r="N11" s="11">
        <f>SUMIFS(INPUT!C:C, INPUT!J:J,$L11, INPUT!L:L, INT($B$3))</f>
        <v>286</v>
      </c>
      <c r="O11" s="11">
        <f>SUMIFS(INPUT!E:E, INPUT!J:J,$L11, INPUT!L:L, INT($B$3))</f>
        <v>171.6</v>
      </c>
      <c r="P11" s="11">
        <f>SUMIFS(INPUT!D:D, INPUT!J:J,$L11, INPUT!L:L, INT($B$3))</f>
        <v>0</v>
      </c>
      <c r="Q11" s="11">
        <f>SUMIFS(INPUT!G:G, INPUT!J:J,$L11, INPUT!L:L, INT($B$3))</f>
        <v>114.4</v>
      </c>
    </row>
    <row r="12">
      <c r="A12" s="2">
        <f>IFERROR(__xludf.DUMMYFUNCTION("""COMPUTED_VALUE"""),46082.0)</f>
        <v>46082</v>
      </c>
      <c r="B12" s="17" t="str">
        <f>IFERROR(__xludf.DUMMYFUNCTION("""COMPUTED_VALUE"""),"AMY")</f>
        <v>AMY</v>
      </c>
      <c r="C12" s="17">
        <f>IFERROR(__xludf.DUMMYFUNCTION("""COMPUTED_VALUE"""),55.0)</f>
        <v>55</v>
      </c>
      <c r="D12" s="17"/>
      <c r="E12" s="17"/>
      <c r="F12" s="17"/>
      <c r="G12" s="17">
        <f>IFERROR(__xludf.DUMMYFUNCTION("""COMPUTED_VALUE"""),33.0)</f>
        <v>33</v>
      </c>
      <c r="H12" s="17">
        <f>IFERROR(__xludf.DUMMYFUNCTION("""COMPUTED_VALUE"""),22.0)</f>
        <v>22</v>
      </c>
      <c r="I12" s="17">
        <f>IFERROR(__xludf.DUMMYFUNCTION("""COMPUTED_VALUE"""),22.0)</f>
        <v>22</v>
      </c>
      <c r="L12" s="11" t="s">
        <v>22</v>
      </c>
      <c r="M12" s="11">
        <f>COUNTIFS(INPUT!J:J,$L12, INPUT!L:L, INT($B$3))</f>
        <v>0</v>
      </c>
      <c r="N12" s="11">
        <f>SUMIFS(INPUT!C:C, INPUT!J:J,$L12, INPUT!L:L, INT($B$3))</f>
        <v>0</v>
      </c>
      <c r="O12" s="11">
        <f>SUMIFS(INPUT!E:E, INPUT!J:J,$L12, INPUT!L:L, INT($B$3))</f>
        <v>0</v>
      </c>
      <c r="P12" s="11">
        <f>SUMIFS(INPUT!D:D, INPUT!J:J,$L12, INPUT!L:L, INT($B$3))</f>
        <v>0</v>
      </c>
      <c r="Q12" s="11">
        <f>SUMIFS(INPUT!G:G, INPUT!J:J,$L12, INPUT!L:L, INT($B$3))</f>
        <v>0</v>
      </c>
    </row>
    <row r="13">
      <c r="A13" s="2">
        <f>IFERROR(__xludf.DUMMYFUNCTION("""COMPUTED_VALUE"""),46082.0)</f>
        <v>46082</v>
      </c>
      <c r="B13" s="17" t="str">
        <f>IFERROR(__xludf.DUMMYFUNCTION("""COMPUTED_VALUE"""),"AMY")</f>
        <v>AMY</v>
      </c>
      <c r="C13" s="17">
        <f>IFERROR(__xludf.DUMMYFUNCTION("""COMPUTED_VALUE"""),60.0)</f>
        <v>60</v>
      </c>
      <c r="D13" s="17"/>
      <c r="E13" s="17"/>
      <c r="F13" s="17"/>
      <c r="G13" s="17">
        <f>IFERROR(__xludf.DUMMYFUNCTION("""COMPUTED_VALUE"""),36.0)</f>
        <v>36</v>
      </c>
      <c r="H13" s="17">
        <f>IFERROR(__xludf.DUMMYFUNCTION("""COMPUTED_VALUE"""),24.0)</f>
        <v>24</v>
      </c>
      <c r="I13" s="17">
        <f>IFERROR(__xludf.DUMMYFUNCTION("""COMPUTED_VALUE"""),24.0)</f>
        <v>24</v>
      </c>
      <c r="L13" s="11" t="s">
        <v>23</v>
      </c>
      <c r="M13" s="11">
        <f>COUNTIFS(INPUT!J:J,$L13, INPUT!L:L, INT($B$3))</f>
        <v>0</v>
      </c>
      <c r="N13" s="11">
        <f>SUMIFS(INPUT!C:C, INPUT!J:J,$L13, INPUT!L:L, INT($B$3))</f>
        <v>0</v>
      </c>
      <c r="O13" s="11">
        <f>SUMIFS(INPUT!E:E, INPUT!J:J,$L13, INPUT!L:L, INT($B$3))</f>
        <v>0</v>
      </c>
      <c r="P13" s="11">
        <f>SUMIFS(INPUT!D:D, INPUT!J:J,$L13, INPUT!L:L, INT($B$3))</f>
        <v>0</v>
      </c>
      <c r="Q13" s="11">
        <f>SUMIFS(INPUT!G:G, INPUT!J:J,$L13, INPUT!L:L, INT($B$3))</f>
        <v>0</v>
      </c>
    </row>
    <row r="14">
      <c r="A14" s="2">
        <f>IFERROR(__xludf.DUMMYFUNCTION("""COMPUTED_VALUE"""),46082.0)</f>
        <v>46082</v>
      </c>
      <c r="B14" s="17" t="str">
        <f>IFERROR(__xludf.DUMMYFUNCTION("""COMPUTED_VALUE"""),"AMY")</f>
        <v>AMY</v>
      </c>
      <c r="C14" s="17">
        <f>IFERROR(__xludf.DUMMYFUNCTION("""COMPUTED_VALUE"""),35.0)</f>
        <v>35</v>
      </c>
      <c r="D14" s="17"/>
      <c r="E14" s="17"/>
      <c r="F14" s="17"/>
      <c r="G14" s="17">
        <f>IFERROR(__xludf.DUMMYFUNCTION("""COMPUTED_VALUE"""),21.0)</f>
        <v>21</v>
      </c>
      <c r="H14" s="17">
        <f>IFERROR(__xludf.DUMMYFUNCTION("""COMPUTED_VALUE"""),14.0)</f>
        <v>14</v>
      </c>
      <c r="I14" s="17">
        <f>IFERROR(__xludf.DUMMYFUNCTION("""COMPUTED_VALUE"""),14.0)</f>
        <v>14</v>
      </c>
    </row>
    <row r="15">
      <c r="A15" s="2">
        <f>IFERROR(__xludf.DUMMYFUNCTION("""COMPUTED_VALUE"""),46082.0)</f>
        <v>46082</v>
      </c>
      <c r="B15" s="17" t="str">
        <f>IFERROR(__xludf.DUMMYFUNCTION("""COMPUTED_VALUE"""),"AMY")</f>
        <v>AMY</v>
      </c>
      <c r="C15" s="17">
        <f>IFERROR(__xludf.DUMMYFUNCTION("""COMPUTED_VALUE"""),57.0)</f>
        <v>57</v>
      </c>
      <c r="D15" s="17"/>
      <c r="E15" s="17"/>
      <c r="F15" s="17"/>
      <c r="G15" s="17">
        <f>IFERROR(__xludf.DUMMYFUNCTION("""COMPUTED_VALUE"""),34.199999999999996)</f>
        <v>34.2</v>
      </c>
      <c r="H15" s="17">
        <f>IFERROR(__xludf.DUMMYFUNCTION("""COMPUTED_VALUE"""),22.8)</f>
        <v>22.8</v>
      </c>
      <c r="I15" s="17">
        <f>IFERROR(__xludf.DUMMYFUNCTION("""COMPUTED_VALUE"""),22.8)</f>
        <v>22.8</v>
      </c>
      <c r="L15" s="13" t="s">
        <v>24</v>
      </c>
      <c r="M15" s="13">
        <f t="shared" ref="M15:Q15" si="1">SUM(M6:M14)</f>
        <v>17</v>
      </c>
      <c r="N15" s="13">
        <f t="shared" si="1"/>
        <v>916</v>
      </c>
      <c r="O15" s="13">
        <f t="shared" si="1"/>
        <v>536.1</v>
      </c>
      <c r="P15" s="13">
        <f t="shared" si="1"/>
        <v>0</v>
      </c>
      <c r="Q15" s="13">
        <f t="shared" si="1"/>
        <v>379.9</v>
      </c>
    </row>
    <row r="16">
      <c r="A16" s="2">
        <f>IFERROR(__xludf.DUMMYFUNCTION("""COMPUTED_VALUE"""),46082.0)</f>
        <v>46082</v>
      </c>
      <c r="B16" s="17" t="str">
        <f>IFERROR(__xludf.DUMMYFUNCTION("""COMPUTED_VALUE"""),"TONY")</f>
        <v>TONY</v>
      </c>
      <c r="C16" s="17">
        <f>IFERROR(__xludf.DUMMYFUNCTION("""COMPUTED_VALUE"""),65.0)</f>
        <v>65</v>
      </c>
      <c r="D16" s="17"/>
      <c r="E16" s="17"/>
      <c r="F16" s="17"/>
      <c r="G16" s="17">
        <f>IFERROR(__xludf.DUMMYFUNCTION("""COMPUTED_VALUE"""),39.0)</f>
        <v>39</v>
      </c>
      <c r="H16" s="17">
        <f>IFERROR(__xludf.DUMMYFUNCTION("""COMPUTED_VALUE"""),26.0)</f>
        <v>26</v>
      </c>
      <c r="I16" s="17">
        <f>IFERROR(__xludf.DUMMYFUNCTION("""COMPUTED_VALUE"""),26.0)</f>
        <v>26</v>
      </c>
    </row>
    <row r="17">
      <c r="A17" s="2">
        <f>IFERROR(__xludf.DUMMYFUNCTION("""COMPUTED_VALUE"""),46082.0)</f>
        <v>46082</v>
      </c>
      <c r="B17" s="17" t="str">
        <f>IFERROR(__xludf.DUMMYFUNCTION("""COMPUTED_VALUE"""),"TONY")</f>
        <v>TONY</v>
      </c>
      <c r="C17" s="17">
        <f>IFERROR(__xludf.DUMMYFUNCTION("""COMPUTED_VALUE"""),57.0)</f>
        <v>57</v>
      </c>
      <c r="D17" s="17"/>
      <c r="E17" s="17"/>
      <c r="F17" s="17"/>
      <c r="G17" s="17">
        <f>IFERROR(__xludf.DUMMYFUNCTION("""COMPUTED_VALUE"""),34.199999999999996)</f>
        <v>34.2</v>
      </c>
      <c r="H17" s="17">
        <f>IFERROR(__xludf.DUMMYFUNCTION("""COMPUTED_VALUE"""),22.8)</f>
        <v>22.8</v>
      </c>
      <c r="I17" s="17">
        <f>IFERROR(__xludf.DUMMYFUNCTION("""COMPUTED_VALUE"""),22.8)</f>
        <v>22.8</v>
      </c>
    </row>
    <row r="18">
      <c r="A18" s="2">
        <f>IFERROR(__xludf.DUMMYFUNCTION("""COMPUTED_VALUE"""),46082.0)</f>
        <v>46082</v>
      </c>
      <c r="B18" s="17" t="str">
        <f>IFERROR(__xludf.DUMMYFUNCTION("""COMPUTED_VALUE"""),"TONY")</f>
        <v>TONY</v>
      </c>
      <c r="C18" s="17">
        <f>IFERROR(__xludf.DUMMYFUNCTION("""COMPUTED_VALUE"""),35.0)</f>
        <v>35</v>
      </c>
      <c r="D18" s="17"/>
      <c r="E18" s="17"/>
      <c r="F18" s="17"/>
      <c r="G18" s="17">
        <f>IFERROR(__xludf.DUMMYFUNCTION("""COMPUTED_VALUE"""),21.0)</f>
        <v>21</v>
      </c>
      <c r="H18" s="17">
        <f>IFERROR(__xludf.DUMMYFUNCTION("""COMPUTED_VALUE"""),14.0)</f>
        <v>14</v>
      </c>
      <c r="I18" s="17">
        <f>IFERROR(__xludf.DUMMYFUNCTION("""COMPUTED_VALUE"""),14.0)</f>
        <v>14</v>
      </c>
    </row>
    <row r="19">
      <c r="A19" s="2">
        <f>IFERROR(__xludf.DUMMYFUNCTION("""COMPUTED_VALUE"""),46082.0)</f>
        <v>46082</v>
      </c>
      <c r="B19" s="17" t="str">
        <f>IFERROR(__xludf.DUMMYFUNCTION("""COMPUTED_VALUE"""),"TONY")</f>
        <v>TONY</v>
      </c>
      <c r="C19" s="17">
        <f>IFERROR(__xludf.DUMMYFUNCTION("""COMPUTED_VALUE"""),57.0)</f>
        <v>57</v>
      </c>
      <c r="D19" s="17"/>
      <c r="E19" s="17"/>
      <c r="F19" s="17"/>
      <c r="G19" s="17">
        <f>IFERROR(__xludf.DUMMYFUNCTION("""COMPUTED_VALUE"""),34.199999999999996)</f>
        <v>34.2</v>
      </c>
      <c r="H19" s="17">
        <f>IFERROR(__xludf.DUMMYFUNCTION("""COMPUTED_VALUE"""),22.8)</f>
        <v>22.8</v>
      </c>
      <c r="I19" s="17">
        <f>IFERROR(__xludf.DUMMYFUNCTION("""COMPUTED_VALUE"""),22.8)</f>
        <v>22.8</v>
      </c>
    </row>
    <row r="20">
      <c r="A20" s="2">
        <f>IFERROR(__xludf.DUMMYFUNCTION("""COMPUTED_VALUE"""),46082.0)</f>
        <v>46082</v>
      </c>
      <c r="B20" s="17" t="str">
        <f>IFERROR(__xludf.DUMMYFUNCTION("""COMPUTED_VALUE"""),"AMY")</f>
        <v>AMY</v>
      </c>
      <c r="C20" s="17">
        <f>IFERROR(__xludf.DUMMYFUNCTION("""COMPUTED_VALUE"""),29.0)</f>
        <v>29</v>
      </c>
      <c r="D20" s="17"/>
      <c r="E20" s="17"/>
      <c r="F20" s="17"/>
      <c r="G20" s="17">
        <f>IFERROR(__xludf.DUMMYFUNCTION("""COMPUTED_VALUE"""),17.4)</f>
        <v>17.4</v>
      </c>
      <c r="H20" s="17">
        <f>IFERROR(__xludf.DUMMYFUNCTION("""COMPUTED_VALUE"""),11.600000000000001)</f>
        <v>11.6</v>
      </c>
      <c r="I20" s="17">
        <f>IFERROR(__xludf.DUMMYFUNCTION("""COMPUTED_VALUE"""),11.600000000000001)</f>
        <v>11.6</v>
      </c>
    </row>
    <row r="21" ht="15.75" customHeight="1">
      <c r="A21" s="2">
        <f>IFERROR(__xludf.DUMMYFUNCTION("""COMPUTED_VALUE"""),46082.0)</f>
        <v>46082</v>
      </c>
      <c r="B21" s="17" t="str">
        <f>IFERROR(__xludf.DUMMYFUNCTION("""COMPUTED_VALUE"""),"RYAN")</f>
        <v>RYAN</v>
      </c>
      <c r="C21" s="17">
        <f>IFERROR(__xludf.DUMMYFUNCTION("""COMPUTED_VALUE"""),65.0)</f>
        <v>65</v>
      </c>
      <c r="D21" s="17"/>
      <c r="E21" s="17"/>
      <c r="F21" s="17"/>
      <c r="G21" s="17">
        <f>IFERROR(__xludf.DUMMYFUNCTION("""COMPUTED_VALUE"""),39.0)</f>
        <v>39</v>
      </c>
      <c r="H21" s="17">
        <f>IFERROR(__xludf.DUMMYFUNCTION("""COMPUTED_VALUE"""),26.0)</f>
        <v>26</v>
      </c>
      <c r="I21" s="17">
        <f>IFERROR(__xludf.DUMMYFUNCTION("""COMPUTED_VALUE"""),26.0)</f>
        <v>26</v>
      </c>
    </row>
    <row r="22" ht="15.75" customHeight="1">
      <c r="A22" s="2">
        <f>IFERROR(__xludf.DUMMYFUNCTION("""COMPUTED_VALUE"""),46082.0)</f>
        <v>46082</v>
      </c>
      <c r="B22" s="17" t="str">
        <f>IFERROR(__xludf.DUMMYFUNCTION("""COMPUTED_VALUE"""),"TONY")</f>
        <v>TONY</v>
      </c>
      <c r="C22" s="17">
        <f>IFERROR(__xludf.DUMMYFUNCTION("""COMPUTED_VALUE"""),72.0)</f>
        <v>72</v>
      </c>
      <c r="D22" s="17"/>
      <c r="E22" s="17"/>
      <c r="F22" s="17"/>
      <c r="G22" s="17">
        <f>IFERROR(__xludf.DUMMYFUNCTION("""COMPUTED_VALUE"""),43.199999999999996)</f>
        <v>43.2</v>
      </c>
      <c r="H22" s="17">
        <f>IFERROR(__xludf.DUMMYFUNCTION("""COMPUTED_VALUE"""),28.8)</f>
        <v>28.8</v>
      </c>
      <c r="I22" s="17">
        <f>IFERROR(__xludf.DUMMYFUNCTION("""COMPUTED_VALUE"""),28.8)</f>
        <v>28.8</v>
      </c>
    </row>
    <row r="23" ht="15.75" customHeight="1">
      <c r="A23" s="2">
        <f>IFERROR(__xludf.DUMMYFUNCTION("""COMPUTED_VALUE"""),46082.0)</f>
        <v>46082</v>
      </c>
      <c r="B23" s="17" t="str">
        <f>IFERROR(__xludf.DUMMYFUNCTION("""COMPUTED_VALUE"""),"")</f>
        <v/>
      </c>
      <c r="C23" s="17"/>
      <c r="D23" s="17"/>
      <c r="E23" s="17"/>
      <c r="F23" s="17"/>
      <c r="G23" s="17" t="str">
        <f>IFERROR(__xludf.DUMMYFUNCTION("""COMPUTED_VALUE"""),"")</f>
        <v/>
      </c>
      <c r="H23" s="17" t="str">
        <f>IFERROR(__xludf.DUMMYFUNCTION("""COMPUTED_VALUE"""),"")</f>
        <v/>
      </c>
      <c r="I23" s="17" t="str">
        <f>IFERROR(__xludf.DUMMYFUNCTION("""COMPUTED_VALUE"""),"")</f>
        <v/>
      </c>
    </row>
    <row r="24" ht="15.75" customHeight="1">
      <c r="A24" s="2"/>
    </row>
    <row r="25" ht="15.75" customHeight="1">
      <c r="A25" s="2"/>
    </row>
    <row r="26" ht="15.75" customHeight="1">
      <c r="A26" s="2"/>
    </row>
    <row r="27" ht="15.75" customHeight="1">
      <c r="A27" s="2"/>
    </row>
    <row r="28" ht="15.75" customHeight="1">
      <c r="A28" s="2"/>
    </row>
    <row r="29" ht="15.75" customHeight="1">
      <c r="A29" s="2"/>
    </row>
    <row r="30" ht="15.75" customHeight="1">
      <c r="A30" s="2"/>
    </row>
    <row r="31" ht="15.75" customHeight="1">
      <c r="A31" s="2"/>
    </row>
    <row r="32" ht="15.75" customHeight="1">
      <c r="A32" s="2"/>
    </row>
    <row r="33" ht="15.75" customHeight="1">
      <c r="A33" s="2"/>
    </row>
    <row r="34" ht="15.75" customHeight="1">
      <c r="A34" s="2"/>
    </row>
    <row r="35" ht="15.75" customHeight="1">
      <c r="A35" s="2"/>
    </row>
    <row r="36" ht="15.75" customHeight="1">
      <c r="A36" s="2"/>
    </row>
    <row r="37" ht="15.75" customHeight="1">
      <c r="A37" s="2"/>
    </row>
    <row r="38" ht="15.75" customHeight="1">
      <c r="A38" s="2"/>
    </row>
    <row r="39" ht="15.75" customHeight="1">
      <c r="A39" s="2"/>
    </row>
    <row r="40" ht="15.75" customHeight="1">
      <c r="A40" s="2"/>
    </row>
    <row r="41" ht="15.75" customHeight="1">
      <c r="A41" s="2"/>
    </row>
    <row r="42" ht="15.75" customHeight="1">
      <c r="A42" s="2"/>
    </row>
    <row r="43" ht="15.75" customHeight="1">
      <c r="A43" s="2"/>
    </row>
    <row r="44" ht="15.75" customHeight="1">
      <c r="A44" s="2"/>
    </row>
    <row r="45" ht="15.75" customHeight="1">
      <c r="A45" s="2"/>
    </row>
    <row r="46" ht="15.75" customHeight="1">
      <c r="A46" s="2"/>
    </row>
    <row r="47" ht="15.75" customHeight="1">
      <c r="A47" s="2"/>
    </row>
    <row r="48" ht="15.75" customHeight="1">
      <c r="A48" s="2"/>
    </row>
    <row r="49" ht="15.75" customHeight="1">
      <c r="A49" s="2"/>
    </row>
    <row r="50" ht="15.75" customHeight="1">
      <c r="A50" s="2"/>
    </row>
    <row r="51" ht="15.75" customHeight="1">
      <c r="A51" s="2"/>
    </row>
    <row r="52" ht="15.75" customHeight="1">
      <c r="A52" s="2"/>
    </row>
    <row r="53" ht="15.75" customHeight="1">
      <c r="A53" s="2"/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dataValidations>
    <dataValidation type="date" allowBlank="1" sqref="B3">
      <formula1>DATE(1900,1,1)</formula1>
      <formula2>DATE(2099,12,31)</formula2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4.0"/>
    <col customWidth="1" min="2" max="2" width="15.57"/>
    <col customWidth="1" min="3" max="3" width="12.0"/>
    <col customWidth="1" min="4" max="4" width="10.0"/>
    <col customWidth="1" min="5" max="9" width="12.0"/>
    <col customWidth="1" min="10" max="26" width="8.71"/>
  </cols>
  <sheetData>
    <row r="1">
      <c r="A1" s="18" t="s">
        <v>41</v>
      </c>
    </row>
    <row r="3">
      <c r="A3" s="7" t="s">
        <v>42</v>
      </c>
      <c r="B3" s="4">
        <v>46055.0</v>
      </c>
      <c r="D3" s="7" t="s">
        <v>43</v>
      </c>
      <c r="E3" s="5" t="s">
        <v>44</v>
      </c>
      <c r="H3" s="27" t="s">
        <v>45</v>
      </c>
    </row>
    <row r="5">
      <c r="A5" s="9" t="s">
        <v>8</v>
      </c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</row>
    <row r="6">
      <c r="A6" s="11" t="s">
        <v>16</v>
      </c>
      <c r="B6" s="11">
        <f>COUNTIFS(INPUT!J:J,$A6, INPUT!K:K, $B$3)</f>
        <v>10</v>
      </c>
      <c r="C6" s="11">
        <f>SUMIFS(INPUT!C:C, INPUT!J:J,$A6, INPUT!K:K, $B$3)</f>
        <v>586</v>
      </c>
      <c r="D6" s="11">
        <f>SUMIFS(INPUT!E:E, INPUT!J:J,$A6, INPUT!K:K, $B$3)</f>
        <v>0</v>
      </c>
      <c r="E6" s="11">
        <f>SUMIFS(INPUT!D:D, INPUT!J:J,$A6, INPUT!K:K, $B$3)</f>
        <v>0</v>
      </c>
      <c r="F6" s="11">
        <f>SUMIFS(INPUT!G:G, INPUT!J:J,$A6, INPUT!K:K, $B$3)</f>
        <v>586</v>
      </c>
    </row>
    <row r="7">
      <c r="A7" s="11" t="s">
        <v>17</v>
      </c>
      <c r="B7" s="11">
        <f>COUNTIFS(INPUT!J:J,$A7, INPUT!K:K, $B$3)</f>
        <v>44</v>
      </c>
      <c r="C7" s="11">
        <f>SUMIFS(INPUT!C:C, INPUT!J:J,$A7, INPUT!K:K, $B$3)</f>
        <v>3078</v>
      </c>
      <c r="D7" s="11">
        <f>SUMIFS(INPUT!E:E, INPUT!J:J,$A7, INPUT!K:K, $B$3)</f>
        <v>1846.8</v>
      </c>
      <c r="E7" s="11">
        <f>SUMIFS(INPUT!D:D, INPUT!J:J,$A7, INPUT!K:K, $B$3)</f>
        <v>63</v>
      </c>
      <c r="F7" s="11">
        <f>SUMIFS(INPUT!G:G, INPUT!J:J,$A7, INPUT!K:K, $B$3)</f>
        <v>1231.2</v>
      </c>
    </row>
    <row r="8">
      <c r="A8" s="11" t="s">
        <v>18</v>
      </c>
      <c r="B8" s="11">
        <f>COUNTIFS(INPUT!J:J,$A8, INPUT!K:K, $B$3)</f>
        <v>26</v>
      </c>
      <c r="C8" s="11">
        <f>SUMIFS(INPUT!C:C, INPUT!J:J,$A8, INPUT!K:K, $B$3)</f>
        <v>1377</v>
      </c>
      <c r="D8" s="11">
        <f>SUMIFS(INPUT!E:E, INPUT!J:J,$A8, INPUT!K:K, $B$3)</f>
        <v>688.5</v>
      </c>
      <c r="E8" s="11">
        <f>SUMIFS(INPUT!D:D, INPUT!J:J,$A8, INPUT!K:K, $B$3)</f>
        <v>20</v>
      </c>
      <c r="F8" s="11">
        <f>SUMIFS(INPUT!G:G, INPUT!J:J,$A8, INPUT!K:K, $B$3)</f>
        <v>688.5</v>
      </c>
    </row>
    <row r="9">
      <c r="A9" s="11" t="s">
        <v>19</v>
      </c>
      <c r="B9" s="11">
        <f>COUNTIFS(INPUT!J:J,$A9, INPUT!K:K, $B$3)</f>
        <v>18</v>
      </c>
      <c r="C9" s="11">
        <f>SUMIFS(INPUT!C:C, INPUT!J:J,$A9, INPUT!K:K, $B$3)</f>
        <v>1156</v>
      </c>
      <c r="D9" s="11">
        <f>SUMIFS(INPUT!E:E, INPUT!J:J,$A9, INPUT!K:K, $B$3)</f>
        <v>0</v>
      </c>
      <c r="E9" s="11">
        <f>SUMIFS(INPUT!D:D, INPUT!J:J,$A9, INPUT!K:K, $B$3)</f>
        <v>40</v>
      </c>
      <c r="F9" s="11">
        <f>SUMIFS(INPUT!G:G, INPUT!J:J,$A9, INPUT!K:K, $B$3)</f>
        <v>1156</v>
      </c>
    </row>
    <row r="10">
      <c r="A10" s="11" t="s">
        <v>20</v>
      </c>
      <c r="B10" s="11">
        <f>COUNTIFS(INPUT!J:J,$A10, INPUT!K:K, $B$3)</f>
        <v>45</v>
      </c>
      <c r="C10" s="11">
        <f>SUMIFS(INPUT!C:C, INPUT!J:J,$A10, INPUT!K:K, $B$3)</f>
        <v>3072</v>
      </c>
      <c r="D10" s="11">
        <f>SUMIFS(INPUT!E:E, INPUT!J:J,$A10, INPUT!K:K, $B$3)</f>
        <v>1843.2</v>
      </c>
      <c r="E10" s="11">
        <f>SUMIFS(INPUT!D:D, INPUT!J:J,$A10, INPUT!K:K, $B$3)</f>
        <v>31</v>
      </c>
      <c r="F10" s="11">
        <f>SUMIFS(INPUT!G:G, INPUT!J:J,$A10, INPUT!K:K, $B$3)</f>
        <v>1228.8</v>
      </c>
    </row>
    <row r="11">
      <c r="A11" s="11" t="s">
        <v>21</v>
      </c>
      <c r="B11" s="11">
        <f>COUNTIFS(INPUT!J:J,$A11, INPUT!K:K, $B$3)</f>
        <v>43</v>
      </c>
      <c r="C11" s="11">
        <f>SUMIFS(INPUT!C:C, INPUT!J:J,$A11, INPUT!K:K, $B$3)</f>
        <v>2967</v>
      </c>
      <c r="D11" s="11">
        <f>SUMIFS(INPUT!E:E, INPUT!J:J,$A11, INPUT!K:K, $B$3)</f>
        <v>1780.2</v>
      </c>
      <c r="E11" s="11">
        <f>SUMIFS(INPUT!D:D, INPUT!J:J,$A11, INPUT!K:K, $B$3)</f>
        <v>38</v>
      </c>
      <c r="F11" s="11">
        <f>SUMIFS(INPUT!G:G, INPUT!J:J,$A11, INPUT!K:K, $B$3)</f>
        <v>1186.8</v>
      </c>
    </row>
    <row r="12">
      <c r="A12" s="11" t="s">
        <v>22</v>
      </c>
      <c r="B12" s="11">
        <f>COUNTIFS(INPUT!J:J,$A12, INPUT!K:K, $B$3)</f>
        <v>0</v>
      </c>
      <c r="C12" s="11">
        <f>SUMIFS(INPUT!C:C, INPUT!J:J,$A12, INPUT!K:K, $B$3)</f>
        <v>0</v>
      </c>
      <c r="D12" s="11">
        <f>SUMIFS(INPUT!E:E, INPUT!J:J,$A12, INPUT!K:K, $B$3)</f>
        <v>0</v>
      </c>
      <c r="E12" s="11">
        <f>SUMIFS(INPUT!D:D, INPUT!J:J,$A12, INPUT!K:K, $B$3)</f>
        <v>0</v>
      </c>
      <c r="F12" s="11">
        <f>SUMIFS(INPUT!G:G, INPUT!J:J,$A12, INPUT!K:K, $B$3)</f>
        <v>0</v>
      </c>
    </row>
    <row r="13">
      <c r="A13" s="11" t="s">
        <v>23</v>
      </c>
      <c r="B13" s="11">
        <f>COUNTIFS(INPUT!J:J,$A13, INPUT!K:K, $B$3)</f>
        <v>0</v>
      </c>
      <c r="C13" s="11">
        <f>SUMIFS(INPUT!C:C, INPUT!J:J,$A13, INPUT!K:K, $B$3)</f>
        <v>0</v>
      </c>
      <c r="D13" s="11">
        <f>SUMIFS(INPUT!E:E, INPUT!J:J,$A13, INPUT!K:K, $B$3)</f>
        <v>0</v>
      </c>
      <c r="E13" s="11">
        <f>SUMIFS(INPUT!D:D, INPUT!J:J,$A13, INPUT!K:K, $B$3)</f>
        <v>0</v>
      </c>
      <c r="F13" s="11">
        <f>SUMIFS(INPUT!G:G, INPUT!J:J,$A13, INPUT!K:K, $B$3)</f>
        <v>0</v>
      </c>
    </row>
    <row r="15">
      <c r="A15" s="7" t="s">
        <v>46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>
      <c r="A16" s="9" t="s">
        <v>14</v>
      </c>
      <c r="B16" s="9" t="s">
        <v>9</v>
      </c>
      <c r="C16" s="9" t="s">
        <v>10</v>
      </c>
      <c r="D16" s="9" t="s">
        <v>12</v>
      </c>
      <c r="E16" s="9" t="s">
        <v>11</v>
      </c>
      <c r="F16" s="9" t="s">
        <v>29</v>
      </c>
      <c r="G16" s="9" t="s">
        <v>13</v>
      </c>
      <c r="H16" s="29"/>
      <c r="I16" s="29"/>
      <c r="J16" s="28"/>
      <c r="K16" s="28"/>
      <c r="L16" s="28"/>
      <c r="M16" s="28"/>
      <c r="N16" s="28"/>
    </row>
    <row r="17">
      <c r="A17" s="30">
        <f>INT($B$3)+0</f>
        <v>46055</v>
      </c>
      <c r="B17" s="31">
        <f>IF($E$3="ALL",COUNTIFS(INPUT!K:K,$B$3,INPUT!L:L,A17),COUNTIFS(INPUT!J:J,$E$3, INPUT!K:K,$B$3, INPUT!L:L, A17))</f>
        <v>5</v>
      </c>
      <c r="C17" s="31">
        <f>IF($E$3="ALL",SUMIFS(INPUT!C:C,INPUT!K:K,$B$3,INPUT!L:L,A17),SUMIFS(INPUT!C:C, INPUT!J:J,$E$3, INPUT!K:K,$B$3, INPUT!L:L, A17))</f>
        <v>328</v>
      </c>
      <c r="D17" s="31">
        <f>IF($E$3="ALL",SUMIFS(INPUT!D:D,INPUT!K:K,$B$3,INPUT!L:L,A17),SUMIFS(INPUT!D:D, INPUT!J:J,$E$3, INPUT!K:K,$B$3, INPUT!L:L, A17))</f>
        <v>7</v>
      </c>
      <c r="E17" s="31">
        <f>IF($E$3="ALL",SUMIFS(INPUT!E:E,INPUT!K:K,$B$3,INPUT!L:L,A17),SUMIFS(INPUT!E:E, INPUT!J:J,$E$3, INPUT!K:K,$B$3, INPUT!L:L, A17))</f>
        <v>196.8</v>
      </c>
      <c r="F17" s="31">
        <f>IF($E$3="ALL",SUMIFS(INPUT!F:F,INPUT!K:K,$B$3,INPUT!L:L,A17),SUMIFS(INPUT!F:F, INPUT!J:J,$E$3, INPUT!K:K,$B$3, INPUT!L:L, A17))</f>
        <v>131.2</v>
      </c>
      <c r="G17" s="31">
        <f>IF($E$3="ALL",SUMIFS(INPUT!G:G,INPUT!K:K,$B$3,INPUT!L:L,A17),SUMIFS(INPUT!G:G, INPUT!J:J,$E$3, INPUT!K:K,$B$3, INPUT!L:L, A17))</f>
        <v>131.2</v>
      </c>
      <c r="H17" s="28"/>
      <c r="I17" s="28"/>
      <c r="J17" s="28"/>
      <c r="K17" s="28"/>
      <c r="L17" s="28"/>
      <c r="M17" s="28"/>
      <c r="N17" s="28"/>
    </row>
    <row r="18">
      <c r="A18" s="30">
        <f>INT($B$3)+1</f>
        <v>46056</v>
      </c>
      <c r="B18" s="31">
        <f>IF($E$3="ALL",COUNTIFS(INPUT!K:K,$B$3,INPUT!L:L,A18),COUNTIFS(INPUT!J:J,$E$3, INPUT!K:K,$B$3, INPUT!L:L, A18))</f>
        <v>5</v>
      </c>
      <c r="C18" s="31">
        <f>IF($E$3="ALL",SUMIFS(INPUT!C:C,INPUT!K:K,$B$3,INPUT!L:L,A18),SUMIFS(INPUT!C:C, INPUT!J:J,$E$3, INPUT!K:K,$B$3, INPUT!L:L, A18))</f>
        <v>310</v>
      </c>
      <c r="D18" s="31">
        <f>IF($E$3="ALL",SUMIFS(INPUT!D:D,INPUT!K:K,$B$3,INPUT!L:L,A18),SUMIFS(INPUT!D:D, INPUT!J:J,$E$3, INPUT!K:K,$B$3, INPUT!L:L, A18))</f>
        <v>11</v>
      </c>
      <c r="E18" s="31">
        <f>IF($E$3="ALL",SUMIFS(INPUT!E:E,INPUT!K:K,$B$3,INPUT!L:L,A18),SUMIFS(INPUT!E:E, INPUT!J:J,$E$3, INPUT!K:K,$B$3, INPUT!L:L, A18))</f>
        <v>186</v>
      </c>
      <c r="F18" s="31">
        <f>IF($E$3="ALL",SUMIFS(INPUT!F:F,INPUT!K:K,$B$3,INPUT!L:L,A18),SUMIFS(INPUT!F:F, INPUT!J:J,$E$3, INPUT!K:K,$B$3, INPUT!L:L, A18))</f>
        <v>124</v>
      </c>
      <c r="G18" s="31">
        <f>IF($E$3="ALL",SUMIFS(INPUT!G:G,INPUT!K:K,$B$3,INPUT!L:L,A18),SUMIFS(INPUT!G:G, INPUT!J:J,$E$3, INPUT!K:K,$B$3, INPUT!L:L, A18))</f>
        <v>124</v>
      </c>
      <c r="H18" s="28"/>
      <c r="I18" s="28"/>
      <c r="J18" s="28"/>
      <c r="K18" s="28"/>
      <c r="L18" s="28"/>
      <c r="M18" s="28"/>
      <c r="N18" s="28"/>
    </row>
    <row r="19">
      <c r="A19" s="30">
        <f>INT($B$3)+2</f>
        <v>46057</v>
      </c>
      <c r="B19" s="31">
        <f>IF($E$3="ALL",COUNTIFS(INPUT!K:K,$B$3,INPUT!L:L,A19),COUNTIFS(INPUT!J:J,$E$3, INPUT!K:K,$B$3, INPUT!L:L, A19))</f>
        <v>9</v>
      </c>
      <c r="C19" s="31">
        <f>IF($E$3="ALL",SUMIFS(INPUT!C:C,INPUT!K:K,$B$3,INPUT!L:L,A19),SUMIFS(INPUT!C:C, INPUT!J:J,$E$3, INPUT!K:K,$B$3, INPUT!L:L, A19))</f>
        <v>601</v>
      </c>
      <c r="D19" s="31">
        <f>IF($E$3="ALL",SUMIFS(INPUT!D:D,INPUT!K:K,$B$3,INPUT!L:L,A19),SUMIFS(INPUT!D:D, INPUT!J:J,$E$3, INPUT!K:K,$B$3, INPUT!L:L, A19))</f>
        <v>45</v>
      </c>
      <c r="E19" s="31">
        <f>IF($E$3="ALL",SUMIFS(INPUT!E:E,INPUT!K:K,$B$3,INPUT!L:L,A19),SUMIFS(INPUT!E:E, INPUT!J:J,$E$3, INPUT!K:K,$B$3, INPUT!L:L, A19))</f>
        <v>360.6</v>
      </c>
      <c r="F19" s="31">
        <f>IF($E$3="ALL",SUMIFS(INPUT!F:F,INPUT!K:K,$B$3,INPUT!L:L,A19),SUMIFS(INPUT!F:F, INPUT!J:J,$E$3, INPUT!K:K,$B$3, INPUT!L:L, A19))</f>
        <v>240.4</v>
      </c>
      <c r="G19" s="31">
        <f>IF($E$3="ALL",SUMIFS(INPUT!G:G,INPUT!K:K,$B$3,INPUT!L:L,A19),SUMIFS(INPUT!G:G, INPUT!J:J,$E$3, INPUT!K:K,$B$3, INPUT!L:L, A19))</f>
        <v>240.4</v>
      </c>
      <c r="H19" s="28"/>
      <c r="I19" s="28"/>
      <c r="J19" s="28"/>
      <c r="K19" s="28"/>
      <c r="L19" s="28"/>
      <c r="M19" s="28"/>
      <c r="N19" s="28"/>
    </row>
    <row r="20">
      <c r="A20" s="30">
        <f>INT($B$3)+3</f>
        <v>46058</v>
      </c>
      <c r="B20" s="31">
        <f>IF($E$3="ALL",COUNTIFS(INPUT!K:K,$B$3,INPUT!L:L,A20),COUNTIFS(INPUT!J:J,$E$3, INPUT!K:K,$B$3, INPUT!L:L, A20))</f>
        <v>5</v>
      </c>
      <c r="C20" s="31">
        <f>IF($E$3="ALL",SUMIFS(INPUT!C:C,INPUT!K:K,$B$3,INPUT!L:L,A20),SUMIFS(INPUT!C:C, INPUT!J:J,$E$3, INPUT!K:K,$B$3, INPUT!L:L, A20))</f>
        <v>443</v>
      </c>
      <c r="D20" s="31">
        <f>IF($E$3="ALL",SUMIFS(INPUT!D:D,INPUT!K:K,$B$3,INPUT!L:L,A20),SUMIFS(INPUT!D:D, INPUT!J:J,$E$3, INPUT!K:K,$B$3, INPUT!L:L, A20))</f>
        <v>0</v>
      </c>
      <c r="E20" s="31">
        <f>IF($E$3="ALL",SUMIFS(INPUT!E:E,INPUT!K:K,$B$3,INPUT!L:L,A20),SUMIFS(INPUT!E:E, INPUT!J:J,$E$3, INPUT!K:K,$B$3, INPUT!L:L, A20))</f>
        <v>265.8</v>
      </c>
      <c r="F20" s="31">
        <f>IF($E$3="ALL",SUMIFS(INPUT!F:F,INPUT!K:K,$B$3,INPUT!L:L,A20),SUMIFS(INPUT!F:F, INPUT!J:J,$E$3, INPUT!K:K,$B$3, INPUT!L:L, A20))</f>
        <v>177.2</v>
      </c>
      <c r="G20" s="31">
        <f>IF($E$3="ALL",SUMIFS(INPUT!G:G,INPUT!K:K,$B$3,INPUT!L:L,A20),SUMIFS(INPUT!G:G, INPUT!J:J,$E$3, INPUT!K:K,$B$3, INPUT!L:L, A20))</f>
        <v>177.2</v>
      </c>
      <c r="H20" s="28"/>
      <c r="I20" s="28"/>
      <c r="J20" s="28"/>
      <c r="K20" s="28"/>
      <c r="L20" s="28"/>
      <c r="M20" s="28"/>
      <c r="N20" s="28"/>
    </row>
    <row r="21" ht="15.75" customHeight="1">
      <c r="A21" s="30">
        <f>INT($B$3)+4</f>
        <v>46059</v>
      </c>
      <c r="B21" s="31">
        <f>IF($E$3="ALL",COUNTIFS(INPUT!K:K,$B$3,INPUT!L:L,A21),COUNTIFS(INPUT!J:J,$E$3, INPUT!K:K,$B$3, INPUT!L:L, A21))</f>
        <v>9</v>
      </c>
      <c r="C21" s="31">
        <f>IF($E$3="ALL",SUMIFS(INPUT!C:C,INPUT!K:K,$B$3,INPUT!L:L,A21),SUMIFS(INPUT!C:C, INPUT!J:J,$E$3, INPUT!K:K,$B$3, INPUT!L:L, A21))</f>
        <v>601</v>
      </c>
      <c r="D21" s="31">
        <f>IF($E$3="ALL",SUMIFS(INPUT!D:D,INPUT!K:K,$B$3,INPUT!L:L,A21),SUMIFS(INPUT!D:D, INPUT!J:J,$E$3, INPUT!K:K,$B$3, INPUT!L:L, A21))</f>
        <v>0</v>
      </c>
      <c r="E21" s="31">
        <f>IF($E$3="ALL",SUMIFS(INPUT!E:E,INPUT!K:K,$B$3,INPUT!L:L,A21),SUMIFS(INPUT!E:E, INPUT!J:J,$E$3, INPUT!K:K,$B$3, INPUT!L:L, A21))</f>
        <v>360.6</v>
      </c>
      <c r="F21" s="31">
        <f>IF($E$3="ALL",SUMIFS(INPUT!F:F,INPUT!K:K,$B$3,INPUT!L:L,A21),SUMIFS(INPUT!F:F, INPUT!J:J,$E$3, INPUT!K:K,$B$3, INPUT!L:L, A21))</f>
        <v>240.4</v>
      </c>
      <c r="G21" s="31">
        <f>IF($E$3="ALL",SUMIFS(INPUT!G:G,INPUT!K:K,$B$3,INPUT!L:L,A21),SUMIFS(INPUT!G:G, INPUT!J:J,$E$3, INPUT!K:K,$B$3, INPUT!L:L, A21))</f>
        <v>240.4</v>
      </c>
      <c r="H21" s="28"/>
      <c r="I21" s="28"/>
      <c r="J21" s="28"/>
      <c r="K21" s="28"/>
      <c r="L21" s="28"/>
      <c r="M21" s="28"/>
      <c r="N21" s="28"/>
    </row>
    <row r="22" ht="15.75" customHeight="1">
      <c r="A22" s="30">
        <f>INT($B$3)+5</f>
        <v>46060</v>
      </c>
      <c r="B22" s="31">
        <f>IF($E$3="ALL",COUNTIFS(INPUT!K:K,$B$3,INPUT!L:L,A22),COUNTIFS(INPUT!J:J,$E$3, INPUT!K:K,$B$3, INPUT!L:L, A22))</f>
        <v>7</v>
      </c>
      <c r="C22" s="31">
        <f>IF($E$3="ALL",SUMIFS(INPUT!C:C,INPUT!K:K,$B$3,INPUT!L:L,A22),SUMIFS(INPUT!C:C, INPUT!J:J,$E$3, INPUT!K:K,$B$3, INPUT!L:L, A22))</f>
        <v>471</v>
      </c>
      <c r="D22" s="31">
        <f>IF($E$3="ALL",SUMIFS(INPUT!D:D,INPUT!K:K,$B$3,INPUT!L:L,A22),SUMIFS(INPUT!D:D, INPUT!J:J,$E$3, INPUT!K:K,$B$3, INPUT!L:L, A22))</f>
        <v>0</v>
      </c>
      <c r="E22" s="31">
        <f>IF($E$3="ALL",SUMIFS(INPUT!E:E,INPUT!K:K,$B$3,INPUT!L:L,A22),SUMIFS(INPUT!E:E, INPUT!J:J,$E$3, INPUT!K:K,$B$3, INPUT!L:L, A22))</f>
        <v>282.6</v>
      </c>
      <c r="F22" s="31">
        <f>IF($E$3="ALL",SUMIFS(INPUT!F:F,INPUT!K:K,$B$3,INPUT!L:L,A22),SUMIFS(INPUT!F:F, INPUT!J:J,$E$3, INPUT!K:K,$B$3, INPUT!L:L, A22))</f>
        <v>188.4</v>
      </c>
      <c r="G22" s="31">
        <f>IF($E$3="ALL",SUMIFS(INPUT!G:G,INPUT!K:K,$B$3,INPUT!L:L,A22),SUMIFS(INPUT!G:G, INPUT!J:J,$E$3, INPUT!K:K,$B$3, INPUT!L:L, A22))</f>
        <v>188.4</v>
      </c>
      <c r="H22" s="28"/>
      <c r="I22" s="28"/>
      <c r="J22" s="28"/>
      <c r="K22" s="28"/>
      <c r="L22" s="28"/>
      <c r="M22" s="28"/>
      <c r="N22" s="28"/>
    </row>
    <row r="23" ht="15.75" customHeight="1">
      <c r="A23" s="30">
        <f>INT($B$3)+6</f>
        <v>46061</v>
      </c>
      <c r="B23" s="31">
        <f>IF($E$3="ALL",COUNTIFS(INPUT!K:K,$B$3,INPUT!L:L,A23),COUNTIFS(INPUT!J:J,$E$3, INPUT!K:K,$B$3, INPUT!L:L, A23))</f>
        <v>4</v>
      </c>
      <c r="C23" s="31">
        <f>IF($E$3="ALL",SUMIFS(INPUT!C:C,INPUT!K:K,$B$3,INPUT!L:L,A23),SUMIFS(INPUT!C:C, INPUT!J:J,$E$3, INPUT!K:K,$B$3, INPUT!L:L, A23))</f>
        <v>324</v>
      </c>
      <c r="D23" s="31">
        <f>IF($E$3="ALL",SUMIFS(INPUT!D:D,INPUT!K:K,$B$3,INPUT!L:L,A23),SUMIFS(INPUT!D:D, INPUT!J:J,$E$3, INPUT!K:K,$B$3, INPUT!L:L, A23))</f>
        <v>0</v>
      </c>
      <c r="E23" s="31">
        <f>IF($E$3="ALL",SUMIFS(INPUT!E:E,INPUT!K:K,$B$3,INPUT!L:L,A23),SUMIFS(INPUT!E:E, INPUT!J:J,$E$3, INPUT!K:K,$B$3, INPUT!L:L, A23))</f>
        <v>194.4</v>
      </c>
      <c r="F23" s="31">
        <f>IF($E$3="ALL",SUMIFS(INPUT!F:F,INPUT!K:K,$B$3,INPUT!L:L,A23),SUMIFS(INPUT!F:F, INPUT!J:J,$E$3, INPUT!K:K,$B$3, INPUT!L:L, A23))</f>
        <v>129.6</v>
      </c>
      <c r="G23" s="31">
        <f>IF($E$3="ALL",SUMIFS(INPUT!G:G,INPUT!K:K,$B$3,INPUT!L:L,A23),SUMIFS(INPUT!G:G, INPUT!J:J,$E$3, INPUT!K:K,$B$3, INPUT!L:L, A23))</f>
        <v>129.6</v>
      </c>
      <c r="H23" s="28"/>
      <c r="I23" s="28"/>
      <c r="J23" s="28"/>
      <c r="K23" s="28"/>
      <c r="L23" s="28"/>
      <c r="M23" s="28"/>
      <c r="N23" s="28"/>
    </row>
    <row r="24" ht="15.75" customHeight="1">
      <c r="A24" s="13" t="s">
        <v>47</v>
      </c>
      <c r="B24" s="13">
        <f t="shared" ref="B24:G24" si="1">SUM(B17:B23)</f>
        <v>44</v>
      </c>
      <c r="C24" s="13">
        <f t="shared" si="1"/>
        <v>3078</v>
      </c>
      <c r="D24" s="13">
        <f t="shared" si="1"/>
        <v>63</v>
      </c>
      <c r="E24" s="13">
        <f t="shared" si="1"/>
        <v>1846.8</v>
      </c>
      <c r="F24" s="13">
        <f t="shared" si="1"/>
        <v>1231.2</v>
      </c>
      <c r="G24" s="13">
        <f t="shared" si="1"/>
        <v>1231.2</v>
      </c>
      <c r="H24" s="28"/>
      <c r="I24" s="28"/>
      <c r="J24" s="28"/>
      <c r="K24" s="28"/>
      <c r="L24" s="28"/>
      <c r="M24" s="28"/>
      <c r="N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10.0"/>
    <col customWidth="1" min="4" max="4" width="8.0"/>
    <col customWidth="1" min="5" max="5" width="12.0"/>
    <col customWidth="1" min="6" max="6" width="10.0"/>
    <col customWidth="1" min="7" max="9" width="12.0"/>
    <col customWidth="1" min="10" max="26" width="8.71"/>
  </cols>
  <sheetData>
    <row r="1">
      <c r="A1" s="18" t="s">
        <v>48</v>
      </c>
    </row>
    <row r="3">
      <c r="A3" s="7" t="s">
        <v>49</v>
      </c>
      <c r="B3" s="32" t="s">
        <v>50</v>
      </c>
      <c r="D3" s="7" t="s">
        <v>43</v>
      </c>
      <c r="E3" s="5" t="s">
        <v>44</v>
      </c>
    </row>
    <row r="5">
      <c r="A5" s="9" t="s">
        <v>8</v>
      </c>
      <c r="B5" s="9" t="s">
        <v>9</v>
      </c>
      <c r="C5" s="9" t="s">
        <v>51</v>
      </c>
      <c r="D5" s="9" t="s">
        <v>12</v>
      </c>
      <c r="E5" s="9" t="s">
        <v>52</v>
      </c>
      <c r="F5" s="9" t="s">
        <v>53</v>
      </c>
      <c r="G5" s="9" t="s">
        <v>54</v>
      </c>
    </row>
    <row r="6">
      <c r="A6" s="31" t="s">
        <v>16</v>
      </c>
      <c r="B6" s="11">
        <f>COUNTIFS(INPUT!J:J,$A6,INPUT!A:A,"&gt;="&amp;DATE(LEFT($B$3,4),RIGHT($B$3,2),1),INPUT!A:A,"&lt;"&amp;EOMONTH(DATE(LEFT($B$3,4),RIGHT($B$3,2),1),0)+1)</f>
        <v>26</v>
      </c>
      <c r="C6" s="11">
        <f>SUMIFS(INPUT!C:C,INPUT!J:J,$A6,INPUT!A:A,"&gt;="&amp;DATE(LEFT($B$3,4),RIGHT($B$3,2),1),INPUT!A:A,"&lt;"&amp;EOMONTH(DATE(LEFT($B$3,4),RIGHT($B$3,2),1),0)+1)</f>
        <v>1835</v>
      </c>
      <c r="D6" s="11">
        <f>SUMIFS(INPUT!D:D,INPUT!J:J,$A6,INPUT!A:A,"&gt;="&amp;DATE(LEFT($B$3,4),RIGHT($B$3,2),1),INPUT!A:A,"&lt;"&amp;EOMONTH(DATE(LEFT($B$3,4),RIGHT($B$3,2),1),0)+1)</f>
        <v>0</v>
      </c>
      <c r="E6" s="11">
        <f>SUMIFS(INPUT!E:E,INPUT!J:J,$A6,INPUT!A:A,"&gt;="&amp;DATE(LEFT($B$3,4),RIGHT($B$3,2),1),INPUT!A:A,"&lt;"&amp;EOMONTH(DATE(LEFT($B$3,4),RIGHT($B$3,2),1),0)+1)</f>
        <v>0</v>
      </c>
      <c r="F6" s="11">
        <f>SUMIFS(INPUT!F:F,INPUT!J:J,$A6,INPUT!A:A,"&gt;="&amp;DATE(LEFT($B$3,4),RIGHT($B$3,2),1),INPUT!A:A,"&lt;"&amp;EOMONTH(DATE(LEFT($B$3,4),RIGHT($B$3,2),1),0)+1)</f>
        <v>1835</v>
      </c>
      <c r="G6" s="11">
        <f>SUMIFS(INPUT!G:G,INPUT!J:J,$A6,INPUT!A:A,"&gt;="&amp;DATE(LEFT($B$3,4),RIGHT($B$3,2),1),INPUT!A:A,"&lt;"&amp;EOMONTH(DATE(LEFT($B$3,4),RIGHT($B$3,2),1),0)+1)</f>
        <v>1835</v>
      </c>
    </row>
    <row r="7">
      <c r="A7" s="31" t="s">
        <v>17</v>
      </c>
      <c r="B7" s="11">
        <f>COUNTIFS(INPUT!J:J,$A7,INPUT!A:A,"&gt;="&amp;DATE(LEFT($B$3,4),RIGHT($B$3,2),1),INPUT!A:A,"&lt;"&amp;EOMONTH(DATE(LEFT($B$3,4),RIGHT($B$3,2),1),0)+1)</f>
        <v>168</v>
      </c>
      <c r="C7" s="11">
        <f>SUMIFS(INPUT!C:C,INPUT!J:J,$A7,INPUT!A:A,"&gt;="&amp;DATE(LEFT($B$3,4),RIGHT($B$3,2),1),INPUT!A:A,"&lt;"&amp;EOMONTH(DATE(LEFT($B$3,4),RIGHT($B$3,2),1),0)+1)</f>
        <v>11614</v>
      </c>
      <c r="D7" s="11">
        <f>SUMIFS(INPUT!D:D,INPUT!J:J,$A7,INPUT!A:A,"&gt;="&amp;DATE(LEFT($B$3,4),RIGHT($B$3,2),1),INPUT!A:A,"&lt;"&amp;EOMONTH(DATE(LEFT($B$3,4),RIGHT($B$3,2),1),0)+1)</f>
        <v>78</v>
      </c>
      <c r="E7" s="11">
        <f>SUMIFS(INPUT!E:E,INPUT!J:J,$A7,INPUT!A:A,"&gt;="&amp;DATE(LEFT($B$3,4),RIGHT($B$3,2),1),INPUT!A:A,"&lt;"&amp;EOMONTH(DATE(LEFT($B$3,4),RIGHT($B$3,2),1),0)+1)</f>
        <v>6968.4</v>
      </c>
      <c r="F7" s="11">
        <f>SUMIFS(INPUT!F:F,INPUT!J:J,$A7,INPUT!A:A,"&gt;="&amp;DATE(LEFT($B$3,4),RIGHT($B$3,2),1),INPUT!A:A,"&lt;"&amp;EOMONTH(DATE(LEFT($B$3,4),RIGHT($B$3,2),1),0)+1)</f>
        <v>4645.6</v>
      </c>
      <c r="G7" s="11">
        <f>SUMIFS(INPUT!G:G,INPUT!J:J,$A7,INPUT!A:A,"&gt;="&amp;DATE(LEFT($B$3,4),RIGHT($B$3,2),1),INPUT!A:A,"&lt;"&amp;EOMONTH(DATE(LEFT($B$3,4),RIGHT($B$3,2),1),0)+1)</f>
        <v>4645.6</v>
      </c>
    </row>
    <row r="8">
      <c r="A8" s="31" t="s">
        <v>18</v>
      </c>
      <c r="B8" s="11">
        <f>COUNTIFS(INPUT!J:J,$A8,INPUT!A:A,"&gt;="&amp;DATE(LEFT($B$3,4),RIGHT($B$3,2),1),INPUT!A:A,"&lt;"&amp;EOMONTH(DATE(LEFT($B$3,4),RIGHT($B$3,2),1),0)+1)</f>
        <v>144</v>
      </c>
      <c r="C8" s="11">
        <f>SUMIFS(INPUT!C:C,INPUT!J:J,$A8,INPUT!A:A,"&gt;="&amp;DATE(LEFT($B$3,4),RIGHT($B$3,2),1),INPUT!A:A,"&lt;"&amp;EOMONTH(DATE(LEFT($B$3,4),RIGHT($B$3,2),1),0)+1)</f>
        <v>7076</v>
      </c>
      <c r="D8" s="11">
        <f>SUMIFS(INPUT!D:D,INPUT!J:J,$A8,INPUT!A:A,"&gt;="&amp;DATE(LEFT($B$3,4),RIGHT($B$3,2),1),INPUT!A:A,"&lt;"&amp;EOMONTH(DATE(LEFT($B$3,4),RIGHT($B$3,2),1),0)+1)</f>
        <v>38</v>
      </c>
      <c r="E8" s="11">
        <f>SUMIFS(INPUT!E:E,INPUT!J:J,$A8,INPUT!A:A,"&gt;="&amp;DATE(LEFT($B$3,4),RIGHT($B$3,2),1),INPUT!A:A,"&lt;"&amp;EOMONTH(DATE(LEFT($B$3,4),RIGHT($B$3,2),1),0)+1)</f>
        <v>3538</v>
      </c>
      <c r="F8" s="11">
        <f>SUMIFS(INPUT!F:F,INPUT!J:J,$A8,INPUT!A:A,"&gt;="&amp;DATE(LEFT($B$3,4),RIGHT($B$3,2),1),INPUT!A:A,"&lt;"&amp;EOMONTH(DATE(LEFT($B$3,4),RIGHT($B$3,2),1),0)+1)</f>
        <v>3538</v>
      </c>
      <c r="G8" s="11">
        <f>SUMIFS(INPUT!G:G,INPUT!J:J,$A8,INPUT!A:A,"&gt;="&amp;DATE(LEFT($B$3,4),RIGHT($B$3,2),1),INPUT!A:A,"&lt;"&amp;EOMONTH(DATE(LEFT($B$3,4),RIGHT($B$3,2),1),0)+1)</f>
        <v>3538</v>
      </c>
    </row>
    <row r="9">
      <c r="A9" s="31" t="s">
        <v>19</v>
      </c>
      <c r="B9" s="11">
        <f>COUNTIFS(INPUT!J:J,$A9,INPUT!A:A,"&gt;="&amp;DATE(LEFT($B$3,4),RIGHT($B$3,2),1),INPUT!A:A,"&lt;"&amp;EOMONTH(DATE(LEFT($B$3,4),RIGHT($B$3,2),1),0)+1)</f>
        <v>76</v>
      </c>
      <c r="C9" s="11">
        <f>SUMIFS(INPUT!C:C,INPUT!J:J,$A9,INPUT!A:A,"&gt;="&amp;DATE(LEFT($B$3,4),RIGHT($B$3,2),1),INPUT!A:A,"&lt;"&amp;EOMONTH(DATE(LEFT($B$3,4),RIGHT($B$3,2),1),0)+1)</f>
        <v>5016</v>
      </c>
      <c r="D9" s="11">
        <f>SUMIFS(INPUT!D:D,INPUT!J:J,$A9,INPUT!A:A,"&gt;="&amp;DATE(LEFT($B$3,4),RIGHT($B$3,2),1),INPUT!A:A,"&lt;"&amp;EOMONTH(DATE(LEFT($B$3,4),RIGHT($B$3,2),1),0)+1)</f>
        <v>40</v>
      </c>
      <c r="E9" s="11">
        <f>SUMIFS(INPUT!E:E,INPUT!J:J,$A9,INPUT!A:A,"&gt;="&amp;DATE(LEFT($B$3,4),RIGHT($B$3,2),1),INPUT!A:A,"&lt;"&amp;EOMONTH(DATE(LEFT($B$3,4),RIGHT($B$3,2),1),0)+1)</f>
        <v>0</v>
      </c>
      <c r="F9" s="11">
        <f>SUMIFS(INPUT!F:F,INPUT!J:J,$A9,INPUT!A:A,"&gt;="&amp;DATE(LEFT($B$3,4),RIGHT($B$3,2),1),INPUT!A:A,"&lt;"&amp;EOMONTH(DATE(LEFT($B$3,4),RIGHT($B$3,2),1),0)+1)</f>
        <v>5016</v>
      </c>
      <c r="G9" s="11">
        <f>SUMIFS(INPUT!G:G,INPUT!J:J,$A9,INPUT!A:A,"&gt;="&amp;DATE(LEFT($B$3,4),RIGHT($B$3,2),1),INPUT!A:A,"&lt;"&amp;EOMONTH(DATE(LEFT($B$3,4),RIGHT($B$3,2),1),0)+1)</f>
        <v>5016</v>
      </c>
    </row>
    <row r="10">
      <c r="A10" s="31" t="s">
        <v>20</v>
      </c>
      <c r="B10" s="11">
        <f>COUNTIFS(INPUT!J:J,$A10,INPUT!A:A,"&gt;="&amp;DATE(LEFT($B$3,4),RIGHT($B$3,2),1),INPUT!A:A,"&lt;"&amp;EOMONTH(DATE(LEFT($B$3,4),RIGHT($B$3,2),1),0)+1)</f>
        <v>174</v>
      </c>
      <c r="C10" s="11">
        <f>SUMIFS(INPUT!C:C,INPUT!J:J,$A10,INPUT!A:A,"&gt;="&amp;DATE(LEFT($B$3,4),RIGHT($B$3,2),1),INPUT!A:A,"&lt;"&amp;EOMONTH(DATE(LEFT($B$3,4),RIGHT($B$3,2),1),0)+1)</f>
        <v>11189</v>
      </c>
      <c r="D10" s="11">
        <f>SUMIFS(INPUT!D:D,INPUT!J:J,$A10,INPUT!A:A,"&gt;="&amp;DATE(LEFT($B$3,4),RIGHT($B$3,2),1),INPUT!A:A,"&lt;"&amp;EOMONTH(DATE(LEFT($B$3,4),RIGHT($B$3,2),1),0)+1)</f>
        <v>50</v>
      </c>
      <c r="E10" s="11">
        <f>SUMIFS(INPUT!E:E,INPUT!J:J,$A10,INPUT!A:A,"&gt;="&amp;DATE(LEFT($B$3,4),RIGHT($B$3,2),1),INPUT!A:A,"&lt;"&amp;EOMONTH(DATE(LEFT($B$3,4),RIGHT($B$3,2),1),0)+1)</f>
        <v>6713.4</v>
      </c>
      <c r="F10" s="11">
        <f>SUMIFS(INPUT!F:F,INPUT!J:J,$A10,INPUT!A:A,"&gt;="&amp;DATE(LEFT($B$3,4),RIGHT($B$3,2),1),INPUT!A:A,"&lt;"&amp;EOMONTH(DATE(LEFT($B$3,4),RIGHT($B$3,2),1),0)+1)</f>
        <v>4475.6</v>
      </c>
      <c r="G10" s="11">
        <f>SUMIFS(INPUT!G:G,INPUT!J:J,$A10,INPUT!A:A,"&gt;="&amp;DATE(LEFT($B$3,4),RIGHT($B$3,2),1),INPUT!A:A,"&lt;"&amp;EOMONTH(DATE(LEFT($B$3,4),RIGHT($B$3,2),1),0)+1)</f>
        <v>4475.6</v>
      </c>
    </row>
    <row r="11">
      <c r="A11" s="31" t="s">
        <v>21</v>
      </c>
      <c r="B11" s="11">
        <f>COUNTIFS(INPUT!J:J,$A11,INPUT!A:A,"&gt;="&amp;DATE(LEFT($B$3,4),RIGHT($B$3,2),1),INPUT!A:A,"&lt;"&amp;EOMONTH(DATE(LEFT($B$3,4),RIGHT($B$3,2),1),0)+1)</f>
        <v>162</v>
      </c>
      <c r="C11" s="11">
        <f>SUMIFS(INPUT!C:C,INPUT!J:J,$A11,INPUT!A:A,"&gt;="&amp;DATE(LEFT($B$3,4),RIGHT($B$3,2),1),INPUT!A:A,"&lt;"&amp;EOMONTH(DATE(LEFT($B$3,4),RIGHT($B$3,2),1),0)+1)</f>
        <v>10925</v>
      </c>
      <c r="D11" s="11">
        <f>SUMIFS(INPUT!D:D,INPUT!J:J,$A11,INPUT!A:A,"&gt;="&amp;DATE(LEFT($B$3,4),RIGHT($B$3,2),1),INPUT!A:A,"&lt;"&amp;EOMONTH(DATE(LEFT($B$3,4),RIGHT($B$3,2),1),0)+1)</f>
        <v>38</v>
      </c>
      <c r="E11" s="11">
        <f>SUMIFS(INPUT!E:E,INPUT!J:J,$A11,INPUT!A:A,"&gt;="&amp;DATE(LEFT($B$3,4),RIGHT($B$3,2),1),INPUT!A:A,"&lt;"&amp;EOMONTH(DATE(LEFT($B$3,4),RIGHT($B$3,2),1),0)+1)</f>
        <v>6555</v>
      </c>
      <c r="F11" s="11">
        <f>SUMIFS(INPUT!F:F,INPUT!J:J,$A11,INPUT!A:A,"&gt;="&amp;DATE(LEFT($B$3,4),RIGHT($B$3,2),1),INPUT!A:A,"&lt;"&amp;EOMONTH(DATE(LEFT($B$3,4),RIGHT($B$3,2),1),0)+1)</f>
        <v>4370</v>
      </c>
      <c r="G11" s="11">
        <f>SUMIFS(INPUT!G:G,INPUT!J:J,$A11,INPUT!A:A,"&gt;="&amp;DATE(LEFT($B$3,4),RIGHT($B$3,2),1),INPUT!A:A,"&lt;"&amp;EOMONTH(DATE(LEFT($B$3,4),RIGHT($B$3,2),1),0)+1)</f>
        <v>4370</v>
      </c>
    </row>
    <row r="12">
      <c r="A12" s="31" t="s">
        <v>22</v>
      </c>
      <c r="B12" s="11">
        <f>COUNTIFS(INPUT!J:J,$A12,INPUT!A:A,"&gt;="&amp;DATE(LEFT($B$3,4),RIGHT($B$3,2),1),INPUT!A:A,"&lt;"&amp;EOMONTH(DATE(LEFT($B$3,4),RIGHT($B$3,2),1),0)+1)</f>
        <v>0</v>
      </c>
      <c r="C12" s="11">
        <f>SUMIFS(INPUT!C:C,INPUT!J:J,$A12,INPUT!A:A,"&gt;="&amp;DATE(LEFT($B$3,4),RIGHT($B$3,2),1),INPUT!A:A,"&lt;"&amp;EOMONTH(DATE(LEFT($B$3,4),RIGHT($B$3,2),1),0)+1)</f>
        <v>0</v>
      </c>
      <c r="D12" s="11">
        <f>SUMIFS(INPUT!D:D,INPUT!J:J,$A12,INPUT!A:A,"&gt;="&amp;DATE(LEFT($B$3,4),RIGHT($B$3,2),1),INPUT!A:A,"&lt;"&amp;EOMONTH(DATE(LEFT($B$3,4),RIGHT($B$3,2),1),0)+1)</f>
        <v>0</v>
      </c>
      <c r="E12" s="11">
        <f>SUMIFS(INPUT!E:E,INPUT!J:J,$A12,INPUT!A:A,"&gt;="&amp;DATE(LEFT($B$3,4),RIGHT($B$3,2),1),INPUT!A:A,"&lt;"&amp;EOMONTH(DATE(LEFT($B$3,4),RIGHT($B$3,2),1),0)+1)</f>
        <v>0</v>
      </c>
      <c r="F12" s="11">
        <f>SUMIFS(INPUT!F:F,INPUT!J:J,$A12,INPUT!A:A,"&gt;="&amp;DATE(LEFT($B$3,4),RIGHT($B$3,2),1),INPUT!A:A,"&lt;"&amp;EOMONTH(DATE(LEFT($B$3,4),RIGHT($B$3,2),1),0)+1)</f>
        <v>0</v>
      </c>
      <c r="G12" s="11">
        <f>SUMIFS(INPUT!G:G,INPUT!J:J,$A12,INPUT!A:A,"&gt;="&amp;DATE(LEFT($B$3,4),RIGHT($B$3,2),1),INPUT!A:A,"&lt;"&amp;EOMONTH(DATE(LEFT($B$3,4),RIGHT($B$3,2),1),0)+1)</f>
        <v>0</v>
      </c>
    </row>
    <row r="13">
      <c r="A13" s="31" t="s">
        <v>23</v>
      </c>
      <c r="B13" s="11">
        <f>COUNTIFS(INPUT!J:J,$A13,INPUT!A:A,"&gt;="&amp;DATE(LEFT($B$3,4),RIGHT($B$3,2),1),INPUT!A:A,"&lt;"&amp;EOMONTH(DATE(LEFT($B$3,4),RIGHT($B$3,2),1),0)+1)</f>
        <v>0</v>
      </c>
      <c r="C13" s="11">
        <f>SUMIFS(INPUT!C:C,INPUT!J:J,$A13,INPUT!A:A,"&gt;="&amp;DATE(LEFT($B$3,4),RIGHT($B$3,2),1),INPUT!A:A,"&lt;"&amp;EOMONTH(DATE(LEFT($B$3,4),RIGHT($B$3,2),1),0)+1)</f>
        <v>0</v>
      </c>
      <c r="D13" s="11">
        <f>SUMIFS(INPUT!D:D,INPUT!J:J,$A13,INPUT!A:A,"&gt;="&amp;DATE(LEFT($B$3,4),RIGHT($B$3,2),1),INPUT!A:A,"&lt;"&amp;EOMONTH(DATE(LEFT($B$3,4),RIGHT($B$3,2),1),0)+1)</f>
        <v>0</v>
      </c>
      <c r="E13" s="11">
        <f>SUMIFS(INPUT!E:E,INPUT!J:J,$A13,INPUT!A:A,"&gt;="&amp;DATE(LEFT($B$3,4),RIGHT($B$3,2),1),INPUT!A:A,"&lt;"&amp;EOMONTH(DATE(LEFT($B$3,4),RIGHT($B$3,2),1),0)+1)</f>
        <v>0</v>
      </c>
      <c r="F13" s="11">
        <f>SUMIFS(INPUT!F:F,INPUT!J:J,$A13,INPUT!A:A,"&gt;="&amp;DATE(LEFT($B$3,4),RIGHT($B$3,2),1),INPUT!A:A,"&lt;"&amp;EOMONTH(DATE(LEFT($B$3,4),RIGHT($B$3,2),1),0)+1)</f>
        <v>0</v>
      </c>
      <c r="G13" s="11">
        <f>SUMIFS(INPUT!G:G,INPUT!J:J,$A13,INPUT!A:A,"&gt;="&amp;DATE(LEFT($B$3,4),RIGHT($B$3,2),1),INPUT!A:A,"&lt;"&amp;EOMONTH(DATE(LEFT($B$3,4),RIGHT($B$3,2),1),0)+1)</f>
        <v>0</v>
      </c>
    </row>
    <row r="14">
      <c r="A14" s="13" t="s">
        <v>24</v>
      </c>
      <c r="B14" s="13">
        <f t="shared" ref="B14:G14" si="1">SUM(B6:B13)</f>
        <v>750</v>
      </c>
      <c r="C14" s="13">
        <f t="shared" si="1"/>
        <v>47655</v>
      </c>
      <c r="D14" s="13">
        <f t="shared" si="1"/>
        <v>244</v>
      </c>
      <c r="E14" s="13">
        <f t="shared" si="1"/>
        <v>23774.8</v>
      </c>
      <c r="F14" s="13">
        <f t="shared" si="1"/>
        <v>23880.2</v>
      </c>
      <c r="G14" s="13">
        <f t="shared" si="1"/>
        <v>23880.2</v>
      </c>
    </row>
    <row r="15">
      <c r="A15" s="11"/>
      <c r="B15" s="11"/>
      <c r="C15" s="11"/>
      <c r="D15" s="11"/>
      <c r="E15" s="11"/>
      <c r="F15" s="11"/>
      <c r="G15" s="11"/>
    </row>
    <row r="16">
      <c r="A16" s="9" t="s">
        <v>14</v>
      </c>
      <c r="B16" s="9" t="s">
        <v>9</v>
      </c>
      <c r="C16" s="9" t="s">
        <v>10</v>
      </c>
      <c r="D16" s="9" t="s">
        <v>12</v>
      </c>
      <c r="E16" s="9" t="s">
        <v>11</v>
      </c>
      <c r="F16" s="9" t="s">
        <v>29</v>
      </c>
      <c r="G16" s="9" t="s">
        <v>13</v>
      </c>
      <c r="H16" s="9" t="s">
        <v>29</v>
      </c>
      <c r="I16" s="9" t="s">
        <v>13</v>
      </c>
    </row>
    <row r="17">
      <c r="A17" s="12">
        <f>DATE(LEFT($B$3,4),RIGHT($B$3,2),1)</f>
        <v>46054</v>
      </c>
      <c r="B17" s="11">
        <f>IF(A17="","",IF($E$3="ALL",COUNTIFS(INPUT!L:L,A17),COUNTIFS(INPUT!J:J,$E$3,INPUT!L:L,A17)))</f>
        <v>6</v>
      </c>
      <c r="C17" s="11">
        <f>IF(A17="","",IF($E$3="ALL",SUMIFS(INPUT!C:C,INPUT!L:L,A17),SUMIFS(INPUT!C:C,INPUT!J:J,$E$3,INPUT!L:L,A17)))</f>
        <v>391</v>
      </c>
      <c r="D17" s="11">
        <f>IF(A17="","",IF($E$3="ALL",SUMIFS(INPUT!D:D,INPUT!L:L,A17),SUMIFS(INPUT!D:D,INPUT!J:J,$E$3,INPUT!L:L,A17)))</f>
        <v>15</v>
      </c>
      <c r="E17" s="11">
        <f>IF(A17="","",IF($E$3="ALL",SUMIFS(INPUT!E:E,INPUT!L:L,A17),SUMIFS(INPUT!E:E,INPUT!J:J,$E$3,INPUT!L:L,A17)))</f>
        <v>234.6</v>
      </c>
      <c r="F17" s="11">
        <f>IF(A17="","",IF($E$3="ALL",SUMIFS(INPUT!F:F,INPUT!L:L,A17),SUMIFS(INPUT!F:F,INPUT!J:J,$E$3,INPUT!L:L,A17)))</f>
        <v>156.4</v>
      </c>
      <c r="G17" s="11">
        <f>IF(A17="","",IF($E$3="ALL",SUMIFS(INPUT!G:G,INPUT!L:L,A17),SUMIFS(INPUT!G:G,INPUT!J:J,$E$3,INPUT!L:L,A17)))</f>
        <v>156.4</v>
      </c>
      <c r="H17" s="11"/>
      <c r="I17" s="11"/>
    </row>
    <row r="18">
      <c r="A18" s="12">
        <f t="shared" ref="A18:A47" si="2">IF(A17="","",IF(A17+1&gt;EOMONTH(DATE(LEFT($B$3,4),RIGHT($B$3,2),1),0),"",A17+1))</f>
        <v>46055</v>
      </c>
      <c r="B18" s="11">
        <f>IF(A18="","",IF($E$3="ALL",COUNTIFS(INPUT!L:L,A18),COUNTIFS(INPUT!J:J,$E$3,INPUT!L:L,A18)))</f>
        <v>5</v>
      </c>
      <c r="C18" s="11">
        <f>IF(A18="","",IF($E$3="ALL",SUMIFS(INPUT!C:C,INPUT!L:L,A18),SUMIFS(INPUT!C:C,INPUT!J:J,$E$3,INPUT!L:L,A18)))</f>
        <v>328</v>
      </c>
      <c r="D18" s="11">
        <f>IF(A18="","",IF($E$3="ALL",SUMIFS(INPUT!D:D,INPUT!L:L,A18),SUMIFS(INPUT!D:D,INPUT!J:J,$E$3,INPUT!L:L,A18)))</f>
        <v>7</v>
      </c>
      <c r="E18" s="11">
        <f>IF(A18="","",IF($E$3="ALL",SUMIFS(INPUT!E:E,INPUT!L:L,A18),SUMIFS(INPUT!E:E,INPUT!J:J,$E$3,INPUT!L:L,A18)))</f>
        <v>196.8</v>
      </c>
      <c r="F18" s="11">
        <f>IF(A18="","",IF($E$3="ALL",SUMIFS(INPUT!F:F,INPUT!L:L,A18),SUMIFS(INPUT!F:F,INPUT!J:J,$E$3,INPUT!L:L,A18)))</f>
        <v>131.2</v>
      </c>
      <c r="G18" s="11">
        <f>IF(A18="","",IF($E$3="ALL",SUMIFS(INPUT!G:G,INPUT!L:L,A18),SUMIFS(INPUT!G:G,INPUT!J:J,$E$3,INPUT!L:L,A18)))</f>
        <v>131.2</v>
      </c>
      <c r="H18" s="11"/>
      <c r="I18" s="11"/>
    </row>
    <row r="19">
      <c r="A19" s="12">
        <f t="shared" si="2"/>
        <v>46056</v>
      </c>
      <c r="B19" s="11">
        <f>IF(A19="","",IF($E$3="ALL",COUNTIFS(INPUT!L:L,A19),COUNTIFS(INPUT!J:J,$E$3,INPUT!L:L,A19)))</f>
        <v>5</v>
      </c>
      <c r="C19" s="11">
        <f>IF(A19="","",IF($E$3="ALL",SUMIFS(INPUT!C:C,INPUT!L:L,A19),SUMIFS(INPUT!C:C,INPUT!J:J,$E$3,INPUT!L:L,A19)))</f>
        <v>310</v>
      </c>
      <c r="D19" s="11">
        <f>IF(A19="","",IF($E$3="ALL",SUMIFS(INPUT!D:D,INPUT!L:L,A19),SUMIFS(INPUT!D:D,INPUT!J:J,$E$3,INPUT!L:L,A19)))</f>
        <v>11</v>
      </c>
      <c r="E19" s="11">
        <f>IF(A19="","",IF($E$3="ALL",SUMIFS(INPUT!E:E,INPUT!L:L,A19),SUMIFS(INPUT!E:E,INPUT!J:J,$E$3,INPUT!L:L,A19)))</f>
        <v>186</v>
      </c>
      <c r="F19" s="11">
        <f>IF(A19="","",IF($E$3="ALL",SUMIFS(INPUT!F:F,INPUT!L:L,A19),SUMIFS(INPUT!F:F,INPUT!J:J,$E$3,INPUT!L:L,A19)))</f>
        <v>124</v>
      </c>
      <c r="G19" s="11">
        <f>IF(A19="","",IF($E$3="ALL",SUMIFS(INPUT!G:G,INPUT!L:L,A19),SUMIFS(INPUT!G:G,INPUT!J:J,$E$3,INPUT!L:L,A19)))</f>
        <v>124</v>
      </c>
      <c r="H19" s="11"/>
      <c r="I19" s="11"/>
    </row>
    <row r="20">
      <c r="A20" s="12">
        <f t="shared" si="2"/>
        <v>46057</v>
      </c>
      <c r="B20" s="11">
        <f>IF(A20="","",IF($E$3="ALL",COUNTIFS(INPUT!L:L,A20),COUNTIFS(INPUT!J:J,$E$3,INPUT!L:L,A20)))</f>
        <v>9</v>
      </c>
      <c r="C20" s="11">
        <f>IF(A20="","",IF($E$3="ALL",SUMIFS(INPUT!C:C,INPUT!L:L,A20),SUMIFS(INPUT!C:C,INPUT!J:J,$E$3,INPUT!L:L,A20)))</f>
        <v>601</v>
      </c>
      <c r="D20" s="11">
        <f>IF(A20="","",IF($E$3="ALL",SUMIFS(INPUT!D:D,INPUT!L:L,A20),SUMIFS(INPUT!D:D,INPUT!J:J,$E$3,INPUT!L:L,A20)))</f>
        <v>45</v>
      </c>
      <c r="E20" s="11">
        <f>IF(A20="","",IF($E$3="ALL",SUMIFS(INPUT!E:E,INPUT!L:L,A20),SUMIFS(INPUT!E:E,INPUT!J:J,$E$3,INPUT!L:L,A20)))</f>
        <v>360.6</v>
      </c>
      <c r="F20" s="11">
        <f>IF(A20="","",IF($E$3="ALL",SUMIFS(INPUT!F:F,INPUT!L:L,A20),SUMIFS(INPUT!F:F,INPUT!J:J,$E$3,INPUT!L:L,A20)))</f>
        <v>240.4</v>
      </c>
      <c r="G20" s="11">
        <f>IF(A20="","",IF($E$3="ALL",SUMIFS(INPUT!G:G,INPUT!L:L,A20),SUMIFS(INPUT!G:G,INPUT!J:J,$E$3,INPUT!L:L,A20)))</f>
        <v>240.4</v>
      </c>
      <c r="H20" s="11"/>
      <c r="I20" s="11"/>
    </row>
    <row r="21" ht="15.75" customHeight="1">
      <c r="A21" s="12">
        <f t="shared" si="2"/>
        <v>46058</v>
      </c>
      <c r="B21" s="11">
        <f>IF(A21="","",IF($E$3="ALL",COUNTIFS(INPUT!L:L,A21),COUNTIFS(INPUT!J:J,$E$3,INPUT!L:L,A21)))</f>
        <v>5</v>
      </c>
      <c r="C21" s="11">
        <f>IF(A21="","",IF($E$3="ALL",SUMIFS(INPUT!C:C,INPUT!L:L,A21),SUMIFS(INPUT!C:C,INPUT!J:J,$E$3,INPUT!L:L,A21)))</f>
        <v>443</v>
      </c>
      <c r="D21" s="11">
        <f>IF(A21="","",IF($E$3="ALL",SUMIFS(INPUT!D:D,INPUT!L:L,A21),SUMIFS(INPUT!D:D,INPUT!J:J,$E$3,INPUT!L:L,A21)))</f>
        <v>0</v>
      </c>
      <c r="E21" s="11">
        <f>IF(A21="","",IF($E$3="ALL",SUMIFS(INPUT!E:E,INPUT!L:L,A21),SUMIFS(INPUT!E:E,INPUT!J:J,$E$3,INPUT!L:L,A21)))</f>
        <v>265.8</v>
      </c>
      <c r="F21" s="11">
        <f>IF(A21="","",IF($E$3="ALL",SUMIFS(INPUT!F:F,INPUT!L:L,A21),SUMIFS(INPUT!F:F,INPUT!J:J,$E$3,INPUT!L:L,A21)))</f>
        <v>177.2</v>
      </c>
      <c r="G21" s="11">
        <f>IF(A21="","",IF($E$3="ALL",SUMIFS(INPUT!G:G,INPUT!L:L,A21),SUMIFS(INPUT!G:G,INPUT!J:J,$E$3,INPUT!L:L,A21)))</f>
        <v>177.2</v>
      </c>
      <c r="H21" s="11"/>
      <c r="I21" s="11"/>
    </row>
    <row r="22" ht="15.75" customHeight="1">
      <c r="A22" s="12">
        <f t="shared" si="2"/>
        <v>46059</v>
      </c>
      <c r="B22" s="11">
        <f>IF(A22="","",IF($E$3="ALL",COUNTIFS(INPUT!L:L,A22),COUNTIFS(INPUT!J:J,$E$3,INPUT!L:L,A22)))</f>
        <v>9</v>
      </c>
      <c r="C22" s="11">
        <f>IF(A22="","",IF($E$3="ALL",SUMIFS(INPUT!C:C,INPUT!L:L,A22),SUMIFS(INPUT!C:C,INPUT!J:J,$E$3,INPUT!L:L,A22)))</f>
        <v>601</v>
      </c>
      <c r="D22" s="11">
        <f>IF(A22="","",IF($E$3="ALL",SUMIFS(INPUT!D:D,INPUT!L:L,A22),SUMIFS(INPUT!D:D,INPUT!J:J,$E$3,INPUT!L:L,A22)))</f>
        <v>0</v>
      </c>
      <c r="E22" s="11">
        <f>IF(A22="","",IF($E$3="ALL",SUMIFS(INPUT!E:E,INPUT!L:L,A22),SUMIFS(INPUT!E:E,INPUT!J:J,$E$3,INPUT!L:L,A22)))</f>
        <v>360.6</v>
      </c>
      <c r="F22" s="11">
        <f>IF(A22="","",IF($E$3="ALL",SUMIFS(INPUT!F:F,INPUT!L:L,A22),SUMIFS(INPUT!F:F,INPUT!J:J,$E$3,INPUT!L:L,A22)))</f>
        <v>240.4</v>
      </c>
      <c r="G22" s="11">
        <f>IF(A22="","",IF($E$3="ALL",SUMIFS(INPUT!G:G,INPUT!L:L,A22),SUMIFS(INPUT!G:G,INPUT!J:J,$E$3,INPUT!L:L,A22)))</f>
        <v>240.4</v>
      </c>
      <c r="H22" s="11"/>
      <c r="I22" s="11"/>
    </row>
    <row r="23" ht="15.75" customHeight="1">
      <c r="A23" s="12">
        <f t="shared" si="2"/>
        <v>46060</v>
      </c>
      <c r="B23" s="11">
        <f>IF(A23="","",IF($E$3="ALL",COUNTIFS(INPUT!L:L,A23),COUNTIFS(INPUT!J:J,$E$3,INPUT!L:L,A23)))</f>
        <v>7</v>
      </c>
      <c r="C23" s="11">
        <f>IF(A23="","",IF($E$3="ALL",SUMIFS(INPUT!C:C,INPUT!L:L,A23),SUMIFS(INPUT!C:C,INPUT!J:J,$E$3,INPUT!L:L,A23)))</f>
        <v>471</v>
      </c>
      <c r="D23" s="11">
        <f>IF(A23="","",IF($E$3="ALL",SUMIFS(INPUT!D:D,INPUT!L:L,A23),SUMIFS(INPUT!D:D,INPUT!J:J,$E$3,INPUT!L:L,A23)))</f>
        <v>0</v>
      </c>
      <c r="E23" s="11">
        <f>IF(A23="","",IF($E$3="ALL",SUMIFS(INPUT!E:E,INPUT!L:L,A23),SUMIFS(INPUT!E:E,INPUT!J:J,$E$3,INPUT!L:L,A23)))</f>
        <v>282.6</v>
      </c>
      <c r="F23" s="11">
        <f>IF(A23="","",IF($E$3="ALL",SUMIFS(INPUT!F:F,INPUT!L:L,A23),SUMIFS(INPUT!F:F,INPUT!J:J,$E$3,INPUT!L:L,A23)))</f>
        <v>188.4</v>
      </c>
      <c r="G23" s="11">
        <f>IF(A23="","",IF($E$3="ALL",SUMIFS(INPUT!G:G,INPUT!L:L,A23),SUMIFS(INPUT!G:G,INPUT!J:J,$E$3,INPUT!L:L,A23)))</f>
        <v>188.4</v>
      </c>
      <c r="H23" s="11"/>
      <c r="I23" s="11"/>
    </row>
    <row r="24" ht="15.75" customHeight="1">
      <c r="A24" s="12">
        <f t="shared" si="2"/>
        <v>46061</v>
      </c>
      <c r="B24" s="11">
        <f>IF(A24="","",IF($E$3="ALL",COUNTIFS(INPUT!L:L,A24),COUNTIFS(INPUT!J:J,$E$3,INPUT!L:L,A24)))</f>
        <v>4</v>
      </c>
      <c r="C24" s="11">
        <f>IF(A24="","",IF($E$3="ALL",SUMIFS(INPUT!C:C,INPUT!L:L,A24),SUMIFS(INPUT!C:C,INPUT!J:J,$E$3,INPUT!L:L,A24)))</f>
        <v>324</v>
      </c>
      <c r="D24" s="11">
        <f>IF(A24="","",IF($E$3="ALL",SUMIFS(INPUT!D:D,INPUT!L:L,A24),SUMIFS(INPUT!D:D,INPUT!J:J,$E$3,INPUT!L:L,A24)))</f>
        <v>0</v>
      </c>
      <c r="E24" s="11">
        <f>IF(A24="","",IF($E$3="ALL",SUMIFS(INPUT!E:E,INPUT!L:L,A24),SUMIFS(INPUT!E:E,INPUT!J:J,$E$3,INPUT!L:L,A24)))</f>
        <v>194.4</v>
      </c>
      <c r="F24" s="11">
        <f>IF(A24="","",IF($E$3="ALL",SUMIFS(INPUT!F:F,INPUT!L:L,A24),SUMIFS(INPUT!F:F,INPUT!J:J,$E$3,INPUT!L:L,A24)))</f>
        <v>129.6</v>
      </c>
      <c r="G24" s="11">
        <f>IF(A24="","",IF($E$3="ALL",SUMIFS(INPUT!G:G,INPUT!L:L,A24),SUMIFS(INPUT!G:G,INPUT!J:J,$E$3,INPUT!L:L,A24)))</f>
        <v>129.6</v>
      </c>
      <c r="H24" s="11"/>
      <c r="I24" s="11"/>
    </row>
    <row r="25" ht="15.75" customHeight="1">
      <c r="A25" s="12">
        <f t="shared" si="2"/>
        <v>46062</v>
      </c>
      <c r="B25" s="11">
        <f>IF(A25="","",IF($E$3="ALL",COUNTIFS(INPUT!L:L,A25),COUNTIFS(INPUT!J:J,$E$3,INPUT!L:L,A25)))</f>
        <v>5</v>
      </c>
      <c r="C25" s="11">
        <f>IF(A25="","",IF($E$3="ALL",SUMIFS(INPUT!C:C,INPUT!L:L,A25),SUMIFS(INPUT!C:C,INPUT!J:J,$E$3,INPUT!L:L,A25)))</f>
        <v>258</v>
      </c>
      <c r="D25" s="11">
        <f>IF(A25="","",IF($E$3="ALL",SUMIFS(INPUT!D:D,INPUT!L:L,A25),SUMIFS(INPUT!D:D,INPUT!J:J,$E$3,INPUT!L:L,A25)))</f>
        <v>0</v>
      </c>
      <c r="E25" s="11">
        <f>IF(A25="","",IF($E$3="ALL",SUMIFS(INPUT!E:E,INPUT!L:L,A25),SUMIFS(INPUT!E:E,INPUT!J:J,$E$3,INPUT!L:L,A25)))</f>
        <v>154.8</v>
      </c>
      <c r="F25" s="11">
        <f>IF(A25="","",IF($E$3="ALL",SUMIFS(INPUT!F:F,INPUT!L:L,A25),SUMIFS(INPUT!F:F,INPUT!J:J,$E$3,INPUT!L:L,A25)))</f>
        <v>103.2</v>
      </c>
      <c r="G25" s="11">
        <f>IF(A25="","",IF($E$3="ALL",SUMIFS(INPUT!G:G,INPUT!L:L,A25),SUMIFS(INPUT!G:G,INPUT!J:J,$E$3,INPUT!L:L,A25)))</f>
        <v>103.2</v>
      </c>
      <c r="H25" s="11"/>
      <c r="I25" s="11"/>
    </row>
    <row r="26" ht="15.75" customHeight="1">
      <c r="A26" s="12">
        <f t="shared" si="2"/>
        <v>46063</v>
      </c>
      <c r="B26" s="11">
        <f>IF(A26="","",IF($E$3="ALL",COUNTIFS(INPUT!L:L,A26),COUNTIFS(INPUT!J:J,$E$3,INPUT!L:L,A26)))</f>
        <v>3</v>
      </c>
      <c r="C26" s="11">
        <f>IF(A26="","",IF($E$3="ALL",SUMIFS(INPUT!C:C,INPUT!L:L,A26),SUMIFS(INPUT!C:C,INPUT!J:J,$E$3,INPUT!L:L,A26)))</f>
        <v>279</v>
      </c>
      <c r="D26" s="11">
        <f>IF(A26="","",IF($E$3="ALL",SUMIFS(INPUT!D:D,INPUT!L:L,A26),SUMIFS(INPUT!D:D,INPUT!J:J,$E$3,INPUT!L:L,A26)))</f>
        <v>0</v>
      </c>
      <c r="E26" s="11">
        <f>IF(A26="","",IF($E$3="ALL",SUMIFS(INPUT!E:E,INPUT!L:L,A26),SUMIFS(INPUT!E:E,INPUT!J:J,$E$3,INPUT!L:L,A26)))</f>
        <v>167.4</v>
      </c>
      <c r="F26" s="11">
        <f>IF(A26="","",IF($E$3="ALL",SUMIFS(INPUT!F:F,INPUT!L:L,A26),SUMIFS(INPUT!F:F,INPUT!J:J,$E$3,INPUT!L:L,A26)))</f>
        <v>111.6</v>
      </c>
      <c r="G26" s="11">
        <f>IF(A26="","",IF($E$3="ALL",SUMIFS(INPUT!G:G,INPUT!L:L,A26),SUMIFS(INPUT!G:G,INPUT!J:J,$E$3,INPUT!L:L,A26)))</f>
        <v>111.6</v>
      </c>
      <c r="H26" s="11"/>
      <c r="I26" s="11"/>
    </row>
    <row r="27" ht="15.75" customHeight="1">
      <c r="A27" s="12">
        <f t="shared" si="2"/>
        <v>46064</v>
      </c>
      <c r="B27" s="11">
        <f>IF(A27="","",IF($E$3="ALL",COUNTIFS(INPUT!L:L,A27),COUNTIFS(INPUT!J:J,$E$3,INPUT!L:L,A27)))</f>
        <v>5</v>
      </c>
      <c r="C27" s="11">
        <f>IF(A27="","",IF($E$3="ALL",SUMIFS(INPUT!C:C,INPUT!L:L,A27),SUMIFS(INPUT!C:C,INPUT!J:J,$E$3,INPUT!L:L,A27)))</f>
        <v>453</v>
      </c>
      <c r="D27" s="11">
        <f>IF(A27="","",IF($E$3="ALL",SUMIFS(INPUT!D:D,INPUT!L:L,A27),SUMIFS(INPUT!D:D,INPUT!J:J,$E$3,INPUT!L:L,A27)))</f>
        <v>0</v>
      </c>
      <c r="E27" s="11">
        <f>IF(A27="","",IF($E$3="ALL",SUMIFS(INPUT!E:E,INPUT!L:L,A27),SUMIFS(INPUT!E:E,INPUT!J:J,$E$3,INPUT!L:L,A27)))</f>
        <v>271.8</v>
      </c>
      <c r="F27" s="11">
        <f>IF(A27="","",IF($E$3="ALL",SUMIFS(INPUT!F:F,INPUT!L:L,A27),SUMIFS(INPUT!F:F,INPUT!J:J,$E$3,INPUT!L:L,A27)))</f>
        <v>181.2</v>
      </c>
      <c r="G27" s="11">
        <f>IF(A27="","",IF($E$3="ALL",SUMIFS(INPUT!G:G,INPUT!L:L,A27),SUMIFS(INPUT!G:G,INPUT!J:J,$E$3,INPUT!L:L,A27)))</f>
        <v>181.2</v>
      </c>
      <c r="H27" s="11"/>
      <c r="I27" s="11"/>
    </row>
    <row r="28" ht="15.75" customHeight="1">
      <c r="A28" s="12">
        <f t="shared" si="2"/>
        <v>46065</v>
      </c>
      <c r="B28" s="11">
        <f>IF(A28="","",IF($E$3="ALL",COUNTIFS(INPUT!L:L,A28),COUNTIFS(INPUT!J:J,$E$3,INPUT!L:L,A28)))</f>
        <v>7</v>
      </c>
      <c r="C28" s="11">
        <f>IF(A28="","",IF($E$3="ALL",SUMIFS(INPUT!C:C,INPUT!L:L,A28),SUMIFS(INPUT!C:C,INPUT!J:J,$E$3,INPUT!L:L,A28)))</f>
        <v>472</v>
      </c>
      <c r="D28" s="11">
        <f>IF(A28="","",IF($E$3="ALL",SUMIFS(INPUT!D:D,INPUT!L:L,A28),SUMIFS(INPUT!D:D,INPUT!J:J,$E$3,INPUT!L:L,A28)))</f>
        <v>0</v>
      </c>
      <c r="E28" s="11">
        <f>IF(A28="","",IF($E$3="ALL",SUMIFS(INPUT!E:E,INPUT!L:L,A28),SUMIFS(INPUT!E:E,INPUT!J:J,$E$3,INPUT!L:L,A28)))</f>
        <v>283.2</v>
      </c>
      <c r="F28" s="11">
        <f>IF(A28="","",IF($E$3="ALL",SUMIFS(INPUT!F:F,INPUT!L:L,A28),SUMIFS(INPUT!F:F,INPUT!J:J,$E$3,INPUT!L:L,A28)))</f>
        <v>188.8</v>
      </c>
      <c r="G28" s="11">
        <f>IF(A28="","",IF($E$3="ALL",SUMIFS(INPUT!G:G,INPUT!L:L,A28),SUMIFS(INPUT!G:G,INPUT!J:J,$E$3,INPUT!L:L,A28)))</f>
        <v>188.8</v>
      </c>
      <c r="H28" s="11"/>
      <c r="I28" s="11"/>
    </row>
    <row r="29" ht="15.75" customHeight="1">
      <c r="A29" s="12">
        <f t="shared" si="2"/>
        <v>46066</v>
      </c>
      <c r="B29" s="11">
        <f>IF(A29="","",IF($E$3="ALL",COUNTIFS(INPUT!L:L,A29),COUNTIFS(INPUT!J:J,$E$3,INPUT!L:L,A29)))</f>
        <v>9</v>
      </c>
      <c r="C29" s="11">
        <f>IF(A29="","",IF($E$3="ALL",SUMIFS(INPUT!C:C,INPUT!L:L,A29),SUMIFS(INPUT!C:C,INPUT!J:J,$E$3,INPUT!L:L,A29)))</f>
        <v>617</v>
      </c>
      <c r="D29" s="11">
        <f>IF(A29="","",IF($E$3="ALL",SUMIFS(INPUT!D:D,INPUT!L:L,A29),SUMIFS(INPUT!D:D,INPUT!J:J,$E$3,INPUT!L:L,A29)))</f>
        <v>0</v>
      </c>
      <c r="E29" s="11">
        <f>IF(A29="","",IF($E$3="ALL",SUMIFS(INPUT!E:E,INPUT!L:L,A29),SUMIFS(INPUT!E:E,INPUT!J:J,$E$3,INPUT!L:L,A29)))</f>
        <v>370.2</v>
      </c>
      <c r="F29" s="11">
        <f>IF(A29="","",IF($E$3="ALL",SUMIFS(INPUT!F:F,INPUT!L:L,A29),SUMIFS(INPUT!F:F,INPUT!J:J,$E$3,INPUT!L:L,A29)))</f>
        <v>246.8</v>
      </c>
      <c r="G29" s="11">
        <f>IF(A29="","",IF($E$3="ALL",SUMIFS(INPUT!G:G,INPUT!L:L,A29),SUMIFS(INPUT!G:G,INPUT!J:J,$E$3,INPUT!L:L,A29)))</f>
        <v>246.8</v>
      </c>
      <c r="H29" s="11"/>
      <c r="I29" s="11"/>
    </row>
    <row r="30" ht="15.75" customHeight="1">
      <c r="A30" s="12">
        <f t="shared" si="2"/>
        <v>46067</v>
      </c>
      <c r="B30" s="11">
        <f>IF(A30="","",IF($E$3="ALL",COUNTIFS(INPUT!L:L,A30),COUNTIFS(INPUT!J:J,$E$3,INPUT!L:L,A30)))</f>
        <v>6</v>
      </c>
      <c r="C30" s="11">
        <f>IF(A30="","",IF($E$3="ALL",SUMIFS(INPUT!C:C,INPUT!L:L,A30),SUMIFS(INPUT!C:C,INPUT!J:J,$E$3,INPUT!L:L,A30)))</f>
        <v>380</v>
      </c>
      <c r="D30" s="11">
        <f>IF(A30="","",IF($E$3="ALL",SUMIFS(INPUT!D:D,INPUT!L:L,A30),SUMIFS(INPUT!D:D,INPUT!J:J,$E$3,INPUT!L:L,A30)))</f>
        <v>0</v>
      </c>
      <c r="E30" s="11">
        <f>IF(A30="","",IF($E$3="ALL",SUMIFS(INPUT!E:E,INPUT!L:L,A30),SUMIFS(INPUT!E:E,INPUT!J:J,$E$3,INPUT!L:L,A30)))</f>
        <v>228</v>
      </c>
      <c r="F30" s="11">
        <f>IF(A30="","",IF($E$3="ALL",SUMIFS(INPUT!F:F,INPUT!L:L,A30),SUMIFS(INPUT!F:F,INPUT!J:J,$E$3,INPUT!L:L,A30)))</f>
        <v>152</v>
      </c>
      <c r="G30" s="11">
        <f>IF(A30="","",IF($E$3="ALL",SUMIFS(INPUT!G:G,INPUT!L:L,A30),SUMIFS(INPUT!G:G,INPUT!J:J,$E$3,INPUT!L:L,A30)))</f>
        <v>152</v>
      </c>
      <c r="H30" s="11"/>
      <c r="I30" s="11"/>
    </row>
    <row r="31" ht="15.75" customHeight="1">
      <c r="A31" s="12">
        <f t="shared" si="2"/>
        <v>46068</v>
      </c>
      <c r="B31" s="11">
        <f>IF(A31="","",IF($E$3="ALL",COUNTIFS(INPUT!L:L,A31),COUNTIFS(INPUT!J:J,$E$3,INPUT!L:L,A31)))</f>
        <v>0</v>
      </c>
      <c r="C31" s="11">
        <f>IF(A31="","",IF($E$3="ALL",SUMIFS(INPUT!C:C,INPUT!L:L,A31),SUMIFS(INPUT!C:C,INPUT!J:J,$E$3,INPUT!L:L,A31)))</f>
        <v>0</v>
      </c>
      <c r="D31" s="11">
        <f>IF(A31="","",IF($E$3="ALL",SUMIFS(INPUT!D:D,INPUT!L:L,A31),SUMIFS(INPUT!D:D,INPUT!J:J,$E$3,INPUT!L:L,A31)))</f>
        <v>0</v>
      </c>
      <c r="E31" s="11">
        <f>IF(A31="","",IF($E$3="ALL",SUMIFS(INPUT!E:E,INPUT!L:L,A31),SUMIFS(INPUT!E:E,INPUT!J:J,$E$3,INPUT!L:L,A31)))</f>
        <v>0</v>
      </c>
      <c r="F31" s="11">
        <f>IF(A31="","",IF($E$3="ALL",SUMIFS(INPUT!F:F,INPUT!L:L,A31),SUMIFS(INPUT!F:F,INPUT!J:J,$E$3,INPUT!L:L,A31)))</f>
        <v>0</v>
      </c>
      <c r="G31" s="11">
        <f>IF(A31="","",IF($E$3="ALL",SUMIFS(INPUT!G:G,INPUT!L:L,A31),SUMIFS(INPUT!G:G,INPUT!J:J,$E$3,INPUT!L:L,A31)))</f>
        <v>0</v>
      </c>
      <c r="H31" s="11"/>
      <c r="I31" s="11"/>
    </row>
    <row r="32" ht="15.75" customHeight="1">
      <c r="A32" s="12">
        <f t="shared" si="2"/>
        <v>46069</v>
      </c>
      <c r="B32" s="11">
        <f>IF(A32="","",IF($E$3="ALL",COUNTIFS(INPUT!L:L,A32),COUNTIFS(INPUT!J:J,$E$3,INPUT!L:L,A32)))</f>
        <v>0</v>
      </c>
      <c r="C32" s="11">
        <f>IF(A32="","",IF($E$3="ALL",SUMIFS(INPUT!C:C,INPUT!L:L,A32),SUMIFS(INPUT!C:C,INPUT!J:J,$E$3,INPUT!L:L,A32)))</f>
        <v>0</v>
      </c>
      <c r="D32" s="11">
        <f>IF(A32="","",IF($E$3="ALL",SUMIFS(INPUT!D:D,INPUT!L:L,A32),SUMIFS(INPUT!D:D,INPUT!J:J,$E$3,INPUT!L:L,A32)))</f>
        <v>0</v>
      </c>
      <c r="E32" s="11">
        <f>IF(A32="","",IF($E$3="ALL",SUMIFS(INPUT!E:E,INPUT!L:L,A32),SUMIFS(INPUT!E:E,INPUT!J:J,$E$3,INPUT!L:L,A32)))</f>
        <v>0</v>
      </c>
      <c r="F32" s="11">
        <f>IF(A32="","",IF($E$3="ALL",SUMIFS(INPUT!F:F,INPUT!L:L,A32),SUMIFS(INPUT!F:F,INPUT!J:J,$E$3,INPUT!L:L,A32)))</f>
        <v>0</v>
      </c>
      <c r="G32" s="11">
        <f>IF(A32="","",IF($E$3="ALL",SUMIFS(INPUT!G:G,INPUT!L:L,A32),SUMIFS(INPUT!G:G,INPUT!J:J,$E$3,INPUT!L:L,A32)))</f>
        <v>0</v>
      </c>
      <c r="H32" s="11"/>
      <c r="I32" s="11"/>
    </row>
    <row r="33" ht="15.75" customHeight="1">
      <c r="A33" s="12">
        <f t="shared" si="2"/>
        <v>46070</v>
      </c>
      <c r="B33" s="11">
        <f>IF(A33="","",IF($E$3="ALL",COUNTIFS(INPUT!L:L,A33),COUNTIFS(INPUT!J:J,$E$3,INPUT!L:L,A33)))</f>
        <v>6</v>
      </c>
      <c r="C33" s="11">
        <f>IF(A33="","",IF($E$3="ALL",SUMIFS(INPUT!C:C,INPUT!L:L,A33),SUMIFS(INPUT!C:C,INPUT!J:J,$E$3,INPUT!L:L,A33)))</f>
        <v>425</v>
      </c>
      <c r="D33" s="11">
        <f>IF(A33="","",IF($E$3="ALL",SUMIFS(INPUT!D:D,INPUT!L:L,A33),SUMIFS(INPUT!D:D,INPUT!J:J,$E$3,INPUT!L:L,A33)))</f>
        <v>0</v>
      </c>
      <c r="E33" s="11">
        <f>IF(A33="","",IF($E$3="ALL",SUMIFS(INPUT!E:E,INPUT!L:L,A33),SUMIFS(INPUT!E:E,INPUT!J:J,$E$3,INPUT!L:L,A33)))</f>
        <v>255</v>
      </c>
      <c r="F33" s="11">
        <f>IF(A33="","",IF($E$3="ALL",SUMIFS(INPUT!F:F,INPUT!L:L,A33),SUMIFS(INPUT!F:F,INPUT!J:J,$E$3,INPUT!L:L,A33)))</f>
        <v>170</v>
      </c>
      <c r="G33" s="11">
        <f>IF(A33="","",IF($E$3="ALL",SUMIFS(INPUT!G:G,INPUT!L:L,A33),SUMIFS(INPUT!G:G,INPUT!J:J,$E$3,INPUT!L:L,A33)))</f>
        <v>170</v>
      </c>
      <c r="H33" s="11"/>
      <c r="I33" s="11"/>
    </row>
    <row r="34" ht="15.75" customHeight="1">
      <c r="A34" s="12">
        <f t="shared" si="2"/>
        <v>46071</v>
      </c>
      <c r="B34" s="11">
        <f>IF(A34="","",IF($E$3="ALL",COUNTIFS(INPUT!L:L,A34),COUNTIFS(INPUT!J:J,$E$3,INPUT!L:L,A34)))</f>
        <v>6</v>
      </c>
      <c r="C34" s="11">
        <f>IF(A34="","",IF($E$3="ALL",SUMIFS(INPUT!C:C,INPUT!L:L,A34),SUMIFS(INPUT!C:C,INPUT!J:J,$E$3,INPUT!L:L,A34)))</f>
        <v>388</v>
      </c>
      <c r="D34" s="11">
        <f>IF(A34="","",IF($E$3="ALL",SUMIFS(INPUT!D:D,INPUT!L:L,A34),SUMIFS(INPUT!D:D,INPUT!J:J,$E$3,INPUT!L:L,A34)))</f>
        <v>0</v>
      </c>
      <c r="E34" s="11">
        <f>IF(A34="","",IF($E$3="ALL",SUMIFS(INPUT!E:E,INPUT!L:L,A34),SUMIFS(INPUT!E:E,INPUT!J:J,$E$3,INPUT!L:L,A34)))</f>
        <v>232.8</v>
      </c>
      <c r="F34" s="11">
        <f>IF(A34="","",IF($E$3="ALL",SUMIFS(INPUT!F:F,INPUT!L:L,A34),SUMIFS(INPUT!F:F,INPUT!J:J,$E$3,INPUT!L:L,A34)))</f>
        <v>155.2</v>
      </c>
      <c r="G34" s="11">
        <f>IF(A34="","",IF($E$3="ALL",SUMIFS(INPUT!G:G,INPUT!L:L,A34),SUMIFS(INPUT!G:G,INPUT!J:J,$E$3,INPUT!L:L,A34)))</f>
        <v>155.2</v>
      </c>
      <c r="H34" s="11"/>
      <c r="I34" s="11"/>
    </row>
    <row r="35" ht="15.75" customHeight="1">
      <c r="A35" s="12">
        <f t="shared" si="2"/>
        <v>46072</v>
      </c>
      <c r="B35" s="11">
        <f>IF(A35="","",IF($E$3="ALL",COUNTIFS(INPUT!L:L,A35),COUNTIFS(INPUT!J:J,$E$3,INPUT!L:L,A35)))</f>
        <v>6</v>
      </c>
      <c r="C35" s="11">
        <f>IF(A35="","",IF($E$3="ALL",SUMIFS(INPUT!C:C,INPUT!L:L,A35),SUMIFS(INPUT!C:C,INPUT!J:J,$E$3,INPUT!L:L,A35)))</f>
        <v>406</v>
      </c>
      <c r="D35" s="11">
        <f>IF(A35="","",IF($E$3="ALL",SUMIFS(INPUT!D:D,INPUT!L:L,A35),SUMIFS(INPUT!D:D,INPUT!J:J,$E$3,INPUT!L:L,A35)))</f>
        <v>0</v>
      </c>
      <c r="E35" s="11">
        <f>IF(A35="","",IF($E$3="ALL",SUMIFS(INPUT!E:E,INPUT!L:L,A35),SUMIFS(INPUT!E:E,INPUT!J:J,$E$3,INPUT!L:L,A35)))</f>
        <v>243.6</v>
      </c>
      <c r="F35" s="11">
        <f>IF(A35="","",IF($E$3="ALL",SUMIFS(INPUT!F:F,INPUT!L:L,A35),SUMIFS(INPUT!F:F,INPUT!J:J,$E$3,INPUT!L:L,A35)))</f>
        <v>162.4</v>
      </c>
      <c r="G35" s="11">
        <f>IF(A35="","",IF($E$3="ALL",SUMIFS(INPUT!G:G,INPUT!L:L,A35),SUMIFS(INPUT!G:G,INPUT!J:J,$E$3,INPUT!L:L,A35)))</f>
        <v>162.4</v>
      </c>
      <c r="H35" s="11"/>
      <c r="I35" s="11"/>
    </row>
    <row r="36" ht="15.75" customHeight="1">
      <c r="A36" s="12">
        <f t="shared" si="2"/>
        <v>46073</v>
      </c>
      <c r="B36" s="11">
        <f>IF(A36="","",IF($E$3="ALL",COUNTIFS(INPUT!L:L,A36),COUNTIFS(INPUT!J:J,$E$3,INPUT!L:L,A36)))</f>
        <v>10</v>
      </c>
      <c r="C36" s="11">
        <f>IF(A36="","",IF($E$3="ALL",SUMIFS(INPUT!C:C,INPUT!L:L,A36),SUMIFS(INPUT!C:C,INPUT!J:J,$E$3,INPUT!L:L,A36)))</f>
        <v>668</v>
      </c>
      <c r="D36" s="11">
        <f>IF(A36="","",IF($E$3="ALL",SUMIFS(INPUT!D:D,INPUT!L:L,A36),SUMIFS(INPUT!D:D,INPUT!J:J,$E$3,INPUT!L:L,A36)))</f>
        <v>0</v>
      </c>
      <c r="E36" s="11">
        <f>IF(A36="","",IF($E$3="ALL",SUMIFS(INPUT!E:E,INPUT!L:L,A36),SUMIFS(INPUT!E:E,INPUT!J:J,$E$3,INPUT!L:L,A36)))</f>
        <v>400.8</v>
      </c>
      <c r="F36" s="11">
        <f>IF(A36="","",IF($E$3="ALL",SUMIFS(INPUT!F:F,INPUT!L:L,A36),SUMIFS(INPUT!F:F,INPUT!J:J,$E$3,INPUT!L:L,A36)))</f>
        <v>267.2</v>
      </c>
      <c r="G36" s="11">
        <f>IF(A36="","",IF($E$3="ALL",SUMIFS(INPUT!G:G,INPUT!L:L,A36),SUMIFS(INPUT!G:G,INPUT!J:J,$E$3,INPUT!L:L,A36)))</f>
        <v>267.2</v>
      </c>
      <c r="H36" s="11"/>
      <c r="I36" s="11"/>
    </row>
    <row r="37" ht="15.75" customHeight="1">
      <c r="A37" s="12">
        <f t="shared" si="2"/>
        <v>46074</v>
      </c>
      <c r="B37" s="11">
        <f>IF(A37="","",IF($E$3="ALL",COUNTIFS(INPUT!L:L,A37),COUNTIFS(INPUT!J:J,$E$3,INPUT!L:L,A37)))</f>
        <v>9</v>
      </c>
      <c r="C37" s="11">
        <f>IF(A37="","",IF($E$3="ALL",SUMIFS(INPUT!C:C,INPUT!L:L,A37),SUMIFS(INPUT!C:C,INPUT!J:J,$E$3,INPUT!L:L,A37)))</f>
        <v>573</v>
      </c>
      <c r="D37" s="11">
        <f>IF(A37="","",IF($E$3="ALL",SUMIFS(INPUT!D:D,INPUT!L:L,A37),SUMIFS(INPUT!D:D,INPUT!J:J,$E$3,INPUT!L:L,A37)))</f>
        <v>0</v>
      </c>
      <c r="E37" s="11">
        <f>IF(A37="","",IF($E$3="ALL",SUMIFS(INPUT!E:E,INPUT!L:L,A37),SUMIFS(INPUT!E:E,INPUT!J:J,$E$3,INPUT!L:L,A37)))</f>
        <v>343.8</v>
      </c>
      <c r="F37" s="11">
        <f>IF(A37="","",IF($E$3="ALL",SUMIFS(INPUT!F:F,INPUT!L:L,A37),SUMIFS(INPUT!F:F,INPUT!J:J,$E$3,INPUT!L:L,A37)))</f>
        <v>229.2</v>
      </c>
      <c r="G37" s="11">
        <f>IF(A37="","",IF($E$3="ALL",SUMIFS(INPUT!G:G,INPUT!L:L,A37),SUMIFS(INPUT!G:G,INPUT!J:J,$E$3,INPUT!L:L,A37)))</f>
        <v>229.2</v>
      </c>
      <c r="H37" s="11"/>
      <c r="I37" s="11"/>
    </row>
    <row r="38" ht="15.75" customHeight="1">
      <c r="A38" s="12">
        <f t="shared" si="2"/>
        <v>46075</v>
      </c>
      <c r="B38" s="11">
        <f>IF(A38="","",IF($E$3="ALL",COUNTIFS(INPUT!L:L,A38),COUNTIFS(INPUT!J:J,$E$3,INPUT!L:L,A38)))</f>
        <v>5</v>
      </c>
      <c r="C38" s="11">
        <f>IF(A38="","",IF($E$3="ALL",SUMIFS(INPUT!C:C,INPUT!L:L,A38),SUMIFS(INPUT!C:C,INPUT!J:J,$E$3,INPUT!L:L,A38)))</f>
        <v>483</v>
      </c>
      <c r="D38" s="11">
        <f>IF(A38="","",IF($E$3="ALL",SUMIFS(INPUT!D:D,INPUT!L:L,A38),SUMIFS(INPUT!D:D,INPUT!J:J,$E$3,INPUT!L:L,A38)))</f>
        <v>0</v>
      </c>
      <c r="E38" s="11">
        <f>IF(A38="","",IF($E$3="ALL",SUMIFS(INPUT!E:E,INPUT!L:L,A38),SUMIFS(INPUT!E:E,INPUT!J:J,$E$3,INPUT!L:L,A38)))</f>
        <v>289.8</v>
      </c>
      <c r="F38" s="11">
        <f>IF(A38="","",IF($E$3="ALL",SUMIFS(INPUT!F:F,INPUT!L:L,A38),SUMIFS(INPUT!F:F,INPUT!J:J,$E$3,INPUT!L:L,A38)))</f>
        <v>193.2</v>
      </c>
      <c r="G38" s="11">
        <f>IF(A38="","",IF($E$3="ALL",SUMIFS(INPUT!G:G,INPUT!L:L,A38),SUMIFS(INPUT!G:G,INPUT!J:J,$E$3,INPUT!L:L,A38)))</f>
        <v>193.2</v>
      </c>
      <c r="H38" s="11"/>
      <c r="I38" s="11"/>
    </row>
    <row r="39" ht="15.75" customHeight="1">
      <c r="A39" s="12">
        <f t="shared" si="2"/>
        <v>46076</v>
      </c>
      <c r="B39" s="11">
        <f>IF(A39="","",IF($E$3="ALL",COUNTIFS(INPUT!L:L,A39),COUNTIFS(INPUT!J:J,$E$3,INPUT!L:L,A39)))</f>
        <v>5</v>
      </c>
      <c r="C39" s="11">
        <f>IF(A39="","",IF($E$3="ALL",SUMIFS(INPUT!C:C,INPUT!L:L,A39),SUMIFS(INPUT!C:C,INPUT!J:J,$E$3,INPUT!L:L,A39)))</f>
        <v>435</v>
      </c>
      <c r="D39" s="11">
        <f>IF(A39="","",IF($E$3="ALL",SUMIFS(INPUT!D:D,INPUT!L:L,A39),SUMIFS(INPUT!D:D,INPUT!J:J,$E$3,INPUT!L:L,A39)))</f>
        <v>0</v>
      </c>
      <c r="E39" s="11">
        <f>IF(A39="","",IF($E$3="ALL",SUMIFS(INPUT!E:E,INPUT!L:L,A39),SUMIFS(INPUT!E:E,INPUT!J:J,$E$3,INPUT!L:L,A39)))</f>
        <v>261</v>
      </c>
      <c r="F39" s="11">
        <f>IF(A39="","",IF($E$3="ALL",SUMIFS(INPUT!F:F,INPUT!L:L,A39),SUMIFS(INPUT!F:F,INPUT!J:J,$E$3,INPUT!L:L,A39)))</f>
        <v>174</v>
      </c>
      <c r="G39" s="11">
        <f>IF(A39="","",IF($E$3="ALL",SUMIFS(INPUT!G:G,INPUT!L:L,A39),SUMIFS(INPUT!G:G,INPUT!J:J,$E$3,INPUT!L:L,A39)))</f>
        <v>174</v>
      </c>
      <c r="H39" s="11"/>
      <c r="I39" s="11"/>
    </row>
    <row r="40" ht="15.75" customHeight="1">
      <c r="A40" s="12">
        <f t="shared" si="2"/>
        <v>46077</v>
      </c>
      <c r="B40" s="11">
        <f>IF(A40="","",IF($E$3="ALL",COUNTIFS(INPUT!L:L,A40),COUNTIFS(INPUT!J:J,$E$3,INPUT!L:L,A40)))</f>
        <v>5</v>
      </c>
      <c r="C40" s="11">
        <f>IF(A40="","",IF($E$3="ALL",SUMIFS(INPUT!C:C,INPUT!L:L,A40),SUMIFS(INPUT!C:C,INPUT!J:J,$E$3,INPUT!L:L,A40)))</f>
        <v>395</v>
      </c>
      <c r="D40" s="11">
        <f>IF(A40="","",IF($E$3="ALL",SUMIFS(INPUT!D:D,INPUT!L:L,A40),SUMIFS(INPUT!D:D,INPUT!J:J,$E$3,INPUT!L:L,A40)))</f>
        <v>0</v>
      </c>
      <c r="E40" s="11">
        <f>IF(A40="","",IF($E$3="ALL",SUMIFS(INPUT!E:E,INPUT!L:L,A40),SUMIFS(INPUT!E:E,INPUT!J:J,$E$3,INPUT!L:L,A40)))</f>
        <v>237</v>
      </c>
      <c r="F40" s="11">
        <f>IF(A40="","",IF($E$3="ALL",SUMIFS(INPUT!F:F,INPUT!L:L,A40),SUMIFS(INPUT!F:F,INPUT!J:J,$E$3,INPUT!L:L,A40)))</f>
        <v>158</v>
      </c>
      <c r="G40" s="11">
        <f>IF(A40="","",IF($E$3="ALL",SUMIFS(INPUT!G:G,INPUT!L:L,A40),SUMIFS(INPUT!G:G,INPUT!J:J,$E$3,INPUT!L:L,A40)))</f>
        <v>158</v>
      </c>
      <c r="H40" s="11"/>
      <c r="I40" s="11"/>
    </row>
    <row r="41" ht="15.75" customHeight="1">
      <c r="A41" s="12">
        <f t="shared" si="2"/>
        <v>46078</v>
      </c>
      <c r="B41" s="11">
        <f>IF(A41="","",IF($E$3="ALL",COUNTIFS(INPUT!L:L,A41),COUNTIFS(INPUT!J:J,$E$3,INPUT!L:L,A41)))</f>
        <v>7</v>
      </c>
      <c r="C41" s="11">
        <f>IF(A41="","",IF($E$3="ALL",SUMIFS(INPUT!C:C,INPUT!L:L,A41),SUMIFS(INPUT!C:C,INPUT!J:J,$E$3,INPUT!L:L,A41)))</f>
        <v>507</v>
      </c>
      <c r="D41" s="11">
        <f>IF(A41="","",IF($E$3="ALL",SUMIFS(INPUT!D:D,INPUT!L:L,A41),SUMIFS(INPUT!D:D,INPUT!J:J,$E$3,INPUT!L:L,A41)))</f>
        <v>0</v>
      </c>
      <c r="E41" s="11">
        <f>IF(A41="","",IF($E$3="ALL",SUMIFS(INPUT!E:E,INPUT!L:L,A41),SUMIFS(INPUT!E:E,INPUT!J:J,$E$3,INPUT!L:L,A41)))</f>
        <v>304.2</v>
      </c>
      <c r="F41" s="11">
        <f>IF(A41="","",IF($E$3="ALL",SUMIFS(INPUT!F:F,INPUT!L:L,A41),SUMIFS(INPUT!F:F,INPUT!J:J,$E$3,INPUT!L:L,A41)))</f>
        <v>202.8</v>
      </c>
      <c r="G41" s="11">
        <f>IF(A41="","",IF($E$3="ALL",SUMIFS(INPUT!G:G,INPUT!L:L,A41),SUMIFS(INPUT!G:G,INPUT!J:J,$E$3,INPUT!L:L,A41)))</f>
        <v>202.8</v>
      </c>
      <c r="H41" s="11"/>
      <c r="I41" s="11"/>
    </row>
    <row r="42" ht="15.75" customHeight="1">
      <c r="A42" s="12">
        <f t="shared" si="2"/>
        <v>46079</v>
      </c>
      <c r="B42" s="11">
        <f>IF(A42="","",IF($E$3="ALL",COUNTIFS(INPUT!L:L,A42),COUNTIFS(INPUT!J:J,$E$3,INPUT!L:L,A42)))</f>
        <v>7</v>
      </c>
      <c r="C42" s="11">
        <f>IF(A42="","",IF($E$3="ALL",SUMIFS(INPUT!C:C,INPUT!L:L,A42),SUMIFS(INPUT!C:C,INPUT!J:J,$E$3,INPUT!L:L,A42)))</f>
        <v>401</v>
      </c>
      <c r="D42" s="11">
        <f>IF(A42="","",IF($E$3="ALL",SUMIFS(INPUT!D:D,INPUT!L:L,A42),SUMIFS(INPUT!D:D,INPUT!J:J,$E$3,INPUT!L:L,A42)))</f>
        <v>0</v>
      </c>
      <c r="E42" s="11">
        <f>IF(A42="","",IF($E$3="ALL",SUMIFS(INPUT!E:E,INPUT!L:L,A42),SUMIFS(INPUT!E:E,INPUT!J:J,$E$3,INPUT!L:L,A42)))</f>
        <v>240.6</v>
      </c>
      <c r="F42" s="11">
        <f>IF(A42="","",IF($E$3="ALL",SUMIFS(INPUT!F:F,INPUT!L:L,A42),SUMIFS(INPUT!F:F,INPUT!J:J,$E$3,INPUT!L:L,A42)))</f>
        <v>160.4</v>
      </c>
      <c r="G42" s="11">
        <f>IF(A42="","",IF($E$3="ALL",SUMIFS(INPUT!G:G,INPUT!L:L,A42),SUMIFS(INPUT!G:G,INPUT!J:J,$E$3,INPUT!L:L,A42)))</f>
        <v>160.4</v>
      </c>
      <c r="H42" s="11"/>
      <c r="I42" s="11"/>
    </row>
    <row r="43" ht="15.75" customHeight="1">
      <c r="A43" s="12">
        <f t="shared" si="2"/>
        <v>46080</v>
      </c>
      <c r="B43" s="11">
        <f>IF(A43="","",IF($E$3="ALL",COUNTIFS(INPUT!L:L,A43),COUNTIFS(INPUT!J:J,$E$3,INPUT!L:L,A43)))</f>
        <v>9</v>
      </c>
      <c r="C43" s="11">
        <f>IF(A43="","",IF($E$3="ALL",SUMIFS(INPUT!C:C,INPUT!L:L,A43),SUMIFS(INPUT!C:C,INPUT!J:J,$E$3,INPUT!L:L,A43)))</f>
        <v>539</v>
      </c>
      <c r="D43" s="11">
        <f>IF(A43="","",IF($E$3="ALL",SUMIFS(INPUT!D:D,INPUT!L:L,A43),SUMIFS(INPUT!D:D,INPUT!J:J,$E$3,INPUT!L:L,A43)))</f>
        <v>0</v>
      </c>
      <c r="E43" s="11">
        <f>IF(A43="","",IF($E$3="ALL",SUMIFS(INPUT!E:E,INPUT!L:L,A43),SUMIFS(INPUT!E:E,INPUT!J:J,$E$3,INPUT!L:L,A43)))</f>
        <v>323.4</v>
      </c>
      <c r="F43" s="11">
        <f>IF(A43="","",IF($E$3="ALL",SUMIFS(INPUT!F:F,INPUT!L:L,A43),SUMIFS(INPUT!F:F,INPUT!J:J,$E$3,INPUT!L:L,A43)))</f>
        <v>215.6</v>
      </c>
      <c r="G43" s="11">
        <f>IF(A43="","",IF($E$3="ALL",SUMIFS(INPUT!G:G,INPUT!L:L,A43),SUMIFS(INPUT!G:G,INPUT!J:J,$E$3,INPUT!L:L,A43)))</f>
        <v>215.6</v>
      </c>
      <c r="H43" s="11"/>
      <c r="I43" s="11"/>
    </row>
    <row r="44" ht="15.75" customHeight="1">
      <c r="A44" s="12">
        <f t="shared" si="2"/>
        <v>46081</v>
      </c>
      <c r="B44" s="11">
        <f>IF(A44="","",IF($E$3="ALL",COUNTIFS(INPUT!L:L,A44),COUNTIFS(INPUT!J:J,$E$3,INPUT!L:L,A44)))</f>
        <v>8</v>
      </c>
      <c r="C44" s="11">
        <f>IF(A44="","",IF($E$3="ALL",SUMIFS(INPUT!C:C,INPUT!L:L,A44),SUMIFS(INPUT!C:C,INPUT!J:J,$E$3,INPUT!L:L,A44)))</f>
        <v>466</v>
      </c>
      <c r="D44" s="11">
        <f>IF(A44="","",IF($E$3="ALL",SUMIFS(INPUT!D:D,INPUT!L:L,A44),SUMIFS(INPUT!D:D,INPUT!J:J,$E$3,INPUT!L:L,A44)))</f>
        <v>0</v>
      </c>
      <c r="E44" s="11">
        <f>IF(A44="","",IF($E$3="ALL",SUMIFS(INPUT!E:E,INPUT!L:L,A44),SUMIFS(INPUT!E:E,INPUT!J:J,$E$3,INPUT!L:L,A44)))</f>
        <v>279.6</v>
      </c>
      <c r="F44" s="11">
        <f>IF(A44="","",IF($E$3="ALL",SUMIFS(INPUT!F:F,INPUT!L:L,A44),SUMIFS(INPUT!F:F,INPUT!J:J,$E$3,INPUT!L:L,A44)))</f>
        <v>186.4</v>
      </c>
      <c r="G44" s="11">
        <f>IF(A44="","",IF($E$3="ALL",SUMIFS(INPUT!G:G,INPUT!L:L,A44),SUMIFS(INPUT!G:G,INPUT!J:J,$E$3,INPUT!L:L,A44)))</f>
        <v>186.4</v>
      </c>
      <c r="H44" s="11"/>
      <c r="I44" s="11"/>
    </row>
    <row r="45" ht="15.75" customHeight="1">
      <c r="A45" s="12" t="str">
        <f t="shared" si="2"/>
        <v/>
      </c>
      <c r="B45" s="11" t="str">
        <f>IF(A45="","",IF($E$3="ALL",COUNTIFS(INPUT!L:L,A45),COUNTIFS(INPUT!J:J,$E$3,INPUT!L:L,A45)))</f>
        <v/>
      </c>
      <c r="C45" s="11" t="str">
        <f>IF(A45="","",IF($E$3="ALL",SUMIFS(INPUT!C:C,INPUT!L:L,A45),SUMIFS(INPUT!C:C,INPUT!J:J,$E$3,INPUT!L:L,A45)))</f>
        <v/>
      </c>
      <c r="D45" s="11" t="str">
        <f>IF(A45="","",IF($E$3="ALL",SUMIFS(INPUT!D:D,INPUT!L:L,A45),SUMIFS(INPUT!D:D,INPUT!J:J,$E$3,INPUT!L:L,A45)))</f>
        <v/>
      </c>
      <c r="E45" s="11" t="str">
        <f>IF(A45="","",IF($E$3="ALL",SUMIFS(INPUT!E:E,INPUT!L:L,A45),SUMIFS(INPUT!E:E,INPUT!J:J,$E$3,INPUT!L:L,A45)))</f>
        <v/>
      </c>
      <c r="F45" s="11" t="str">
        <f>IF(A45="","",IF($E$3="ALL",SUMIFS(INPUT!F:F,INPUT!L:L,A45),SUMIFS(INPUT!F:F,INPUT!J:J,$E$3,INPUT!L:L,A45)))</f>
        <v/>
      </c>
      <c r="G45" s="11" t="str">
        <f>IF(A45="","",IF($E$3="ALL",SUMIFS(INPUT!G:G,INPUT!L:L,A45),SUMIFS(INPUT!G:G,INPUT!J:J,$E$3,INPUT!L:L,A45)))</f>
        <v/>
      </c>
      <c r="H45" s="11"/>
      <c r="I45" s="11"/>
    </row>
    <row r="46" ht="15.75" customHeight="1">
      <c r="A46" s="12" t="str">
        <f t="shared" si="2"/>
        <v/>
      </c>
      <c r="B46" s="11" t="str">
        <f>IF(A46="","",IF($E$3="ALL",COUNTIFS(INPUT!L:L,A46),COUNTIFS(INPUT!J:J,$E$3,INPUT!L:L,A46)))</f>
        <v/>
      </c>
      <c r="C46" s="11" t="str">
        <f>IF(A46="","",IF($E$3="ALL",SUMIFS(INPUT!C:C,INPUT!L:L,A46),SUMIFS(INPUT!C:C,INPUT!J:J,$E$3,INPUT!L:L,A46)))</f>
        <v/>
      </c>
      <c r="D46" s="11" t="str">
        <f>IF(A46="","",IF($E$3="ALL",SUMIFS(INPUT!D:D,INPUT!L:L,A46),SUMIFS(INPUT!D:D,INPUT!J:J,$E$3,INPUT!L:L,A46)))</f>
        <v/>
      </c>
      <c r="E46" s="11" t="str">
        <f>IF(A46="","",IF($E$3="ALL",SUMIFS(INPUT!E:E,INPUT!L:L,A46),SUMIFS(INPUT!E:E,INPUT!J:J,$E$3,INPUT!L:L,A46)))</f>
        <v/>
      </c>
      <c r="F46" s="11" t="str">
        <f>IF(A46="","",IF($E$3="ALL",SUMIFS(INPUT!F:F,INPUT!L:L,A46),SUMIFS(INPUT!F:F,INPUT!J:J,$E$3,INPUT!L:L,A46)))</f>
        <v/>
      </c>
      <c r="G46" s="11" t="str">
        <f>IF(A46="","",IF($E$3="ALL",SUMIFS(INPUT!G:G,INPUT!L:L,A46),SUMIFS(INPUT!G:G,INPUT!J:J,$E$3,INPUT!L:L,A46)))</f>
        <v/>
      </c>
      <c r="H46" s="11"/>
      <c r="I46" s="11"/>
    </row>
    <row r="47" ht="15.75" customHeight="1">
      <c r="A47" s="12" t="str">
        <f t="shared" si="2"/>
        <v/>
      </c>
      <c r="B47" s="11" t="str">
        <f>IF(A47="","",IF($E$3="ALL",COUNTIFS(INPUT!L:L,A47),COUNTIFS(INPUT!J:J,$E$3,INPUT!L:L,A47)))</f>
        <v/>
      </c>
      <c r="C47" s="11" t="str">
        <f>IF(A47="","",IF($E$3="ALL",SUMIFS(INPUT!C:C,INPUT!L:L,A47),SUMIFS(INPUT!C:C,INPUT!J:J,$E$3,INPUT!L:L,A47)))</f>
        <v/>
      </c>
      <c r="D47" s="11" t="str">
        <f>IF(A47="","",IF($E$3="ALL",SUMIFS(INPUT!D:D,INPUT!L:L,A47),SUMIFS(INPUT!D:D,INPUT!J:J,$E$3,INPUT!L:L,A47)))</f>
        <v/>
      </c>
      <c r="E47" s="11" t="str">
        <f>IF(A47="","",IF($E$3="ALL",SUMIFS(INPUT!E:E,INPUT!L:L,A47),SUMIFS(INPUT!E:E,INPUT!J:J,$E$3,INPUT!L:L,A47)))</f>
        <v/>
      </c>
      <c r="F47" s="11" t="str">
        <f>IF(A47="","",IF($E$3="ALL",SUMIFS(INPUT!F:F,INPUT!L:L,A47),SUMIFS(INPUT!F:F,INPUT!J:J,$E$3,INPUT!L:L,A47)))</f>
        <v/>
      </c>
      <c r="G47" s="11" t="str">
        <f>IF(A47="","",IF($E$3="ALL",SUMIFS(INPUT!G:G,INPUT!L:L,A47),SUMIFS(INPUT!G:G,INPUT!J:J,$E$3,INPUT!L:L,A47)))</f>
        <v/>
      </c>
      <c r="H47" s="11"/>
      <c r="I47" s="11"/>
    </row>
    <row r="48" ht="15.75" customHeight="1">
      <c r="A48" s="11" t="s">
        <v>55</v>
      </c>
      <c r="B48" s="11">
        <f t="shared" ref="B48:G48" si="3">SUM(B17:B47)</f>
        <v>168</v>
      </c>
      <c r="C48" s="11">
        <f t="shared" si="3"/>
        <v>11614</v>
      </c>
      <c r="D48" s="11">
        <f t="shared" si="3"/>
        <v>78</v>
      </c>
      <c r="E48" s="11">
        <f t="shared" si="3"/>
        <v>6968.4</v>
      </c>
      <c r="F48" s="11">
        <f t="shared" si="3"/>
        <v>4645.6</v>
      </c>
      <c r="G48" s="11">
        <f t="shared" si="3"/>
        <v>4645.6</v>
      </c>
      <c r="H48" s="11"/>
      <c r="I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8.0"/>
    <col customWidth="1" min="3" max="3" width="10.0"/>
    <col customWidth="1" min="4" max="4" width="18.0"/>
    <col customWidth="1" min="5" max="5" width="16.0"/>
    <col customWidth="1" min="6" max="6" width="14.0"/>
    <col customWidth="1" min="7" max="26" width="8.71"/>
  </cols>
  <sheetData>
    <row r="1">
      <c r="A1" s="18" t="s">
        <v>56</v>
      </c>
    </row>
    <row r="3">
      <c r="A3" s="7" t="s">
        <v>57</v>
      </c>
      <c r="B3" s="33" t="str">
        <f>MONTHLY_SUMMARY!B3</f>
        <v>2026-02</v>
      </c>
    </row>
    <row r="5">
      <c r="A5" s="9" t="s">
        <v>8</v>
      </c>
      <c r="B5" s="9" t="s">
        <v>51</v>
      </c>
      <c r="C5" s="9" t="s">
        <v>12</v>
      </c>
      <c r="D5" s="9" t="s">
        <v>52</v>
      </c>
      <c r="E5" s="9" t="s">
        <v>29</v>
      </c>
      <c r="F5" s="9" t="s">
        <v>13</v>
      </c>
    </row>
    <row r="6">
      <c r="A6" s="11" t="str">
        <f>MONTHLY_SUMMARY!A6</f>
        <v>KEN</v>
      </c>
      <c r="B6" s="11">
        <f>MONTHLY_SUMMARY!C6</f>
        <v>1835</v>
      </c>
      <c r="C6" s="11">
        <f>MONTHLY_SUMMARY!D6</f>
        <v>0</v>
      </c>
      <c r="D6" s="11">
        <f>MONTHLY_SUMMARY!E6</f>
        <v>0</v>
      </c>
      <c r="E6" s="11">
        <f>MONTHLY_SUMMARY!F6</f>
        <v>1835</v>
      </c>
      <c r="F6" s="11">
        <f>MONTHLY_SUMMARY!G6</f>
        <v>1835</v>
      </c>
    </row>
    <row r="7">
      <c r="A7" s="11" t="str">
        <f>MONTHLY_SUMMARY!A7</f>
        <v>RYAN</v>
      </c>
      <c r="B7" s="11">
        <f>MONTHLY_SUMMARY!C7</f>
        <v>11614</v>
      </c>
      <c r="C7" s="11">
        <f>MONTHLY_SUMMARY!D7</f>
        <v>78</v>
      </c>
      <c r="D7" s="11">
        <f>MONTHLY_SUMMARY!E7</f>
        <v>6968.4</v>
      </c>
      <c r="E7" s="11">
        <f>MONTHLY_SUMMARY!F7</f>
        <v>4645.6</v>
      </c>
      <c r="F7" s="11">
        <f>MONTHLY_SUMMARY!G7</f>
        <v>4645.6</v>
      </c>
    </row>
    <row r="8">
      <c r="A8" s="11" t="str">
        <f>MONTHLY_SUMMARY!A8</f>
        <v>CRIS</v>
      </c>
      <c r="B8" s="11">
        <f>MONTHLY_SUMMARY!C8</f>
        <v>7076</v>
      </c>
      <c r="C8" s="11">
        <f>MONTHLY_SUMMARY!D8</f>
        <v>38</v>
      </c>
      <c r="D8" s="11">
        <f>MONTHLY_SUMMARY!E8</f>
        <v>3538</v>
      </c>
      <c r="E8" s="11">
        <f>MONTHLY_SUMMARY!F8</f>
        <v>3538</v>
      </c>
      <c r="F8" s="11">
        <f>MONTHLY_SUMMARY!G8</f>
        <v>3538</v>
      </c>
    </row>
    <row r="9">
      <c r="A9" s="11" t="str">
        <f>MONTHLY_SUMMARY!A9</f>
        <v>HANNI</v>
      </c>
      <c r="B9" s="11">
        <f>MONTHLY_SUMMARY!C9</f>
        <v>5016</v>
      </c>
      <c r="C9" s="11">
        <f>MONTHLY_SUMMARY!D9</f>
        <v>40</v>
      </c>
      <c r="D9" s="11">
        <f>MONTHLY_SUMMARY!E9</f>
        <v>0</v>
      </c>
      <c r="E9" s="11">
        <f>MONTHLY_SUMMARY!F9</f>
        <v>5016</v>
      </c>
      <c r="F9" s="11">
        <f>MONTHLY_SUMMARY!G9</f>
        <v>5016</v>
      </c>
    </row>
    <row r="10">
      <c r="A10" s="11" t="str">
        <f>MONTHLY_SUMMARY!A10</f>
        <v>AMY</v>
      </c>
      <c r="B10" s="11">
        <f>MONTHLY_SUMMARY!C10</f>
        <v>11189</v>
      </c>
      <c r="C10" s="11">
        <f>MONTHLY_SUMMARY!D10</f>
        <v>50</v>
      </c>
      <c r="D10" s="11">
        <f>MONTHLY_SUMMARY!E10</f>
        <v>6713.4</v>
      </c>
      <c r="E10" s="11">
        <f>MONTHLY_SUMMARY!F10</f>
        <v>4475.6</v>
      </c>
      <c r="F10" s="11">
        <f>MONTHLY_SUMMARY!G10</f>
        <v>4475.6</v>
      </c>
    </row>
    <row r="11">
      <c r="A11" s="11" t="str">
        <f>MONTHLY_SUMMARY!A11</f>
        <v>TONY</v>
      </c>
      <c r="B11" s="11">
        <f>MONTHLY_SUMMARY!C11</f>
        <v>10925</v>
      </c>
      <c r="C11" s="11">
        <f>MONTHLY_SUMMARY!D11</f>
        <v>38</v>
      </c>
      <c r="D11" s="11">
        <f>MONTHLY_SUMMARY!E11</f>
        <v>6555</v>
      </c>
      <c r="E11" s="11">
        <f>MONTHLY_SUMMARY!F11</f>
        <v>4370</v>
      </c>
      <c r="F11" s="11">
        <f>MONTHLY_SUMMARY!G11</f>
        <v>4370</v>
      </c>
    </row>
    <row r="12">
      <c r="A12" s="11" t="str">
        <f>MONTHLY_SUMMARY!A12</f>
        <v>STEVEN</v>
      </c>
      <c r="B12" s="11">
        <f>MONTHLY_SUMMARY!C12</f>
        <v>0</v>
      </c>
      <c r="C12" s="11">
        <f>MONTHLY_SUMMARY!D12</f>
        <v>0</v>
      </c>
      <c r="D12" s="11">
        <f>MONTHLY_SUMMARY!E12</f>
        <v>0</v>
      </c>
      <c r="E12" s="11">
        <f>MONTHLY_SUMMARY!F12</f>
        <v>0</v>
      </c>
      <c r="F12" s="11">
        <f>MONTHLY_SUMMARY!G12</f>
        <v>0</v>
      </c>
    </row>
    <row r="13">
      <c r="A13" s="11" t="str">
        <f>MONTHLY_SUMMARY!A13</f>
        <v>BEN</v>
      </c>
      <c r="B13" s="11">
        <f>MONTHLY_SUMMARY!C13</f>
        <v>0</v>
      </c>
      <c r="C13" s="11">
        <f>MONTHLY_SUMMARY!D13</f>
        <v>0</v>
      </c>
      <c r="D13" s="11">
        <f>MONTHLY_SUMMARY!E13</f>
        <v>0</v>
      </c>
      <c r="E13" s="11">
        <f>MONTHLY_SUMMARY!F13</f>
        <v>0</v>
      </c>
      <c r="F13" s="11">
        <f>MONTHLY_SUMMARY!G13</f>
        <v>0</v>
      </c>
    </row>
    <row r="14">
      <c r="A14" s="11"/>
      <c r="B14" s="11"/>
      <c r="C14" s="11"/>
      <c r="D14" s="11"/>
      <c r="E14" s="11"/>
      <c r="F14" s="11"/>
    </row>
    <row r="15">
      <c r="A15" s="11"/>
      <c r="B15" s="11"/>
      <c r="C15" s="11"/>
      <c r="D15" s="11"/>
      <c r="E15" s="11"/>
      <c r="F15" s="11"/>
    </row>
    <row r="16">
      <c r="A16" s="11"/>
      <c r="B16" s="11"/>
      <c r="C16" s="11"/>
      <c r="D16" s="11"/>
      <c r="E16" s="11"/>
      <c r="F16" s="11"/>
    </row>
    <row r="17">
      <c r="A17" s="11"/>
      <c r="B17" s="11"/>
      <c r="C17" s="11"/>
      <c r="D17" s="11"/>
      <c r="E17" s="11"/>
      <c r="F17" s="11"/>
    </row>
    <row r="18">
      <c r="A18" s="11"/>
      <c r="B18" s="11"/>
      <c r="C18" s="11"/>
      <c r="D18" s="11"/>
      <c r="E18" s="11"/>
      <c r="F18" s="11"/>
    </row>
    <row r="19">
      <c r="A19" s="11"/>
      <c r="B19" s="11"/>
      <c r="C19" s="11"/>
      <c r="D19" s="11"/>
      <c r="E19" s="11"/>
      <c r="F19" s="11"/>
    </row>
    <row r="20">
      <c r="A20" s="11"/>
      <c r="B20" s="11"/>
      <c r="C20" s="11"/>
      <c r="D20" s="11"/>
      <c r="E20" s="11"/>
      <c r="F20" s="11"/>
    </row>
    <row r="21" ht="15.75" customHeight="1">
      <c r="A21" s="11"/>
      <c r="B21" s="11"/>
      <c r="C21" s="11"/>
      <c r="D21" s="11"/>
      <c r="E21" s="11"/>
      <c r="F21" s="11"/>
    </row>
    <row r="22" ht="15.75" customHeight="1">
      <c r="A22" s="11"/>
      <c r="B22" s="11"/>
      <c r="C22" s="11"/>
      <c r="D22" s="11"/>
      <c r="E22" s="11"/>
      <c r="F22" s="11"/>
    </row>
    <row r="23" ht="15.75" customHeight="1">
      <c r="A23" s="11"/>
      <c r="B23" s="11"/>
      <c r="C23" s="11"/>
      <c r="D23" s="11"/>
      <c r="E23" s="11"/>
      <c r="F23" s="11"/>
    </row>
    <row r="24" ht="15.75" customHeight="1">
      <c r="A24" s="11"/>
      <c r="B24" s="11"/>
      <c r="C24" s="11"/>
      <c r="D24" s="11"/>
      <c r="E24" s="11"/>
      <c r="F24" s="11"/>
    </row>
    <row r="25" ht="15.75" customHeight="1">
      <c r="A25" s="11"/>
      <c r="B25" s="11"/>
      <c r="C25" s="11"/>
      <c r="D25" s="11"/>
      <c r="E25" s="11"/>
      <c r="F25" s="11"/>
    </row>
    <row r="26" ht="15.75" customHeight="1">
      <c r="A26" s="11"/>
      <c r="B26" s="11"/>
      <c r="C26" s="11"/>
      <c r="D26" s="11"/>
      <c r="E26" s="11"/>
      <c r="F26" s="11"/>
    </row>
    <row r="27" ht="15.75" customHeight="1">
      <c r="A27" s="11"/>
      <c r="B27" s="11"/>
      <c r="C27" s="11"/>
      <c r="D27" s="11"/>
      <c r="E27" s="11"/>
      <c r="F27" s="11"/>
    </row>
    <row r="28" ht="15.75" customHeight="1">
      <c r="A28" s="11"/>
      <c r="B28" s="11"/>
      <c r="C28" s="11"/>
      <c r="D28" s="11"/>
      <c r="E28" s="11"/>
      <c r="F28" s="11"/>
    </row>
    <row r="29" ht="15.75" customHeight="1">
      <c r="A29" s="11"/>
      <c r="B29" s="11"/>
      <c r="C29" s="11"/>
      <c r="D29" s="11"/>
      <c r="E29" s="11"/>
      <c r="F29" s="1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5.0"/>
    <col customWidth="1" min="2" max="26" width="8.71"/>
  </cols>
  <sheetData>
    <row r="1">
      <c r="A1" s="18" t="s">
        <v>58</v>
      </c>
    </row>
    <row r="3">
      <c r="A3" s="17" t="s">
        <v>59</v>
      </c>
    </row>
    <row r="4">
      <c r="A4" s="17" t="s">
        <v>60</v>
      </c>
    </row>
    <row r="6">
      <c r="A6" s="17" t="s">
        <v>61</v>
      </c>
    </row>
    <row r="7">
      <c r="A7" s="17" t="s">
        <v>62</v>
      </c>
    </row>
    <row r="8">
      <c r="A8" s="17" t="s">
        <v>63</v>
      </c>
    </row>
    <row r="9">
      <c r="A9" s="17" t="s">
        <v>64</v>
      </c>
    </row>
    <row r="11">
      <c r="A11" s="17" t="s">
        <v>65</v>
      </c>
    </row>
    <row r="12">
      <c r="A12" s="17" t="s">
        <v>66</v>
      </c>
    </row>
    <row r="13">
      <c r="A13" s="17" t="s">
        <v>67</v>
      </c>
    </row>
    <row r="14">
      <c r="A14" s="17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14.0"/>
    <col customWidth="1" min="3" max="4" width="12.0"/>
    <col customWidth="1" min="5" max="5" width="22.0"/>
    <col customWidth="1" min="6" max="26" width="8.71"/>
  </cols>
  <sheetData>
    <row r="1">
      <c r="A1" s="18" t="s">
        <v>69</v>
      </c>
    </row>
    <row r="3">
      <c r="A3" s="9" t="s">
        <v>70</v>
      </c>
      <c r="B3" s="9" t="s">
        <v>71</v>
      </c>
      <c r="C3" s="9" t="s">
        <v>72</v>
      </c>
      <c r="D3" s="9" t="s">
        <v>73</v>
      </c>
      <c r="E3" s="9" t="s">
        <v>74</v>
      </c>
    </row>
    <row r="4">
      <c r="A4" s="11" t="s">
        <v>16</v>
      </c>
      <c r="B4" s="11" t="s">
        <v>75</v>
      </c>
      <c r="C4" s="34">
        <v>0.0</v>
      </c>
      <c r="D4" s="34">
        <v>1.0</v>
      </c>
      <c r="E4" s="11" t="s">
        <v>76</v>
      </c>
    </row>
    <row r="5">
      <c r="A5" s="11" t="s">
        <v>17</v>
      </c>
      <c r="B5" s="11" t="s">
        <v>77</v>
      </c>
      <c r="C5" s="22">
        <v>0.6</v>
      </c>
      <c r="D5" s="22">
        <v>0.4</v>
      </c>
      <c r="E5" s="11" t="s">
        <v>78</v>
      </c>
    </row>
    <row r="6">
      <c r="A6" s="11" t="s">
        <v>18</v>
      </c>
      <c r="B6" s="11" t="s">
        <v>79</v>
      </c>
      <c r="C6" s="34">
        <v>0.5</v>
      </c>
      <c r="D6" s="34">
        <v>0.5</v>
      </c>
      <c r="E6" s="11" t="s">
        <v>80</v>
      </c>
    </row>
    <row r="7">
      <c r="A7" s="11" t="s">
        <v>19</v>
      </c>
      <c r="B7" s="11" t="s">
        <v>81</v>
      </c>
      <c r="C7" s="34">
        <v>0.0</v>
      </c>
      <c r="D7" s="34">
        <v>1.0</v>
      </c>
      <c r="E7" s="11" t="s">
        <v>82</v>
      </c>
    </row>
    <row r="8">
      <c r="A8" s="11" t="s">
        <v>20</v>
      </c>
      <c r="B8" s="11" t="s">
        <v>83</v>
      </c>
      <c r="C8" s="22">
        <v>0.6</v>
      </c>
      <c r="D8" s="22">
        <v>0.4</v>
      </c>
      <c r="E8" s="11" t="s">
        <v>84</v>
      </c>
    </row>
    <row r="9">
      <c r="A9" s="11" t="s">
        <v>21</v>
      </c>
      <c r="B9" s="11" t="s">
        <v>85</v>
      </c>
      <c r="C9" s="22">
        <v>0.6</v>
      </c>
      <c r="D9" s="22">
        <v>0.4</v>
      </c>
      <c r="E9" s="11" t="s">
        <v>86</v>
      </c>
    </row>
    <row r="10">
      <c r="A10" s="11" t="s">
        <v>22</v>
      </c>
      <c r="B10" s="11" t="s">
        <v>87</v>
      </c>
      <c r="C10" s="22">
        <v>0.6</v>
      </c>
      <c r="D10" s="22">
        <v>0.4</v>
      </c>
      <c r="E10" s="11" t="s">
        <v>88</v>
      </c>
    </row>
    <row r="11">
      <c r="A11" s="11" t="s">
        <v>23</v>
      </c>
      <c r="B11" s="11" t="s">
        <v>89</v>
      </c>
      <c r="C11" s="22">
        <v>0.6</v>
      </c>
      <c r="D11" s="22">
        <v>0.4</v>
      </c>
      <c r="E11" s="11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8.71"/>
    <col customWidth="1" min="3" max="3" width="16.0"/>
    <col customWidth="1" min="4" max="4" width="8.71"/>
    <col customWidth="1" min="5" max="5" width="14.0"/>
    <col customWidth="1" min="6" max="26" width="8.71"/>
  </cols>
  <sheetData>
    <row r="1">
      <c r="A1" s="35" t="s">
        <v>91</v>
      </c>
      <c r="C1" s="35" t="s">
        <v>92</v>
      </c>
      <c r="E1" s="35" t="s">
        <v>93</v>
      </c>
      <c r="G1" s="17" t="s">
        <v>94</v>
      </c>
    </row>
    <row r="2">
      <c r="A2" s="23">
        <f>IFERROR(__xludf.DUMMYFUNCTION("IFERROR(SORT(UNIQUE(FILTER(INPUT!$L$4:$L$2003,INPUT!$L$4:$L$2003&lt;&gt;""""))),SEQUENCE(60,1,TODAY()-59,1))"),46054.0)</f>
        <v>46054</v>
      </c>
      <c r="C2" s="23">
        <f>IFERROR(__xludf.DUMMYFUNCTION("IFERROR(SORT(UNIQUE(FILTER(INPUT!$K$4:$K$2003,INPUT!$K$4:$K$2003&lt;&gt;""""))),SEQUENCE(12,1,TODAY()-WEEKDAY(TODAY(),2)+1-7*11,7))"),46048.0)</f>
        <v>46048</v>
      </c>
      <c r="E2" s="17" t="str">
        <f>IFERROR(__xludf.DUMMYFUNCTION("IFERROR(SORT(UNIQUE(FILTER(INPUT!$M$4:$M$2003,INPUT!$M$4:$M$2003&lt;&gt;""""))),TEXT(EDATE(DATE(YEAR(TODAY()),MONTH(TODAY()),1),SEQUENCE(12,1,-11,1)),""yyyy-mm""))"),"2026-02")</f>
        <v>2026-02</v>
      </c>
      <c r="G2" s="17" t="s">
        <v>95</v>
      </c>
    </row>
    <row r="3">
      <c r="A3" s="23">
        <f>IFERROR(__xludf.DUMMYFUNCTION("""COMPUTED_VALUE"""),46055.0)</f>
        <v>46055</v>
      </c>
      <c r="C3" s="23">
        <f>IFERROR(__xludf.DUMMYFUNCTION("""COMPUTED_VALUE"""),46055.0)</f>
        <v>46055</v>
      </c>
      <c r="E3" s="17" t="str">
        <f>IFERROR(__xludf.DUMMYFUNCTION("""COMPUTED_VALUE"""),"2026-03")</f>
        <v>2026-03</v>
      </c>
      <c r="G3" s="17" t="str">
        <f>IFERROR(__xludf.DUMMYFUNCTION("FILTER(SETUP!$A$4:$A$200,SETUP!$A$4:$A$200&lt;&gt;"""")"),"KEN")</f>
        <v>KEN</v>
      </c>
    </row>
    <row r="4">
      <c r="A4" s="23">
        <f>IFERROR(__xludf.DUMMYFUNCTION("""COMPUTED_VALUE"""),46056.0)</f>
        <v>46056</v>
      </c>
      <c r="C4" s="23">
        <f>IFERROR(__xludf.DUMMYFUNCTION("""COMPUTED_VALUE"""),46062.0)</f>
        <v>46062</v>
      </c>
      <c r="G4" s="17" t="str">
        <f>IFERROR(__xludf.DUMMYFUNCTION("""COMPUTED_VALUE"""),"RYAN")</f>
        <v>RYAN</v>
      </c>
    </row>
    <row r="5">
      <c r="A5" s="23">
        <f>IFERROR(__xludf.DUMMYFUNCTION("""COMPUTED_VALUE"""),46057.0)</f>
        <v>46057</v>
      </c>
      <c r="C5" s="23">
        <f>IFERROR(__xludf.DUMMYFUNCTION("""COMPUTED_VALUE"""),46069.0)</f>
        <v>46069</v>
      </c>
      <c r="G5" s="17" t="str">
        <f>IFERROR(__xludf.DUMMYFUNCTION("""COMPUTED_VALUE"""),"CRIS")</f>
        <v>CRIS</v>
      </c>
    </row>
    <row r="6">
      <c r="A6" s="23">
        <f>IFERROR(__xludf.DUMMYFUNCTION("""COMPUTED_VALUE"""),46058.0)</f>
        <v>46058</v>
      </c>
      <c r="C6" s="23">
        <f>IFERROR(__xludf.DUMMYFUNCTION("""COMPUTED_VALUE"""),46076.0)</f>
        <v>46076</v>
      </c>
      <c r="G6" s="17" t="str">
        <f>IFERROR(__xludf.DUMMYFUNCTION("""COMPUTED_VALUE"""),"HANNI")</f>
        <v>HANNI</v>
      </c>
    </row>
    <row r="7">
      <c r="A7" s="23">
        <f>IFERROR(__xludf.DUMMYFUNCTION("""COMPUTED_VALUE"""),46059.0)</f>
        <v>46059</v>
      </c>
      <c r="C7" s="23">
        <f>IFERROR(__xludf.DUMMYFUNCTION("""COMPUTED_VALUE"""),46083.0)</f>
        <v>46083</v>
      </c>
      <c r="G7" s="17" t="str">
        <f>IFERROR(__xludf.DUMMYFUNCTION("""COMPUTED_VALUE"""),"AMY")</f>
        <v>AMY</v>
      </c>
    </row>
    <row r="8">
      <c r="A8" s="23">
        <f>IFERROR(__xludf.DUMMYFUNCTION("""COMPUTED_VALUE"""),46060.0)</f>
        <v>46060</v>
      </c>
      <c r="C8" s="23"/>
      <c r="G8" s="17" t="str">
        <f>IFERROR(__xludf.DUMMYFUNCTION("""COMPUTED_VALUE"""),"TONY")</f>
        <v>TONY</v>
      </c>
    </row>
    <row r="9">
      <c r="A9" s="23">
        <f>IFERROR(__xludf.DUMMYFUNCTION("""COMPUTED_VALUE"""),46061.0)</f>
        <v>46061</v>
      </c>
      <c r="C9" s="23"/>
      <c r="G9" s="17" t="str">
        <f>IFERROR(__xludf.DUMMYFUNCTION("""COMPUTED_VALUE"""),"STEVEN")</f>
        <v>STEVEN</v>
      </c>
    </row>
    <row r="10">
      <c r="A10" s="23">
        <f>IFERROR(__xludf.DUMMYFUNCTION("""COMPUTED_VALUE"""),46062.0)</f>
        <v>46062</v>
      </c>
      <c r="C10" s="23"/>
      <c r="G10" s="17" t="str">
        <f>IFERROR(__xludf.DUMMYFUNCTION("""COMPUTED_VALUE"""),"BEN")</f>
        <v>BEN</v>
      </c>
    </row>
    <row r="11">
      <c r="A11" s="23">
        <f>IFERROR(__xludf.DUMMYFUNCTION("""COMPUTED_VALUE"""),46063.0)</f>
        <v>46063</v>
      </c>
      <c r="C11" s="23"/>
    </row>
    <row r="12">
      <c r="A12" s="23">
        <f>IFERROR(__xludf.DUMMYFUNCTION("""COMPUTED_VALUE"""),46064.0)</f>
        <v>46064</v>
      </c>
      <c r="C12" s="23"/>
    </row>
    <row r="13">
      <c r="A13" s="23">
        <f>IFERROR(__xludf.DUMMYFUNCTION("""COMPUTED_VALUE"""),46065.0)</f>
        <v>46065</v>
      </c>
      <c r="C13" s="23"/>
    </row>
    <row r="14">
      <c r="A14" s="23">
        <f>IFERROR(__xludf.DUMMYFUNCTION("""COMPUTED_VALUE"""),46066.0)</f>
        <v>46066</v>
      </c>
      <c r="C14" s="23"/>
    </row>
    <row r="15">
      <c r="A15" s="23">
        <f>IFERROR(__xludf.DUMMYFUNCTION("""COMPUTED_VALUE"""),46067.0)</f>
        <v>46067</v>
      </c>
      <c r="C15" s="23"/>
    </row>
    <row r="16">
      <c r="A16" s="23">
        <f>IFERROR(__xludf.DUMMYFUNCTION("""COMPUTED_VALUE"""),46070.0)</f>
        <v>46070</v>
      </c>
      <c r="C16" s="23"/>
    </row>
    <row r="17">
      <c r="A17" s="23">
        <f>IFERROR(__xludf.DUMMYFUNCTION("""COMPUTED_VALUE"""),46071.0)</f>
        <v>46071</v>
      </c>
      <c r="C17" s="23"/>
    </row>
    <row r="18">
      <c r="A18" s="23">
        <f>IFERROR(__xludf.DUMMYFUNCTION("""COMPUTED_VALUE"""),46072.0)</f>
        <v>46072</v>
      </c>
      <c r="C18" s="23"/>
    </row>
    <row r="19">
      <c r="A19" s="23">
        <f>IFERROR(__xludf.DUMMYFUNCTION("""COMPUTED_VALUE"""),46073.0)</f>
        <v>46073</v>
      </c>
      <c r="C19" s="23"/>
    </row>
    <row r="20">
      <c r="A20" s="23">
        <f>IFERROR(__xludf.DUMMYFUNCTION("""COMPUTED_VALUE"""),46074.0)</f>
        <v>46074</v>
      </c>
      <c r="C20" s="23"/>
    </row>
    <row r="21" ht="15.75" customHeight="1">
      <c r="A21" s="23">
        <f>IFERROR(__xludf.DUMMYFUNCTION("""COMPUTED_VALUE"""),46075.0)</f>
        <v>46075</v>
      </c>
      <c r="C21" s="23"/>
    </row>
    <row r="22" ht="15.75" customHeight="1">
      <c r="A22" s="23">
        <f>IFERROR(__xludf.DUMMYFUNCTION("""COMPUTED_VALUE"""),46076.0)</f>
        <v>46076</v>
      </c>
      <c r="C22" s="23"/>
    </row>
    <row r="23" ht="15.75" customHeight="1">
      <c r="A23" s="23">
        <f>IFERROR(__xludf.DUMMYFUNCTION("""COMPUTED_VALUE"""),46077.0)</f>
        <v>46077</v>
      </c>
      <c r="C23" s="23"/>
    </row>
    <row r="24" ht="15.75" customHeight="1">
      <c r="A24" s="23">
        <f>IFERROR(__xludf.DUMMYFUNCTION("""COMPUTED_VALUE"""),46078.0)</f>
        <v>46078</v>
      </c>
      <c r="C24" s="23"/>
    </row>
    <row r="25" ht="15.75" customHeight="1">
      <c r="A25" s="23">
        <f>IFERROR(__xludf.DUMMYFUNCTION("""COMPUTED_VALUE"""),46079.0)</f>
        <v>46079</v>
      </c>
      <c r="C25" s="23"/>
    </row>
    <row r="26" ht="15.75" customHeight="1">
      <c r="A26" s="23">
        <f>IFERROR(__xludf.DUMMYFUNCTION("""COMPUTED_VALUE"""),46080.0)</f>
        <v>46080</v>
      </c>
      <c r="C26" s="23"/>
    </row>
    <row r="27" ht="15.75" customHeight="1">
      <c r="A27" s="23">
        <f>IFERROR(__xludf.DUMMYFUNCTION("""COMPUTED_VALUE"""),46081.0)</f>
        <v>46081</v>
      </c>
      <c r="C27" s="23"/>
    </row>
    <row r="28" ht="15.75" customHeight="1">
      <c r="A28" s="23">
        <f>IFERROR(__xludf.DUMMYFUNCTION("""COMPUTED_VALUE"""),46082.0)</f>
        <v>46082</v>
      </c>
      <c r="C28" s="23"/>
    </row>
    <row r="29" ht="15.75" customHeight="1">
      <c r="A29" s="23">
        <f>IFERROR(__xludf.DUMMYFUNCTION("""COMPUTED_VALUE"""),46083.0)</f>
        <v>46083</v>
      </c>
      <c r="C29" s="23"/>
    </row>
    <row r="30" ht="15.75" customHeight="1">
      <c r="A30" s="23">
        <f>IFERROR(__xludf.DUMMYFUNCTION("""COMPUTED_VALUE"""),46084.0)</f>
        <v>46084</v>
      </c>
      <c r="C30" s="23"/>
    </row>
    <row r="31" ht="15.75" customHeight="1">
      <c r="A31" s="23">
        <f>IFERROR(__xludf.DUMMYFUNCTION("""COMPUTED_VALUE"""),46085.0)</f>
        <v>46085</v>
      </c>
      <c r="C31" s="23"/>
    </row>
    <row r="32" ht="15.75" customHeight="1">
      <c r="A32" s="23">
        <f>IFERROR(__xludf.DUMMYFUNCTION("""COMPUTED_VALUE"""),46086.0)</f>
        <v>46086</v>
      </c>
      <c r="C32" s="23"/>
    </row>
    <row r="33" ht="15.75" customHeight="1">
      <c r="A33" s="23">
        <f>IFERROR(__xludf.DUMMYFUNCTION("""COMPUTED_VALUE"""),46087.0)</f>
        <v>46087</v>
      </c>
      <c r="C33" s="23"/>
    </row>
    <row r="34" ht="15.75" customHeight="1">
      <c r="A34" s="23">
        <f>IFERROR(__xludf.DUMMYFUNCTION("""COMPUTED_VALUE"""),46088.0)</f>
        <v>46088</v>
      </c>
      <c r="C34" s="23"/>
    </row>
    <row r="35" ht="15.75" customHeight="1">
      <c r="A35" s="23">
        <f>IFERROR(__xludf.DUMMYFUNCTION("""COMPUTED_VALUE"""),46089.0)</f>
        <v>46089</v>
      </c>
      <c r="C35" s="23"/>
    </row>
    <row r="36" ht="15.75" customHeight="1">
      <c r="A36" s="23"/>
      <c r="C36" s="23"/>
    </row>
    <row r="37" ht="15.75" customHeight="1">
      <c r="A37" s="23"/>
      <c r="C37" s="23"/>
    </row>
    <row r="38" ht="15.75" customHeight="1">
      <c r="A38" s="23"/>
      <c r="C38" s="23"/>
    </row>
    <row r="39" ht="15.75" customHeight="1">
      <c r="A39" s="23"/>
      <c r="C39" s="23"/>
    </row>
    <row r="40" ht="15.75" customHeight="1">
      <c r="A40" s="23"/>
      <c r="C40" s="23"/>
    </row>
    <row r="41" ht="15.75" customHeight="1">
      <c r="A41" s="23"/>
      <c r="C41" s="23"/>
    </row>
    <row r="42" ht="15.75" customHeight="1">
      <c r="A42" s="23"/>
      <c r="C42" s="23"/>
    </row>
    <row r="43" ht="15.75" customHeight="1">
      <c r="A43" s="23"/>
      <c r="C43" s="23"/>
    </row>
    <row r="44" ht="15.75" customHeight="1">
      <c r="A44" s="23"/>
      <c r="C44" s="23"/>
    </row>
    <row r="45" ht="15.75" customHeight="1">
      <c r="A45" s="23"/>
      <c r="C45" s="23"/>
    </row>
    <row r="46" ht="15.75" customHeight="1">
      <c r="A46" s="23"/>
      <c r="C46" s="23"/>
    </row>
    <row r="47" ht="15.75" customHeight="1">
      <c r="A47" s="23"/>
      <c r="C47" s="23"/>
    </row>
    <row r="48" ht="15.75" customHeight="1">
      <c r="A48" s="23"/>
      <c r="C48" s="23"/>
    </row>
    <row r="49" ht="15.75" customHeight="1">
      <c r="A49" s="23"/>
      <c r="C49" s="23"/>
    </row>
    <row r="50" ht="15.75" customHeight="1">
      <c r="A50" s="23"/>
      <c r="C50" s="23"/>
    </row>
    <row r="51" ht="15.75" customHeight="1">
      <c r="A51" s="23"/>
      <c r="C51" s="23"/>
    </row>
    <row r="52" ht="15.75" customHeight="1">
      <c r="A52" s="23"/>
      <c r="C52" s="23"/>
    </row>
    <row r="53" ht="15.75" customHeight="1">
      <c r="A53" s="23"/>
      <c r="C53" s="23"/>
    </row>
    <row r="54" ht="15.75" customHeight="1">
      <c r="A54" s="23"/>
      <c r="C54" s="23"/>
    </row>
    <row r="55" ht="15.75" customHeight="1">
      <c r="A55" s="23"/>
      <c r="C55" s="23"/>
    </row>
    <row r="56" ht="15.75" customHeight="1">
      <c r="A56" s="23"/>
      <c r="C56" s="23"/>
    </row>
    <row r="57" ht="15.75" customHeight="1">
      <c r="A57" s="23"/>
      <c r="C57" s="23"/>
    </row>
    <row r="58" ht="15.75" customHeight="1">
      <c r="A58" s="23"/>
      <c r="C58" s="23"/>
    </row>
    <row r="59" ht="15.75" customHeight="1">
      <c r="A59" s="23"/>
      <c r="C59" s="23"/>
    </row>
    <row r="60" ht="15.75" customHeight="1">
      <c r="A60" s="23"/>
      <c r="C60" s="23"/>
    </row>
    <row r="61" ht="15.75" customHeight="1">
      <c r="A61" s="23"/>
      <c r="C61" s="23"/>
    </row>
    <row r="62" ht="15.75" customHeight="1">
      <c r="A62" s="23"/>
      <c r="C62" s="23"/>
    </row>
    <row r="63" ht="15.75" customHeight="1">
      <c r="A63" s="23"/>
      <c r="C63" s="23"/>
    </row>
    <row r="64" ht="15.75" customHeight="1">
      <c r="A64" s="23"/>
      <c r="C64" s="23"/>
    </row>
    <row r="65" ht="15.75" customHeight="1">
      <c r="A65" s="23"/>
      <c r="C65" s="23"/>
    </row>
    <row r="66" ht="15.75" customHeight="1">
      <c r="A66" s="23"/>
      <c r="C66" s="23"/>
    </row>
    <row r="67" ht="15.75" customHeight="1">
      <c r="A67" s="23"/>
      <c r="C67" s="23"/>
    </row>
    <row r="68" ht="15.75" customHeight="1">
      <c r="A68" s="23"/>
      <c r="C68" s="23"/>
    </row>
    <row r="69" ht="15.75" customHeight="1">
      <c r="A69" s="23"/>
      <c r="C69" s="23"/>
    </row>
    <row r="70" ht="15.75" customHeight="1">
      <c r="A70" s="23"/>
      <c r="C70" s="23"/>
    </row>
    <row r="71" ht="15.75" customHeight="1">
      <c r="A71" s="23"/>
      <c r="C71" s="23"/>
    </row>
    <row r="72" ht="15.75" customHeight="1">
      <c r="A72" s="23"/>
      <c r="C72" s="23"/>
    </row>
    <row r="73" ht="15.75" customHeight="1">
      <c r="A73" s="23"/>
      <c r="C73" s="23"/>
    </row>
    <row r="74" ht="15.75" customHeight="1">
      <c r="A74" s="23"/>
      <c r="C74" s="23"/>
    </row>
    <row r="75" ht="15.75" customHeight="1">
      <c r="A75" s="23"/>
      <c r="C75" s="23"/>
    </row>
    <row r="76" ht="15.75" customHeight="1">
      <c r="A76" s="23"/>
      <c r="C76" s="23"/>
    </row>
    <row r="77" ht="15.75" customHeight="1">
      <c r="A77" s="23"/>
      <c r="C77" s="23"/>
    </row>
    <row r="78" ht="15.75" customHeight="1">
      <c r="A78" s="23"/>
      <c r="C78" s="23"/>
    </row>
    <row r="79" ht="15.75" customHeight="1">
      <c r="A79" s="23"/>
      <c r="C79" s="23"/>
    </row>
    <row r="80" ht="15.75" customHeight="1">
      <c r="A80" s="23"/>
      <c r="C80" s="23"/>
    </row>
    <row r="81" ht="15.75" customHeight="1">
      <c r="A81" s="23"/>
      <c r="C81" s="23"/>
    </row>
    <row r="82" ht="15.75" customHeight="1">
      <c r="A82" s="23"/>
      <c r="C82" s="23"/>
    </row>
    <row r="83" ht="15.75" customHeight="1">
      <c r="A83" s="23"/>
      <c r="C83" s="23"/>
    </row>
    <row r="84" ht="15.75" customHeight="1">
      <c r="A84" s="23"/>
      <c r="C84" s="23"/>
    </row>
    <row r="85" ht="15.75" customHeight="1">
      <c r="A85" s="23"/>
      <c r="C85" s="23"/>
    </row>
    <row r="86" ht="15.75" customHeight="1">
      <c r="A86" s="23"/>
      <c r="C86" s="23"/>
    </row>
    <row r="87" ht="15.75" customHeight="1">
      <c r="A87" s="23"/>
      <c r="C87" s="23"/>
    </row>
    <row r="88" ht="15.75" customHeight="1">
      <c r="A88" s="23"/>
      <c r="C88" s="23"/>
    </row>
    <row r="89" ht="15.75" customHeight="1">
      <c r="A89" s="23"/>
      <c r="C89" s="23"/>
    </row>
    <row r="90" ht="15.75" customHeight="1">
      <c r="A90" s="23"/>
      <c r="C90" s="23"/>
    </row>
    <row r="91" ht="15.75" customHeight="1">
      <c r="A91" s="23"/>
      <c r="C91" s="23"/>
    </row>
    <row r="92" ht="15.75" customHeight="1">
      <c r="A92" s="23"/>
      <c r="C92" s="23"/>
    </row>
    <row r="93" ht="15.75" customHeight="1">
      <c r="A93" s="23"/>
      <c r="C93" s="23"/>
    </row>
    <row r="94" ht="15.75" customHeight="1">
      <c r="A94" s="23"/>
      <c r="C94" s="23"/>
    </row>
    <row r="95" ht="15.75" customHeight="1">
      <c r="A95" s="23"/>
      <c r="C95" s="23"/>
    </row>
    <row r="96" ht="15.75" customHeight="1">
      <c r="A96" s="23"/>
      <c r="C96" s="23"/>
    </row>
    <row r="97" ht="15.75" customHeight="1">
      <c r="A97" s="23"/>
      <c r="C97" s="23"/>
    </row>
    <row r="98" ht="15.75" customHeight="1">
      <c r="A98" s="23"/>
      <c r="C98" s="23"/>
    </row>
    <row r="99" ht="15.75" customHeight="1">
      <c r="A99" s="23"/>
      <c r="C99" s="23"/>
    </row>
    <row r="100" ht="15.75" customHeight="1">
      <c r="A100" s="23"/>
      <c r="C100" s="23"/>
    </row>
    <row r="101" ht="15.75" customHeight="1">
      <c r="A101" s="23"/>
      <c r="C101" s="23"/>
    </row>
    <row r="102" ht="15.75" customHeight="1">
      <c r="A102" s="23"/>
      <c r="C102" s="23"/>
    </row>
    <row r="103" ht="15.75" customHeight="1">
      <c r="A103" s="23"/>
      <c r="C103" s="23"/>
    </row>
    <row r="104" ht="15.75" customHeight="1">
      <c r="A104" s="23"/>
      <c r="C104" s="23"/>
    </row>
    <row r="105" ht="15.75" customHeight="1">
      <c r="A105" s="23"/>
      <c r="C105" s="23"/>
    </row>
    <row r="106" ht="15.75" customHeight="1">
      <c r="A106" s="23"/>
    </row>
    <row r="107" ht="15.75" customHeight="1">
      <c r="A107" s="23"/>
    </row>
    <row r="108" ht="15.75" customHeight="1">
      <c r="A108" s="23"/>
    </row>
    <row r="109" ht="15.75" customHeight="1">
      <c r="A109" s="23"/>
    </row>
    <row r="110" ht="15.75" customHeight="1">
      <c r="A110" s="23"/>
    </row>
    <row r="111" ht="15.75" customHeight="1">
      <c r="A111" s="23"/>
    </row>
    <row r="112" ht="15.75" customHeight="1">
      <c r="A112" s="23"/>
    </row>
    <row r="113" ht="15.75" customHeight="1">
      <c r="A113" s="23"/>
    </row>
    <row r="114" ht="15.75" customHeight="1">
      <c r="A114" s="23"/>
    </row>
    <row r="115" ht="15.75" customHeight="1">
      <c r="A115" s="23"/>
    </row>
    <row r="116" ht="15.75" customHeight="1">
      <c r="A116" s="23"/>
    </row>
    <row r="117" ht="15.75" customHeight="1">
      <c r="A117" s="23"/>
    </row>
    <row r="118" ht="15.75" customHeight="1">
      <c r="A118" s="23"/>
    </row>
    <row r="119" ht="15.75" customHeight="1">
      <c r="A119" s="23"/>
    </row>
    <row r="120" ht="15.75" customHeight="1">
      <c r="A120" s="23"/>
    </row>
    <row r="121" ht="15.75" customHeight="1">
      <c r="A121" s="23"/>
    </row>
    <row r="122" ht="15.75" customHeight="1">
      <c r="A122" s="23"/>
    </row>
    <row r="123" ht="15.75" customHeight="1">
      <c r="A123" s="23"/>
    </row>
    <row r="124" ht="15.75" customHeight="1">
      <c r="A124" s="23"/>
    </row>
    <row r="125" ht="15.75" customHeight="1">
      <c r="A125" s="23"/>
    </row>
    <row r="126" ht="15.75" customHeight="1">
      <c r="A126" s="23"/>
    </row>
    <row r="127" ht="15.75" customHeight="1">
      <c r="A127" s="23"/>
    </row>
    <row r="128" ht="15.75" customHeight="1">
      <c r="A128" s="23"/>
    </row>
    <row r="129" ht="15.75" customHeight="1">
      <c r="A129" s="23"/>
    </row>
    <row r="130" ht="15.75" customHeight="1">
      <c r="A130" s="23"/>
    </row>
    <row r="131" ht="15.75" customHeight="1">
      <c r="A131" s="23"/>
    </row>
    <row r="132" ht="15.75" customHeight="1">
      <c r="A132" s="23"/>
    </row>
    <row r="133" ht="15.75" customHeight="1">
      <c r="A133" s="23"/>
    </row>
    <row r="134" ht="15.75" customHeight="1">
      <c r="A134" s="23"/>
    </row>
    <row r="135" ht="15.75" customHeight="1">
      <c r="A135" s="23"/>
    </row>
    <row r="136" ht="15.75" customHeight="1">
      <c r="A136" s="23"/>
    </row>
    <row r="137" ht="15.75" customHeight="1">
      <c r="A137" s="23"/>
    </row>
    <row r="138" ht="15.75" customHeight="1">
      <c r="A138" s="23"/>
    </row>
    <row r="139" ht="15.75" customHeight="1">
      <c r="A139" s="23"/>
    </row>
    <row r="140" ht="15.75" customHeight="1">
      <c r="A140" s="23"/>
    </row>
    <row r="141" ht="15.75" customHeight="1">
      <c r="A141" s="23"/>
    </row>
    <row r="142" ht="15.75" customHeight="1">
      <c r="A142" s="23"/>
    </row>
    <row r="143" ht="15.75" customHeight="1">
      <c r="A143" s="23"/>
    </row>
    <row r="144" ht="15.75" customHeight="1">
      <c r="A144" s="23"/>
    </row>
    <row r="145" ht="15.75" customHeight="1">
      <c r="A145" s="23"/>
    </row>
    <row r="146" ht="15.75" customHeight="1">
      <c r="A146" s="23"/>
    </row>
    <row r="147" ht="15.75" customHeight="1">
      <c r="A147" s="23"/>
    </row>
    <row r="148" ht="15.75" customHeight="1">
      <c r="A148" s="23"/>
    </row>
    <row r="149" ht="15.75" customHeight="1">
      <c r="A149" s="23"/>
    </row>
    <row r="150" ht="15.75" customHeight="1">
      <c r="A150" s="23"/>
    </row>
    <row r="151" ht="15.75" customHeight="1">
      <c r="A151" s="23"/>
    </row>
    <row r="152" ht="15.75" customHeight="1">
      <c r="A152" s="23"/>
    </row>
    <row r="153" ht="15.75" customHeight="1">
      <c r="A153" s="23"/>
    </row>
    <row r="154" ht="15.75" customHeight="1">
      <c r="A154" s="23"/>
    </row>
    <row r="155" ht="15.75" customHeight="1">
      <c r="A155" s="23"/>
    </row>
    <row r="156" ht="15.75" customHeight="1">
      <c r="A156" s="23"/>
    </row>
    <row r="157" ht="15.75" customHeight="1">
      <c r="A157" s="23"/>
    </row>
    <row r="158" ht="15.75" customHeight="1">
      <c r="A158" s="23"/>
    </row>
    <row r="159" ht="15.75" customHeight="1">
      <c r="A159" s="23"/>
    </row>
    <row r="160" ht="15.75" customHeight="1">
      <c r="A160" s="23"/>
    </row>
    <row r="161" ht="15.75" customHeight="1">
      <c r="A161" s="23"/>
    </row>
    <row r="162" ht="15.75" customHeight="1">
      <c r="A162" s="23"/>
    </row>
    <row r="163" ht="15.75" customHeight="1">
      <c r="A163" s="23"/>
    </row>
    <row r="164" ht="15.75" customHeight="1">
      <c r="A164" s="23"/>
    </row>
    <row r="165" ht="15.75" customHeight="1">
      <c r="A165" s="23"/>
    </row>
    <row r="166" ht="15.75" customHeight="1">
      <c r="A166" s="23"/>
    </row>
    <row r="167" ht="15.75" customHeight="1">
      <c r="A167" s="23"/>
    </row>
    <row r="168" ht="15.75" customHeight="1">
      <c r="A168" s="23"/>
    </row>
    <row r="169" ht="15.75" customHeight="1">
      <c r="A169" s="23"/>
    </row>
    <row r="170" ht="15.75" customHeight="1">
      <c r="A170" s="23"/>
    </row>
    <row r="171" ht="15.75" customHeight="1">
      <c r="A171" s="23"/>
    </row>
    <row r="172" ht="15.75" customHeight="1">
      <c r="A172" s="23"/>
    </row>
    <row r="173" ht="15.75" customHeight="1">
      <c r="A173" s="23"/>
    </row>
    <row r="174" ht="15.75" customHeight="1">
      <c r="A174" s="23"/>
    </row>
    <row r="175" ht="15.75" customHeight="1">
      <c r="A175" s="23"/>
    </row>
    <row r="176" ht="15.75" customHeight="1">
      <c r="A176" s="23"/>
    </row>
    <row r="177" ht="15.75" customHeight="1">
      <c r="A177" s="23"/>
    </row>
    <row r="178" ht="15.75" customHeight="1">
      <c r="A178" s="23"/>
    </row>
    <row r="179" ht="15.75" customHeight="1">
      <c r="A179" s="23"/>
    </row>
    <row r="180" ht="15.75" customHeight="1">
      <c r="A180" s="23"/>
    </row>
    <row r="181" ht="15.75" customHeight="1">
      <c r="A181" s="23"/>
    </row>
    <row r="182" ht="15.75" customHeight="1">
      <c r="A182" s="23"/>
    </row>
    <row r="183" ht="15.75" customHeight="1">
      <c r="A183" s="23"/>
    </row>
    <row r="184" ht="15.75" customHeight="1">
      <c r="A184" s="23"/>
    </row>
    <row r="185" ht="15.75" customHeight="1">
      <c r="A185" s="23"/>
    </row>
    <row r="186" ht="15.75" customHeight="1">
      <c r="A186" s="23"/>
    </row>
    <row r="187" ht="15.75" customHeight="1">
      <c r="A187" s="23"/>
    </row>
    <row r="188" ht="15.75" customHeight="1">
      <c r="A188" s="23"/>
    </row>
    <row r="189" ht="15.75" customHeight="1">
      <c r="A189" s="23"/>
    </row>
    <row r="190" ht="15.75" customHeight="1">
      <c r="A190" s="23"/>
    </row>
    <row r="191" ht="15.75" customHeight="1">
      <c r="A191" s="23"/>
    </row>
    <row r="192" ht="15.75" customHeight="1">
      <c r="A192" s="23"/>
    </row>
    <row r="193" ht="15.75" customHeight="1">
      <c r="A193" s="23"/>
    </row>
    <row r="194" ht="15.75" customHeight="1">
      <c r="A194" s="23"/>
    </row>
    <row r="195" ht="15.75" customHeight="1">
      <c r="A195" s="23"/>
    </row>
    <row r="196" ht="15.75" customHeight="1">
      <c r="A196" s="23"/>
    </row>
    <row r="197" ht="15.75" customHeight="1">
      <c r="A197" s="23"/>
    </row>
    <row r="198" ht="15.75" customHeight="1">
      <c r="A198" s="23"/>
    </row>
    <row r="199" ht="15.75" customHeight="1">
      <c r="A199" s="23"/>
    </row>
    <row r="200" ht="15.75" customHeight="1">
      <c r="A200" s="23"/>
    </row>
    <row r="201" ht="15.75" customHeight="1">
      <c r="A201" s="23"/>
    </row>
    <row r="202" ht="15.75" customHeight="1">
      <c r="A202" s="23"/>
    </row>
    <row r="203" ht="15.75" customHeight="1">
      <c r="A203" s="23"/>
    </row>
    <row r="204" ht="15.75" customHeight="1">
      <c r="A204" s="23"/>
    </row>
    <row r="205" ht="15.75" customHeight="1">
      <c r="A205" s="23"/>
    </row>
    <row r="206" ht="15.75" customHeight="1">
      <c r="A206" s="23"/>
    </row>
    <row r="207" ht="15.75" customHeight="1">
      <c r="A207" s="23"/>
    </row>
    <row r="208" ht="15.75" customHeight="1">
      <c r="A208" s="23"/>
    </row>
    <row r="209" ht="15.75" customHeight="1">
      <c r="A209" s="23"/>
    </row>
    <row r="210" ht="15.75" customHeight="1">
      <c r="A210" s="23"/>
    </row>
    <row r="211" ht="15.75" customHeight="1">
      <c r="A211" s="23"/>
    </row>
    <row r="212" ht="15.75" customHeight="1">
      <c r="A212" s="23"/>
    </row>
    <row r="213" ht="15.75" customHeight="1">
      <c r="A213" s="23"/>
    </row>
    <row r="214" ht="15.75" customHeight="1">
      <c r="A214" s="23"/>
    </row>
    <row r="215" ht="15.75" customHeight="1">
      <c r="A215" s="23"/>
    </row>
    <row r="216" ht="15.75" customHeight="1">
      <c r="A216" s="23"/>
    </row>
    <row r="217" ht="15.75" customHeight="1">
      <c r="A217" s="23"/>
    </row>
    <row r="218" ht="15.75" customHeight="1">
      <c r="A218" s="23"/>
    </row>
    <row r="219" ht="15.75" customHeight="1">
      <c r="A219" s="23"/>
    </row>
    <row r="220" ht="15.75" customHeight="1">
      <c r="A220" s="23"/>
    </row>
    <row r="221" ht="15.75" customHeight="1">
      <c r="A221" s="23"/>
    </row>
    <row r="222" ht="15.75" customHeight="1">
      <c r="A222" s="23"/>
    </row>
    <row r="223" ht="15.75" customHeight="1">
      <c r="A223" s="23"/>
    </row>
    <row r="224" ht="15.75" customHeight="1">
      <c r="A224" s="23"/>
    </row>
    <row r="225" ht="15.75" customHeight="1">
      <c r="A225" s="23"/>
    </row>
    <row r="226" ht="15.75" customHeight="1">
      <c r="A226" s="23"/>
    </row>
    <row r="227" ht="15.75" customHeight="1">
      <c r="A227" s="23"/>
    </row>
    <row r="228" ht="15.75" customHeight="1">
      <c r="A228" s="23"/>
    </row>
    <row r="229" ht="15.75" customHeight="1">
      <c r="A229" s="23"/>
    </row>
    <row r="230" ht="15.75" customHeight="1">
      <c r="A230" s="23"/>
    </row>
    <row r="231" ht="15.75" customHeight="1">
      <c r="A231" s="23"/>
    </row>
    <row r="232" ht="15.75" customHeight="1">
      <c r="A232" s="23"/>
    </row>
    <row r="233" ht="15.75" customHeight="1">
      <c r="A233" s="23"/>
    </row>
    <row r="234" ht="15.75" customHeight="1">
      <c r="A234" s="23"/>
    </row>
    <row r="235" ht="15.75" customHeight="1">
      <c r="A235" s="23"/>
    </row>
    <row r="236" ht="15.75" customHeight="1">
      <c r="A236" s="23"/>
    </row>
    <row r="237" ht="15.75" customHeight="1">
      <c r="A237" s="23"/>
    </row>
    <row r="238" ht="15.75" customHeight="1">
      <c r="A238" s="23"/>
    </row>
    <row r="239" ht="15.75" customHeight="1">
      <c r="A239" s="23"/>
    </row>
    <row r="240" ht="15.75" customHeight="1">
      <c r="A240" s="23"/>
    </row>
    <row r="241" ht="15.75" customHeight="1">
      <c r="A241" s="23"/>
    </row>
    <row r="242" ht="15.75" customHeight="1">
      <c r="A242" s="23"/>
    </row>
    <row r="243" ht="15.75" customHeight="1">
      <c r="A243" s="23"/>
    </row>
    <row r="244" ht="15.75" customHeight="1">
      <c r="A244" s="23"/>
    </row>
    <row r="245" ht="15.75" customHeight="1">
      <c r="A245" s="23"/>
    </row>
    <row r="246" ht="15.75" customHeight="1">
      <c r="A246" s="23"/>
    </row>
    <row r="247" ht="15.75" customHeight="1">
      <c r="A247" s="23"/>
    </row>
    <row r="248" ht="15.75" customHeight="1">
      <c r="A248" s="23"/>
    </row>
    <row r="249" ht="15.75" customHeight="1">
      <c r="A249" s="23"/>
    </row>
    <row r="250" ht="15.75" customHeight="1">
      <c r="A250" s="23"/>
    </row>
    <row r="251" ht="15.75" customHeight="1">
      <c r="A251" s="23"/>
    </row>
    <row r="252" ht="15.75" customHeight="1">
      <c r="A252" s="23"/>
    </row>
    <row r="253" ht="15.75" customHeight="1">
      <c r="A253" s="23"/>
    </row>
    <row r="254" ht="15.75" customHeight="1">
      <c r="A254" s="23"/>
    </row>
    <row r="255" ht="15.75" customHeight="1">
      <c r="A255" s="23"/>
    </row>
    <row r="256" ht="15.75" customHeight="1">
      <c r="A256" s="23"/>
    </row>
    <row r="257" ht="15.75" customHeight="1">
      <c r="A257" s="23"/>
    </row>
    <row r="258" ht="15.75" customHeight="1">
      <c r="A258" s="23"/>
    </row>
    <row r="259" ht="15.75" customHeight="1">
      <c r="A259" s="23"/>
    </row>
    <row r="260" ht="15.75" customHeight="1">
      <c r="A260" s="23"/>
    </row>
    <row r="261" ht="15.75" customHeight="1">
      <c r="A261" s="23"/>
    </row>
    <row r="262" ht="15.75" customHeight="1">
      <c r="A262" s="23"/>
    </row>
    <row r="263" ht="15.75" customHeight="1">
      <c r="A263" s="23"/>
    </row>
    <row r="264" ht="15.75" customHeight="1">
      <c r="A264" s="23"/>
    </row>
    <row r="265" ht="15.75" customHeight="1">
      <c r="A265" s="23"/>
    </row>
    <row r="266" ht="15.75" customHeight="1">
      <c r="A266" s="23"/>
    </row>
    <row r="267" ht="15.75" customHeight="1">
      <c r="A267" s="23"/>
    </row>
    <row r="268" ht="15.75" customHeight="1">
      <c r="A268" s="23"/>
    </row>
    <row r="269" ht="15.75" customHeight="1">
      <c r="A269" s="23"/>
    </row>
    <row r="270" ht="15.75" customHeight="1">
      <c r="A270" s="23"/>
    </row>
    <row r="271" ht="15.75" customHeight="1">
      <c r="A271" s="23"/>
    </row>
    <row r="272" ht="15.75" customHeight="1">
      <c r="A272" s="23"/>
    </row>
    <row r="273" ht="15.75" customHeight="1">
      <c r="A273" s="23"/>
    </row>
    <row r="274" ht="15.75" customHeight="1">
      <c r="A274" s="23"/>
    </row>
    <row r="275" ht="15.75" customHeight="1">
      <c r="A275" s="23"/>
    </row>
    <row r="276" ht="15.75" customHeight="1">
      <c r="A276" s="23"/>
    </row>
    <row r="277" ht="15.75" customHeight="1">
      <c r="A277" s="23"/>
    </row>
    <row r="278" ht="15.75" customHeight="1">
      <c r="A278" s="23"/>
    </row>
    <row r="279" ht="15.75" customHeight="1">
      <c r="A279" s="23"/>
    </row>
    <row r="280" ht="15.75" customHeight="1">
      <c r="A280" s="23"/>
    </row>
    <row r="281" ht="15.75" customHeight="1">
      <c r="A281" s="23"/>
    </row>
    <row r="282" ht="15.75" customHeight="1">
      <c r="A282" s="23"/>
    </row>
    <row r="283" ht="15.75" customHeight="1">
      <c r="A283" s="23"/>
    </row>
    <row r="284" ht="15.75" customHeight="1">
      <c r="A284" s="23"/>
    </row>
    <row r="285" ht="15.75" customHeight="1">
      <c r="A285" s="23"/>
    </row>
    <row r="286" ht="15.75" customHeight="1">
      <c r="A286" s="23"/>
    </row>
    <row r="287" ht="15.75" customHeight="1">
      <c r="A287" s="23"/>
    </row>
    <row r="288" ht="15.75" customHeight="1">
      <c r="A288" s="23"/>
    </row>
    <row r="289" ht="15.75" customHeight="1">
      <c r="A289" s="23"/>
    </row>
    <row r="290" ht="15.75" customHeight="1">
      <c r="A290" s="23"/>
    </row>
    <row r="291" ht="15.75" customHeight="1">
      <c r="A291" s="23"/>
    </row>
    <row r="292" ht="15.75" customHeight="1">
      <c r="A292" s="23"/>
    </row>
    <row r="293" ht="15.75" customHeight="1">
      <c r="A293" s="23"/>
    </row>
    <row r="294" ht="15.75" customHeight="1">
      <c r="A294" s="23"/>
    </row>
    <row r="295" ht="15.75" customHeight="1">
      <c r="A295" s="23"/>
    </row>
    <row r="296" ht="15.75" customHeight="1">
      <c r="A296" s="23"/>
    </row>
    <row r="297" ht="15.75" customHeight="1">
      <c r="A297" s="23"/>
    </row>
    <row r="298" ht="15.75" customHeight="1">
      <c r="A298" s="23"/>
    </row>
    <row r="299" ht="15.75" customHeight="1">
      <c r="A299" s="23"/>
    </row>
    <row r="300" ht="15.75" customHeight="1">
      <c r="A300" s="23"/>
    </row>
    <row r="301" ht="15.75" customHeight="1">
      <c r="A301" s="23"/>
    </row>
    <row r="302" ht="15.75" customHeight="1">
      <c r="A302" s="23"/>
    </row>
    <row r="303" ht="15.75" customHeight="1">
      <c r="A303" s="23"/>
    </row>
    <row r="304" ht="15.75" customHeight="1">
      <c r="A304" s="23"/>
    </row>
    <row r="305" ht="15.75" customHeight="1">
      <c r="A305" s="23"/>
    </row>
    <row r="306" ht="15.75" customHeight="1">
      <c r="A306" s="23"/>
    </row>
    <row r="307" ht="15.75" customHeight="1">
      <c r="A307" s="23"/>
    </row>
    <row r="308" ht="15.75" customHeight="1">
      <c r="A308" s="23"/>
    </row>
    <row r="309" ht="15.75" customHeight="1">
      <c r="A309" s="23"/>
    </row>
    <row r="310" ht="15.75" customHeight="1">
      <c r="A310" s="23"/>
    </row>
    <row r="311" ht="15.75" customHeight="1">
      <c r="A311" s="23"/>
    </row>
    <row r="312" ht="15.75" customHeight="1">
      <c r="A312" s="23"/>
    </row>
    <row r="313" ht="15.75" customHeight="1">
      <c r="A313" s="23"/>
    </row>
    <row r="314" ht="15.75" customHeight="1">
      <c r="A314" s="23"/>
    </row>
    <row r="315" ht="15.75" customHeight="1">
      <c r="A315" s="23"/>
    </row>
    <row r="316" ht="15.75" customHeight="1">
      <c r="A316" s="23"/>
    </row>
    <row r="317" ht="15.75" customHeight="1">
      <c r="A317" s="23"/>
    </row>
    <row r="318" ht="15.75" customHeight="1">
      <c r="A318" s="23"/>
    </row>
    <row r="319" ht="15.75" customHeight="1">
      <c r="A319" s="23"/>
    </row>
    <row r="320" ht="15.75" customHeight="1">
      <c r="A320" s="23"/>
    </row>
    <row r="321" ht="15.75" customHeight="1">
      <c r="A321" s="23"/>
    </row>
    <row r="322" ht="15.75" customHeight="1">
      <c r="A322" s="23"/>
    </row>
    <row r="323" ht="15.75" customHeight="1">
      <c r="A323" s="23"/>
    </row>
    <row r="324" ht="15.75" customHeight="1">
      <c r="A324" s="23"/>
    </row>
    <row r="325" ht="15.75" customHeight="1">
      <c r="A325" s="23"/>
    </row>
    <row r="326" ht="15.75" customHeight="1">
      <c r="A326" s="23"/>
    </row>
    <row r="327" ht="15.75" customHeight="1">
      <c r="A327" s="23"/>
    </row>
    <row r="328" ht="15.75" customHeight="1">
      <c r="A328" s="23"/>
    </row>
    <row r="329" ht="15.75" customHeight="1">
      <c r="A329" s="23"/>
    </row>
    <row r="330" ht="15.75" customHeight="1">
      <c r="A330" s="23"/>
    </row>
    <row r="331" ht="15.75" customHeight="1">
      <c r="A331" s="23"/>
    </row>
    <row r="332" ht="15.75" customHeight="1">
      <c r="A332" s="23"/>
    </row>
    <row r="333" ht="15.75" customHeight="1">
      <c r="A333" s="23"/>
    </row>
    <row r="334" ht="15.75" customHeight="1">
      <c r="A334" s="23"/>
    </row>
    <row r="335" ht="15.75" customHeight="1">
      <c r="A335" s="23"/>
    </row>
    <row r="336" ht="15.75" customHeight="1">
      <c r="A336" s="23"/>
    </row>
    <row r="337" ht="15.75" customHeight="1">
      <c r="A337" s="23"/>
    </row>
    <row r="338" ht="15.75" customHeight="1">
      <c r="A338" s="23"/>
    </row>
    <row r="339" ht="15.75" customHeight="1">
      <c r="A339" s="23"/>
    </row>
    <row r="340" ht="15.75" customHeight="1">
      <c r="A340" s="23"/>
    </row>
    <row r="341" ht="15.75" customHeight="1">
      <c r="A341" s="23"/>
    </row>
    <row r="342" ht="15.75" customHeight="1">
      <c r="A342" s="23"/>
    </row>
    <row r="343" ht="15.75" customHeight="1">
      <c r="A343" s="23"/>
    </row>
    <row r="344" ht="15.75" customHeight="1">
      <c r="A344" s="23"/>
    </row>
    <row r="345" ht="15.75" customHeight="1">
      <c r="A345" s="23"/>
    </row>
    <row r="346" ht="15.75" customHeight="1">
      <c r="A346" s="23"/>
    </row>
    <row r="347" ht="15.75" customHeight="1">
      <c r="A347" s="23"/>
    </row>
    <row r="348" ht="15.75" customHeight="1">
      <c r="A348" s="23"/>
    </row>
    <row r="349" ht="15.75" customHeight="1">
      <c r="A349" s="23"/>
    </row>
    <row r="350" ht="15.75" customHeight="1">
      <c r="A350" s="23"/>
    </row>
    <row r="351" ht="15.75" customHeight="1">
      <c r="A351" s="23"/>
    </row>
    <row r="352" ht="15.75" customHeight="1">
      <c r="A352" s="23"/>
    </row>
    <row r="353" ht="15.75" customHeight="1">
      <c r="A353" s="23"/>
    </row>
    <row r="354" ht="15.75" customHeight="1">
      <c r="A354" s="23"/>
    </row>
    <row r="355" ht="15.75" customHeight="1">
      <c r="A355" s="23"/>
    </row>
    <row r="356" ht="15.75" customHeight="1">
      <c r="A356" s="23"/>
    </row>
    <row r="357" ht="15.75" customHeight="1">
      <c r="A357" s="23"/>
    </row>
    <row r="358" ht="15.75" customHeight="1">
      <c r="A358" s="23"/>
    </row>
    <row r="359" ht="15.75" customHeight="1">
      <c r="A359" s="23"/>
    </row>
    <row r="360" ht="15.75" customHeight="1">
      <c r="A360" s="23"/>
    </row>
    <row r="361" ht="15.75" customHeight="1">
      <c r="A361" s="23"/>
    </row>
    <row r="362" ht="15.75" customHeight="1">
      <c r="A362" s="23"/>
    </row>
    <row r="363" ht="15.75" customHeight="1">
      <c r="A363" s="23"/>
    </row>
    <row r="364" ht="15.75" customHeight="1">
      <c r="A364" s="23"/>
    </row>
    <row r="365" ht="15.75" customHeight="1">
      <c r="A365" s="23"/>
    </row>
    <row r="366" ht="15.75" customHeight="1">
      <c r="A366" s="23"/>
    </row>
    <row r="367" ht="15.75" customHeight="1">
      <c r="A367" s="23"/>
    </row>
    <row r="368" ht="15.75" customHeight="1">
      <c r="A368" s="23"/>
    </row>
    <row r="369" ht="15.75" customHeight="1">
      <c r="A369" s="23"/>
    </row>
    <row r="370" ht="15.75" customHeight="1">
      <c r="A370" s="23"/>
    </row>
    <row r="371" ht="15.75" customHeight="1">
      <c r="A371" s="23"/>
    </row>
    <row r="372" ht="15.75" customHeight="1">
      <c r="A372" s="23"/>
    </row>
    <row r="373" ht="15.75" customHeight="1">
      <c r="A373" s="23"/>
    </row>
    <row r="374" ht="15.75" customHeight="1">
      <c r="A374" s="23"/>
    </row>
    <row r="375" ht="15.75" customHeight="1">
      <c r="A375" s="23"/>
    </row>
    <row r="376" ht="15.75" customHeight="1">
      <c r="A376" s="23"/>
    </row>
    <row r="377" ht="15.75" customHeight="1">
      <c r="A377" s="23"/>
    </row>
    <row r="378" ht="15.75" customHeight="1">
      <c r="A378" s="23"/>
    </row>
    <row r="379" ht="15.75" customHeight="1">
      <c r="A379" s="23"/>
    </row>
    <row r="380" ht="15.75" customHeight="1">
      <c r="A380" s="23"/>
    </row>
    <row r="381" ht="15.75" customHeight="1">
      <c r="A381" s="23"/>
    </row>
    <row r="382" ht="15.75" customHeight="1">
      <c r="A382" s="23"/>
    </row>
    <row r="383" ht="15.75" customHeight="1">
      <c r="A383" s="23"/>
    </row>
    <row r="384" ht="15.75" customHeight="1">
      <c r="A384" s="23"/>
    </row>
    <row r="385" ht="15.75" customHeight="1">
      <c r="A385" s="23"/>
    </row>
    <row r="386" ht="15.75" customHeight="1">
      <c r="A386" s="23"/>
    </row>
    <row r="387" ht="15.75" customHeight="1">
      <c r="A387" s="23"/>
    </row>
    <row r="388" ht="15.75" customHeight="1">
      <c r="A388" s="23"/>
    </row>
    <row r="389" ht="15.75" customHeight="1">
      <c r="A389" s="23"/>
    </row>
    <row r="390" ht="15.75" customHeight="1">
      <c r="A390" s="23"/>
    </row>
    <row r="391" ht="15.75" customHeight="1">
      <c r="A391" s="23"/>
    </row>
    <row r="392" ht="15.75" customHeight="1">
      <c r="A392" s="23"/>
    </row>
    <row r="393" ht="15.75" customHeight="1">
      <c r="A393" s="23"/>
    </row>
    <row r="394" ht="15.75" customHeight="1">
      <c r="A394" s="23"/>
    </row>
    <row r="395" ht="15.75" customHeight="1">
      <c r="A395" s="23"/>
    </row>
    <row r="396" ht="15.75" customHeight="1">
      <c r="A396" s="23"/>
    </row>
    <row r="397" ht="15.75" customHeight="1">
      <c r="A397" s="23"/>
    </row>
    <row r="398" ht="15.75" customHeight="1">
      <c r="A398" s="23"/>
    </row>
    <row r="399" ht="15.75" customHeight="1">
      <c r="A399" s="23"/>
    </row>
    <row r="400" ht="15.75" customHeight="1">
      <c r="A400" s="23"/>
    </row>
    <row r="401" ht="15.75" customHeight="1">
      <c r="A401" s="23"/>
    </row>
    <row r="402" ht="15.75" customHeight="1">
      <c r="A402" s="23"/>
    </row>
    <row r="403" ht="15.75" customHeight="1">
      <c r="A403" s="23"/>
    </row>
    <row r="404" ht="15.75" customHeight="1">
      <c r="A404" s="23"/>
    </row>
    <row r="405" ht="15.75" customHeight="1">
      <c r="A405" s="23"/>
    </row>
    <row r="406" ht="15.75" customHeight="1">
      <c r="A406" s="23"/>
    </row>
    <row r="407" ht="15.75" customHeight="1">
      <c r="A407" s="23"/>
    </row>
    <row r="408" ht="15.75" customHeight="1">
      <c r="A408" s="23"/>
    </row>
    <row r="409" ht="15.75" customHeight="1">
      <c r="A409" s="23"/>
    </row>
    <row r="410" ht="15.75" customHeight="1">
      <c r="A410" s="23"/>
    </row>
    <row r="411" ht="15.75" customHeight="1">
      <c r="A411" s="23"/>
    </row>
    <row r="412" ht="15.75" customHeight="1">
      <c r="A412" s="23"/>
    </row>
    <row r="413" ht="15.75" customHeight="1">
      <c r="A413" s="23"/>
    </row>
    <row r="414" ht="15.75" customHeight="1">
      <c r="A414" s="23"/>
    </row>
    <row r="415" ht="15.75" customHeight="1">
      <c r="A415" s="23"/>
    </row>
    <row r="416" ht="15.75" customHeight="1">
      <c r="A416" s="23"/>
    </row>
    <row r="417" ht="15.75" customHeight="1">
      <c r="A417" s="23"/>
    </row>
    <row r="418" ht="15.75" customHeight="1">
      <c r="A418" s="23"/>
    </row>
    <row r="419" ht="15.75" customHeight="1">
      <c r="A419" s="23"/>
    </row>
    <row r="420" ht="15.75" customHeight="1">
      <c r="A420" s="23"/>
    </row>
    <row r="421" ht="15.75" customHeight="1">
      <c r="A421" s="23"/>
    </row>
    <row r="422" ht="15.75" customHeight="1">
      <c r="A422" s="23"/>
    </row>
    <row r="423" ht="15.75" customHeight="1">
      <c r="A423" s="23"/>
    </row>
    <row r="424" ht="15.75" customHeight="1">
      <c r="A424" s="23"/>
    </row>
    <row r="425" ht="15.75" customHeight="1">
      <c r="A425" s="23"/>
    </row>
    <row r="426" ht="15.75" customHeight="1">
      <c r="A426" s="23"/>
    </row>
    <row r="427" ht="15.75" customHeight="1">
      <c r="A427" s="23"/>
    </row>
    <row r="428" ht="15.75" customHeight="1">
      <c r="A428" s="23"/>
    </row>
    <row r="429" ht="15.75" customHeight="1">
      <c r="A429" s="23"/>
    </row>
    <row r="430" ht="15.75" customHeight="1">
      <c r="A430" s="23"/>
    </row>
    <row r="431" ht="15.75" customHeight="1">
      <c r="A431" s="23"/>
    </row>
    <row r="432" ht="15.75" customHeight="1">
      <c r="A432" s="23"/>
    </row>
    <row r="433" ht="15.75" customHeight="1">
      <c r="A433" s="23"/>
    </row>
    <row r="434" ht="15.75" customHeight="1">
      <c r="A434" s="23"/>
    </row>
    <row r="435" ht="15.75" customHeight="1">
      <c r="A435" s="23"/>
    </row>
    <row r="436" ht="15.75" customHeight="1">
      <c r="A436" s="23"/>
    </row>
    <row r="437" ht="15.75" customHeight="1">
      <c r="A437" s="23"/>
    </row>
    <row r="438" ht="15.75" customHeight="1">
      <c r="A438" s="23"/>
    </row>
    <row r="439" ht="15.75" customHeight="1">
      <c r="A439" s="23"/>
    </row>
    <row r="440" ht="15.75" customHeight="1">
      <c r="A440" s="23"/>
    </row>
    <row r="441" ht="15.75" customHeight="1">
      <c r="A441" s="23"/>
    </row>
    <row r="442" ht="15.75" customHeight="1">
      <c r="A442" s="23"/>
    </row>
    <row r="443" ht="15.75" customHeight="1">
      <c r="A443" s="23"/>
    </row>
    <row r="444" ht="15.75" customHeight="1">
      <c r="A444" s="23"/>
    </row>
    <row r="445" ht="15.75" customHeight="1">
      <c r="A445" s="23"/>
    </row>
    <row r="446" ht="15.75" customHeight="1">
      <c r="A446" s="23"/>
    </row>
    <row r="447" ht="15.75" customHeight="1">
      <c r="A447" s="23"/>
    </row>
    <row r="448" ht="15.75" customHeight="1">
      <c r="A448" s="23"/>
    </row>
    <row r="449" ht="15.75" customHeight="1">
      <c r="A449" s="23"/>
    </row>
    <row r="450" ht="15.75" customHeight="1">
      <c r="A450" s="23"/>
    </row>
    <row r="451" ht="15.75" customHeight="1">
      <c r="A451" s="23"/>
    </row>
    <row r="452" ht="15.75" customHeight="1">
      <c r="A452" s="23"/>
    </row>
    <row r="453" ht="15.75" customHeight="1">
      <c r="A453" s="23"/>
    </row>
    <row r="454" ht="15.75" customHeight="1">
      <c r="A454" s="23"/>
    </row>
    <row r="455" ht="15.75" customHeight="1">
      <c r="A455" s="23"/>
    </row>
    <row r="456" ht="15.75" customHeight="1">
      <c r="A456" s="23"/>
    </row>
    <row r="457" ht="15.75" customHeight="1">
      <c r="A457" s="23"/>
    </row>
    <row r="458" ht="15.75" customHeight="1">
      <c r="A458" s="23"/>
    </row>
    <row r="459" ht="15.75" customHeight="1">
      <c r="A459" s="23"/>
    </row>
    <row r="460" ht="15.75" customHeight="1">
      <c r="A460" s="23"/>
    </row>
    <row r="461" ht="15.75" customHeight="1">
      <c r="A461" s="23"/>
    </row>
    <row r="462" ht="15.75" customHeight="1">
      <c r="A462" s="23"/>
    </row>
    <row r="463" ht="15.75" customHeight="1">
      <c r="A463" s="23"/>
    </row>
    <row r="464" ht="15.75" customHeight="1">
      <c r="A464" s="23"/>
    </row>
    <row r="465" ht="15.75" customHeight="1">
      <c r="A465" s="23"/>
    </row>
    <row r="466" ht="15.75" customHeight="1">
      <c r="A466" s="23"/>
    </row>
    <row r="467" ht="15.75" customHeight="1">
      <c r="A467" s="23"/>
    </row>
    <row r="468" ht="15.75" customHeight="1">
      <c r="A468" s="23"/>
    </row>
    <row r="469" ht="15.75" customHeight="1">
      <c r="A469" s="23"/>
    </row>
    <row r="470" ht="15.75" customHeight="1">
      <c r="A470" s="23"/>
    </row>
    <row r="471" ht="15.75" customHeight="1">
      <c r="A471" s="23"/>
    </row>
    <row r="472" ht="15.75" customHeight="1">
      <c r="A472" s="23"/>
    </row>
    <row r="473" ht="15.75" customHeight="1">
      <c r="A473" s="23"/>
    </row>
    <row r="474" ht="15.75" customHeight="1">
      <c r="A474" s="23"/>
    </row>
    <row r="475" ht="15.75" customHeight="1">
      <c r="A475" s="23"/>
    </row>
    <row r="476" ht="15.75" customHeight="1">
      <c r="A476" s="23"/>
    </row>
    <row r="477" ht="15.75" customHeight="1">
      <c r="A477" s="23"/>
    </row>
    <row r="478" ht="15.75" customHeight="1">
      <c r="A478" s="23"/>
    </row>
    <row r="479" ht="15.75" customHeight="1">
      <c r="A479" s="23"/>
    </row>
    <row r="480" ht="15.75" customHeight="1">
      <c r="A480" s="23"/>
    </row>
    <row r="481" ht="15.75" customHeight="1">
      <c r="A481" s="23"/>
    </row>
    <row r="482" ht="15.75" customHeight="1">
      <c r="A482" s="23"/>
    </row>
    <row r="483" ht="15.75" customHeight="1">
      <c r="A483" s="23"/>
    </row>
    <row r="484" ht="15.75" customHeight="1">
      <c r="A484" s="23"/>
    </row>
    <row r="485" ht="15.75" customHeight="1">
      <c r="A485" s="23"/>
    </row>
    <row r="486" ht="15.75" customHeight="1">
      <c r="A486" s="23"/>
    </row>
    <row r="487" ht="15.75" customHeight="1">
      <c r="A487" s="23"/>
    </row>
    <row r="488" ht="15.75" customHeight="1">
      <c r="A488" s="23"/>
    </row>
    <row r="489" ht="15.75" customHeight="1">
      <c r="A489" s="23"/>
    </row>
    <row r="490" ht="15.75" customHeight="1">
      <c r="A490" s="23"/>
    </row>
    <row r="491" ht="15.75" customHeight="1">
      <c r="A491" s="23"/>
    </row>
    <row r="492" ht="15.75" customHeight="1">
      <c r="A492" s="23"/>
    </row>
    <row r="493" ht="15.75" customHeight="1">
      <c r="A493" s="23"/>
    </row>
    <row r="494" ht="15.75" customHeight="1">
      <c r="A494" s="23"/>
    </row>
    <row r="495" ht="15.75" customHeight="1">
      <c r="A495" s="23"/>
    </row>
    <row r="496" ht="15.75" customHeight="1">
      <c r="A496" s="23"/>
    </row>
    <row r="497" ht="15.75" customHeight="1">
      <c r="A497" s="23"/>
    </row>
    <row r="498" ht="15.75" customHeight="1">
      <c r="A498" s="23"/>
    </row>
    <row r="499" ht="15.75" customHeight="1">
      <c r="A499" s="23"/>
    </row>
    <row r="500" ht="15.75" customHeight="1">
      <c r="A500" s="23"/>
    </row>
    <row r="501" ht="15.75" customHeight="1">
      <c r="A501" s="23">
        <v>46522.0</v>
      </c>
    </row>
    <row r="502" ht="15.75" customHeight="1">
      <c r="A502" s="23">
        <v>46523.0</v>
      </c>
    </row>
    <row r="503" ht="15.75" customHeight="1">
      <c r="A503" s="23">
        <v>46524.0</v>
      </c>
    </row>
    <row r="504" ht="15.75" customHeight="1">
      <c r="A504" s="23">
        <v>46525.0</v>
      </c>
    </row>
    <row r="505" ht="15.75" customHeight="1">
      <c r="A505" s="23">
        <v>46526.0</v>
      </c>
    </row>
    <row r="506" ht="15.75" customHeight="1">
      <c r="A506" s="23">
        <v>46527.0</v>
      </c>
    </row>
    <row r="507" ht="15.75" customHeight="1">
      <c r="A507" s="23">
        <v>46528.0</v>
      </c>
    </row>
    <row r="508" ht="15.75" customHeight="1">
      <c r="A508" s="23">
        <v>46529.0</v>
      </c>
    </row>
    <row r="509" ht="15.75" customHeight="1">
      <c r="A509" s="23">
        <v>46530.0</v>
      </c>
    </row>
    <row r="510" ht="15.75" customHeight="1">
      <c r="A510" s="23">
        <v>46531.0</v>
      </c>
    </row>
    <row r="511" ht="15.75" customHeight="1">
      <c r="A511" s="23">
        <v>46532.0</v>
      </c>
    </row>
    <row r="512" ht="15.75" customHeight="1">
      <c r="A512" s="23">
        <v>46533.0</v>
      </c>
    </row>
    <row r="513" ht="15.75" customHeight="1">
      <c r="A513" s="23">
        <v>46534.0</v>
      </c>
    </row>
    <row r="514" ht="15.75" customHeight="1">
      <c r="A514" s="23">
        <v>46535.0</v>
      </c>
    </row>
    <row r="515" ht="15.75" customHeight="1">
      <c r="A515" s="23">
        <v>46536.0</v>
      </c>
    </row>
    <row r="516" ht="15.75" customHeight="1">
      <c r="A516" s="23">
        <v>46537.0</v>
      </c>
    </row>
    <row r="517" ht="15.75" customHeight="1">
      <c r="A517" s="23">
        <v>46538.0</v>
      </c>
    </row>
    <row r="518" ht="15.75" customHeight="1">
      <c r="A518" s="23">
        <v>46539.0</v>
      </c>
    </row>
    <row r="519" ht="15.75" customHeight="1">
      <c r="A519" s="23">
        <v>46540.0</v>
      </c>
    </row>
    <row r="520" ht="15.75" customHeight="1">
      <c r="A520" s="23">
        <v>46541.0</v>
      </c>
    </row>
    <row r="521" ht="15.75" customHeight="1">
      <c r="A521" s="23">
        <v>46542.0</v>
      </c>
    </row>
    <row r="522" ht="15.75" customHeight="1">
      <c r="A522" s="23">
        <v>46543.0</v>
      </c>
    </row>
    <row r="523" ht="15.75" customHeight="1">
      <c r="A523" s="23">
        <v>46544.0</v>
      </c>
    </row>
    <row r="524" ht="15.75" customHeight="1">
      <c r="A524" s="23">
        <v>46545.0</v>
      </c>
    </row>
    <row r="525" ht="15.75" customHeight="1">
      <c r="A525" s="23">
        <v>46546.0</v>
      </c>
    </row>
    <row r="526" ht="15.75" customHeight="1">
      <c r="A526" s="23">
        <v>46547.0</v>
      </c>
    </row>
    <row r="527" ht="15.75" customHeight="1">
      <c r="A527" s="23">
        <v>46548.0</v>
      </c>
    </row>
    <row r="528" ht="15.75" customHeight="1">
      <c r="A528" s="23">
        <v>46549.0</v>
      </c>
    </row>
    <row r="529" ht="15.75" customHeight="1">
      <c r="A529" s="23">
        <v>46550.0</v>
      </c>
    </row>
    <row r="530" ht="15.75" customHeight="1">
      <c r="A530" s="23">
        <v>46551.0</v>
      </c>
    </row>
    <row r="531" ht="15.75" customHeight="1">
      <c r="A531" s="23">
        <v>46552.0</v>
      </c>
    </row>
    <row r="532" ht="15.75" customHeight="1">
      <c r="A532" s="23">
        <v>46553.0</v>
      </c>
    </row>
    <row r="533" ht="15.75" customHeight="1">
      <c r="A533" s="23">
        <v>46554.0</v>
      </c>
    </row>
    <row r="534" ht="15.75" customHeight="1">
      <c r="A534" s="23">
        <v>46555.0</v>
      </c>
    </row>
    <row r="535" ht="15.75" customHeight="1">
      <c r="A535" s="23">
        <v>46556.0</v>
      </c>
    </row>
    <row r="536" ht="15.75" customHeight="1">
      <c r="A536" s="23">
        <v>46557.0</v>
      </c>
    </row>
    <row r="537" ht="15.75" customHeight="1">
      <c r="A537" s="23">
        <v>46558.0</v>
      </c>
    </row>
    <row r="538" ht="15.75" customHeight="1">
      <c r="A538" s="23">
        <v>46559.0</v>
      </c>
    </row>
    <row r="539" ht="15.75" customHeight="1">
      <c r="A539" s="23">
        <v>46560.0</v>
      </c>
    </row>
    <row r="540" ht="15.75" customHeight="1">
      <c r="A540" s="23">
        <v>46561.0</v>
      </c>
    </row>
    <row r="541" ht="15.75" customHeight="1">
      <c r="A541" s="23">
        <v>46562.0</v>
      </c>
    </row>
    <row r="542" ht="15.75" customHeight="1">
      <c r="A542" s="23">
        <v>46563.0</v>
      </c>
    </row>
    <row r="543" ht="15.75" customHeight="1">
      <c r="A543" s="23">
        <v>46564.0</v>
      </c>
    </row>
    <row r="544" ht="15.75" customHeight="1">
      <c r="A544" s="23">
        <v>46565.0</v>
      </c>
    </row>
    <row r="545" ht="15.75" customHeight="1">
      <c r="A545" s="23">
        <v>46566.0</v>
      </c>
    </row>
    <row r="546" ht="15.75" customHeight="1">
      <c r="A546" s="23">
        <v>46567.0</v>
      </c>
    </row>
    <row r="547" ht="15.75" customHeight="1">
      <c r="A547" s="23">
        <v>46568.0</v>
      </c>
    </row>
    <row r="548" ht="15.75" customHeight="1">
      <c r="A548" s="23">
        <v>46569.0</v>
      </c>
    </row>
    <row r="549" ht="15.75" customHeight="1">
      <c r="A549" s="23">
        <v>46570.0</v>
      </c>
    </row>
    <row r="550" ht="15.75" customHeight="1">
      <c r="A550" s="23">
        <v>46571.0</v>
      </c>
    </row>
    <row r="551" ht="15.75" customHeight="1">
      <c r="A551" s="23">
        <v>46572.0</v>
      </c>
    </row>
    <row r="552" ht="15.75" customHeight="1">
      <c r="A552" s="23">
        <v>46573.0</v>
      </c>
    </row>
    <row r="553" ht="15.75" customHeight="1">
      <c r="A553" s="23">
        <v>46574.0</v>
      </c>
    </row>
    <row r="554" ht="15.75" customHeight="1">
      <c r="A554" s="23">
        <v>46575.0</v>
      </c>
    </row>
    <row r="555" ht="15.75" customHeight="1">
      <c r="A555" s="23">
        <v>46576.0</v>
      </c>
    </row>
    <row r="556" ht="15.75" customHeight="1">
      <c r="A556" s="23">
        <v>46577.0</v>
      </c>
    </row>
    <row r="557" ht="15.75" customHeight="1">
      <c r="A557" s="23">
        <v>46578.0</v>
      </c>
    </row>
    <row r="558" ht="15.75" customHeight="1">
      <c r="A558" s="23">
        <v>46579.0</v>
      </c>
    </row>
    <row r="559" ht="15.75" customHeight="1">
      <c r="A559" s="23">
        <v>46580.0</v>
      </c>
    </row>
    <row r="560" ht="15.75" customHeight="1">
      <c r="A560" s="23">
        <v>46581.0</v>
      </c>
    </row>
    <row r="561" ht="15.75" customHeight="1">
      <c r="A561" s="23">
        <v>46582.0</v>
      </c>
    </row>
    <row r="562" ht="15.75" customHeight="1">
      <c r="A562" s="23">
        <v>46583.0</v>
      </c>
    </row>
    <row r="563" ht="15.75" customHeight="1">
      <c r="A563" s="23">
        <v>46584.0</v>
      </c>
    </row>
    <row r="564" ht="15.75" customHeight="1">
      <c r="A564" s="23">
        <v>46585.0</v>
      </c>
    </row>
    <row r="565" ht="15.75" customHeight="1">
      <c r="A565" s="23">
        <v>46586.0</v>
      </c>
    </row>
    <row r="566" ht="15.75" customHeight="1">
      <c r="A566" s="23">
        <v>46587.0</v>
      </c>
    </row>
    <row r="567" ht="15.75" customHeight="1">
      <c r="A567" s="23">
        <v>46588.0</v>
      </c>
    </row>
    <row r="568" ht="15.75" customHeight="1">
      <c r="A568" s="23">
        <v>46589.0</v>
      </c>
    </row>
    <row r="569" ht="15.75" customHeight="1">
      <c r="A569" s="23">
        <v>46590.0</v>
      </c>
    </row>
    <row r="570" ht="15.75" customHeight="1">
      <c r="A570" s="23">
        <v>46591.0</v>
      </c>
    </row>
    <row r="571" ht="15.75" customHeight="1">
      <c r="A571" s="23">
        <v>46592.0</v>
      </c>
    </row>
    <row r="572" ht="15.75" customHeight="1">
      <c r="A572" s="23">
        <v>46593.0</v>
      </c>
    </row>
    <row r="573" ht="15.75" customHeight="1">
      <c r="A573" s="23">
        <v>46594.0</v>
      </c>
    </row>
    <row r="574" ht="15.75" customHeight="1">
      <c r="A574" s="23">
        <v>46595.0</v>
      </c>
    </row>
    <row r="575" ht="15.75" customHeight="1">
      <c r="A575" s="23">
        <v>46596.0</v>
      </c>
    </row>
    <row r="576" ht="15.75" customHeight="1">
      <c r="A576" s="23">
        <v>46597.0</v>
      </c>
    </row>
    <row r="577" ht="15.75" customHeight="1">
      <c r="A577" s="23">
        <v>46598.0</v>
      </c>
    </row>
    <row r="578" ht="15.75" customHeight="1">
      <c r="A578" s="23">
        <v>46599.0</v>
      </c>
    </row>
    <row r="579" ht="15.75" customHeight="1">
      <c r="A579" s="23">
        <v>46600.0</v>
      </c>
    </row>
    <row r="580" ht="15.75" customHeight="1">
      <c r="A580" s="23">
        <v>46601.0</v>
      </c>
    </row>
    <row r="581" ht="15.75" customHeight="1">
      <c r="A581" s="23">
        <v>46602.0</v>
      </c>
    </row>
    <row r="582" ht="15.75" customHeight="1">
      <c r="A582" s="23">
        <v>46603.0</v>
      </c>
    </row>
    <row r="583" ht="15.75" customHeight="1">
      <c r="A583" s="23">
        <v>46604.0</v>
      </c>
    </row>
    <row r="584" ht="15.75" customHeight="1">
      <c r="A584" s="23">
        <v>46605.0</v>
      </c>
    </row>
    <row r="585" ht="15.75" customHeight="1">
      <c r="A585" s="23">
        <v>46606.0</v>
      </c>
    </row>
    <row r="586" ht="15.75" customHeight="1">
      <c r="A586" s="23">
        <v>46607.0</v>
      </c>
    </row>
    <row r="587" ht="15.75" customHeight="1">
      <c r="A587" s="23">
        <v>46608.0</v>
      </c>
    </row>
    <row r="588" ht="15.75" customHeight="1">
      <c r="A588" s="23">
        <v>46609.0</v>
      </c>
    </row>
    <row r="589" ht="15.75" customHeight="1">
      <c r="A589" s="23">
        <v>46610.0</v>
      </c>
    </row>
    <row r="590" ht="15.75" customHeight="1">
      <c r="A590" s="23">
        <v>46611.0</v>
      </c>
    </row>
    <row r="591" ht="15.75" customHeight="1">
      <c r="A591" s="23">
        <v>46612.0</v>
      </c>
    </row>
    <row r="592" ht="15.75" customHeight="1">
      <c r="A592" s="23">
        <v>46613.0</v>
      </c>
    </row>
    <row r="593" ht="15.75" customHeight="1">
      <c r="A593" s="23">
        <v>46614.0</v>
      </c>
    </row>
    <row r="594" ht="15.75" customHeight="1">
      <c r="A594" s="23">
        <v>46615.0</v>
      </c>
    </row>
    <row r="595" ht="15.75" customHeight="1">
      <c r="A595" s="23">
        <v>46616.0</v>
      </c>
    </row>
    <row r="596" ht="15.75" customHeight="1">
      <c r="A596" s="23">
        <v>46617.0</v>
      </c>
    </row>
    <row r="597" ht="15.75" customHeight="1">
      <c r="A597" s="23">
        <v>46618.0</v>
      </c>
    </row>
    <row r="598" ht="15.75" customHeight="1">
      <c r="A598" s="23">
        <v>46619.0</v>
      </c>
    </row>
    <row r="599" ht="15.75" customHeight="1">
      <c r="A599" s="23">
        <v>46620.0</v>
      </c>
    </row>
    <row r="600" ht="15.75" customHeight="1">
      <c r="A600" s="23">
        <v>46621.0</v>
      </c>
    </row>
    <row r="601" ht="15.75" customHeight="1">
      <c r="A601" s="23">
        <v>46622.0</v>
      </c>
    </row>
    <row r="602" ht="15.75" customHeight="1">
      <c r="A602" s="23">
        <v>46623.0</v>
      </c>
    </row>
    <row r="603" ht="15.75" customHeight="1">
      <c r="A603" s="23">
        <v>46624.0</v>
      </c>
    </row>
    <row r="604" ht="15.75" customHeight="1">
      <c r="A604" s="23">
        <v>46625.0</v>
      </c>
    </row>
    <row r="605" ht="15.75" customHeight="1">
      <c r="A605" s="23">
        <v>46626.0</v>
      </c>
    </row>
    <row r="606" ht="15.75" customHeight="1">
      <c r="A606" s="23">
        <v>46627.0</v>
      </c>
    </row>
    <row r="607" ht="15.75" customHeight="1">
      <c r="A607" s="23">
        <v>46628.0</v>
      </c>
    </row>
    <row r="608" ht="15.75" customHeight="1">
      <c r="A608" s="23">
        <v>46629.0</v>
      </c>
    </row>
    <row r="609" ht="15.75" customHeight="1">
      <c r="A609" s="23">
        <v>46630.0</v>
      </c>
    </row>
    <row r="610" ht="15.75" customHeight="1">
      <c r="A610" s="23">
        <v>46631.0</v>
      </c>
    </row>
    <row r="611" ht="15.75" customHeight="1">
      <c r="A611" s="23">
        <v>46632.0</v>
      </c>
    </row>
    <row r="612" ht="15.75" customHeight="1">
      <c r="A612" s="23">
        <v>46633.0</v>
      </c>
    </row>
    <row r="613" ht="15.75" customHeight="1">
      <c r="A613" s="23">
        <v>46634.0</v>
      </c>
    </row>
    <row r="614" ht="15.75" customHeight="1">
      <c r="A614" s="23">
        <v>46635.0</v>
      </c>
    </row>
    <row r="615" ht="15.75" customHeight="1">
      <c r="A615" s="23">
        <v>46636.0</v>
      </c>
    </row>
    <row r="616" ht="15.75" customHeight="1">
      <c r="A616" s="23">
        <v>46637.0</v>
      </c>
    </row>
    <row r="617" ht="15.75" customHeight="1">
      <c r="A617" s="23">
        <v>46638.0</v>
      </c>
    </row>
    <row r="618" ht="15.75" customHeight="1">
      <c r="A618" s="23">
        <v>46639.0</v>
      </c>
    </row>
    <row r="619" ht="15.75" customHeight="1">
      <c r="A619" s="23">
        <v>46640.0</v>
      </c>
    </row>
    <row r="620" ht="15.75" customHeight="1">
      <c r="A620" s="23">
        <v>46641.0</v>
      </c>
    </row>
    <row r="621" ht="15.75" customHeight="1">
      <c r="A621" s="23">
        <v>46642.0</v>
      </c>
    </row>
    <row r="622" ht="15.75" customHeight="1">
      <c r="A622" s="23">
        <v>46643.0</v>
      </c>
    </row>
    <row r="623" ht="15.75" customHeight="1">
      <c r="A623" s="23">
        <v>46644.0</v>
      </c>
    </row>
    <row r="624" ht="15.75" customHeight="1">
      <c r="A624" s="23">
        <v>46645.0</v>
      </c>
    </row>
    <row r="625" ht="15.75" customHeight="1">
      <c r="A625" s="23">
        <v>46646.0</v>
      </c>
    </row>
    <row r="626" ht="15.75" customHeight="1">
      <c r="A626" s="23">
        <v>46647.0</v>
      </c>
    </row>
    <row r="627" ht="15.75" customHeight="1">
      <c r="A627" s="23">
        <v>46648.0</v>
      </c>
    </row>
    <row r="628" ht="15.75" customHeight="1">
      <c r="A628" s="23">
        <v>46649.0</v>
      </c>
    </row>
    <row r="629" ht="15.75" customHeight="1">
      <c r="A629" s="23">
        <v>46650.0</v>
      </c>
    </row>
    <row r="630" ht="15.75" customHeight="1">
      <c r="A630" s="23">
        <v>46651.0</v>
      </c>
    </row>
    <row r="631" ht="15.75" customHeight="1">
      <c r="A631" s="23">
        <v>46652.0</v>
      </c>
    </row>
    <row r="632" ht="15.75" customHeight="1">
      <c r="A632" s="23">
        <v>46653.0</v>
      </c>
    </row>
    <row r="633" ht="15.75" customHeight="1">
      <c r="A633" s="23">
        <v>46654.0</v>
      </c>
    </row>
    <row r="634" ht="15.75" customHeight="1">
      <c r="A634" s="23">
        <v>46655.0</v>
      </c>
    </row>
    <row r="635" ht="15.75" customHeight="1">
      <c r="A635" s="23">
        <v>46656.0</v>
      </c>
    </row>
    <row r="636" ht="15.75" customHeight="1">
      <c r="A636" s="23">
        <v>46657.0</v>
      </c>
    </row>
    <row r="637" ht="15.75" customHeight="1">
      <c r="A637" s="23">
        <v>46658.0</v>
      </c>
    </row>
    <row r="638" ht="15.75" customHeight="1">
      <c r="A638" s="23">
        <v>46659.0</v>
      </c>
    </row>
    <row r="639" ht="15.75" customHeight="1">
      <c r="A639" s="23">
        <v>46660.0</v>
      </c>
    </row>
    <row r="640" ht="15.75" customHeight="1">
      <c r="A640" s="23">
        <v>46661.0</v>
      </c>
    </row>
    <row r="641" ht="15.75" customHeight="1">
      <c r="A641" s="23">
        <v>46662.0</v>
      </c>
    </row>
    <row r="642" ht="15.75" customHeight="1">
      <c r="A642" s="23">
        <v>46663.0</v>
      </c>
    </row>
    <row r="643" ht="15.75" customHeight="1">
      <c r="A643" s="23">
        <v>46664.0</v>
      </c>
    </row>
    <row r="644" ht="15.75" customHeight="1">
      <c r="A644" s="23">
        <v>46665.0</v>
      </c>
    </row>
    <row r="645" ht="15.75" customHeight="1">
      <c r="A645" s="23">
        <v>46666.0</v>
      </c>
    </row>
    <row r="646" ht="15.75" customHeight="1">
      <c r="A646" s="23">
        <v>46667.0</v>
      </c>
    </row>
    <row r="647" ht="15.75" customHeight="1">
      <c r="A647" s="23">
        <v>46668.0</v>
      </c>
    </row>
    <row r="648" ht="15.75" customHeight="1">
      <c r="A648" s="23">
        <v>46669.0</v>
      </c>
    </row>
    <row r="649" ht="15.75" customHeight="1">
      <c r="A649" s="23">
        <v>46670.0</v>
      </c>
    </row>
    <row r="650" ht="15.75" customHeight="1">
      <c r="A650" s="23">
        <v>46671.0</v>
      </c>
    </row>
    <row r="651" ht="15.75" customHeight="1">
      <c r="A651" s="23">
        <v>46672.0</v>
      </c>
    </row>
    <row r="652" ht="15.75" customHeight="1">
      <c r="A652" s="23">
        <v>46673.0</v>
      </c>
    </row>
    <row r="653" ht="15.75" customHeight="1">
      <c r="A653" s="23">
        <v>46674.0</v>
      </c>
    </row>
    <row r="654" ht="15.75" customHeight="1">
      <c r="A654" s="23">
        <v>46675.0</v>
      </c>
    </row>
    <row r="655" ht="15.75" customHeight="1">
      <c r="A655" s="23">
        <v>46676.0</v>
      </c>
    </row>
    <row r="656" ht="15.75" customHeight="1">
      <c r="A656" s="23">
        <v>46677.0</v>
      </c>
    </row>
    <row r="657" ht="15.75" customHeight="1">
      <c r="A657" s="23">
        <v>46678.0</v>
      </c>
    </row>
    <row r="658" ht="15.75" customHeight="1">
      <c r="A658" s="23">
        <v>46679.0</v>
      </c>
    </row>
    <row r="659" ht="15.75" customHeight="1">
      <c r="A659" s="23">
        <v>46680.0</v>
      </c>
    </row>
    <row r="660" ht="15.75" customHeight="1">
      <c r="A660" s="23">
        <v>46681.0</v>
      </c>
    </row>
    <row r="661" ht="15.75" customHeight="1">
      <c r="A661" s="23">
        <v>46682.0</v>
      </c>
    </row>
    <row r="662" ht="15.75" customHeight="1">
      <c r="A662" s="23">
        <v>46683.0</v>
      </c>
    </row>
    <row r="663" ht="15.75" customHeight="1">
      <c r="A663" s="23">
        <v>46684.0</v>
      </c>
    </row>
    <row r="664" ht="15.75" customHeight="1">
      <c r="A664" s="23">
        <v>46685.0</v>
      </c>
    </row>
    <row r="665" ht="15.75" customHeight="1">
      <c r="A665" s="23">
        <v>46686.0</v>
      </c>
    </row>
    <row r="666" ht="15.75" customHeight="1">
      <c r="A666" s="23">
        <v>46687.0</v>
      </c>
    </row>
    <row r="667" ht="15.75" customHeight="1">
      <c r="A667" s="23">
        <v>46688.0</v>
      </c>
    </row>
    <row r="668" ht="15.75" customHeight="1">
      <c r="A668" s="23">
        <v>46689.0</v>
      </c>
    </row>
    <row r="669" ht="15.75" customHeight="1">
      <c r="A669" s="23">
        <v>46690.0</v>
      </c>
    </row>
    <row r="670" ht="15.75" customHeight="1">
      <c r="A670" s="23">
        <v>46691.0</v>
      </c>
    </row>
    <row r="671" ht="15.75" customHeight="1">
      <c r="A671" s="23">
        <v>46692.0</v>
      </c>
    </row>
    <row r="672" ht="15.75" customHeight="1">
      <c r="A672" s="23">
        <v>46693.0</v>
      </c>
    </row>
    <row r="673" ht="15.75" customHeight="1">
      <c r="A673" s="23">
        <v>46694.0</v>
      </c>
    </row>
    <row r="674" ht="15.75" customHeight="1">
      <c r="A674" s="23">
        <v>46695.0</v>
      </c>
    </row>
    <row r="675" ht="15.75" customHeight="1">
      <c r="A675" s="23">
        <v>46696.0</v>
      </c>
    </row>
    <row r="676" ht="15.75" customHeight="1">
      <c r="A676" s="23">
        <v>46697.0</v>
      </c>
    </row>
    <row r="677" ht="15.75" customHeight="1">
      <c r="A677" s="23">
        <v>46698.0</v>
      </c>
    </row>
    <row r="678" ht="15.75" customHeight="1">
      <c r="A678" s="23">
        <v>46699.0</v>
      </c>
    </row>
    <row r="679" ht="15.75" customHeight="1">
      <c r="A679" s="23">
        <v>46700.0</v>
      </c>
    </row>
    <row r="680" ht="15.75" customHeight="1">
      <c r="A680" s="23">
        <v>46701.0</v>
      </c>
    </row>
    <row r="681" ht="15.75" customHeight="1">
      <c r="A681" s="23">
        <v>46702.0</v>
      </c>
    </row>
    <row r="682" ht="15.75" customHeight="1">
      <c r="A682" s="23">
        <v>46703.0</v>
      </c>
    </row>
    <row r="683" ht="15.75" customHeight="1">
      <c r="A683" s="23">
        <v>46704.0</v>
      </c>
    </row>
    <row r="684" ht="15.75" customHeight="1">
      <c r="A684" s="23">
        <v>46705.0</v>
      </c>
    </row>
    <row r="685" ht="15.75" customHeight="1">
      <c r="A685" s="23">
        <v>46706.0</v>
      </c>
    </row>
    <row r="686" ht="15.75" customHeight="1">
      <c r="A686" s="23">
        <v>46707.0</v>
      </c>
    </row>
    <row r="687" ht="15.75" customHeight="1">
      <c r="A687" s="23">
        <v>46708.0</v>
      </c>
    </row>
    <row r="688" ht="15.75" customHeight="1">
      <c r="A688" s="23">
        <v>46709.0</v>
      </c>
    </row>
    <row r="689" ht="15.75" customHeight="1">
      <c r="A689" s="23">
        <v>46710.0</v>
      </c>
    </row>
    <row r="690" ht="15.75" customHeight="1">
      <c r="A690" s="23">
        <v>46711.0</v>
      </c>
    </row>
    <row r="691" ht="15.75" customHeight="1">
      <c r="A691" s="23">
        <v>46712.0</v>
      </c>
    </row>
    <row r="692" ht="15.75" customHeight="1">
      <c r="A692" s="23">
        <v>46713.0</v>
      </c>
    </row>
    <row r="693" ht="15.75" customHeight="1">
      <c r="A693" s="23">
        <v>46714.0</v>
      </c>
    </row>
    <row r="694" ht="15.75" customHeight="1">
      <c r="A694" s="23">
        <v>46715.0</v>
      </c>
    </row>
    <row r="695" ht="15.75" customHeight="1">
      <c r="A695" s="23">
        <v>46716.0</v>
      </c>
    </row>
    <row r="696" ht="15.75" customHeight="1">
      <c r="A696" s="23">
        <v>46717.0</v>
      </c>
    </row>
    <row r="697" ht="15.75" customHeight="1">
      <c r="A697" s="23">
        <v>46718.0</v>
      </c>
    </row>
    <row r="698" ht="15.75" customHeight="1">
      <c r="A698" s="23">
        <v>46719.0</v>
      </c>
    </row>
    <row r="699" ht="15.75" customHeight="1">
      <c r="A699" s="23">
        <v>46720.0</v>
      </c>
    </row>
    <row r="700" ht="15.75" customHeight="1">
      <c r="A700" s="23">
        <v>46721.0</v>
      </c>
    </row>
    <row r="701" ht="15.75" customHeight="1">
      <c r="A701" s="23">
        <v>46722.0</v>
      </c>
    </row>
    <row r="702" ht="15.75" customHeight="1">
      <c r="A702" s="23">
        <v>46723.0</v>
      </c>
    </row>
    <row r="703" ht="15.75" customHeight="1">
      <c r="A703" s="23">
        <v>46724.0</v>
      </c>
    </row>
    <row r="704" ht="15.75" customHeight="1">
      <c r="A704" s="23">
        <v>46725.0</v>
      </c>
    </row>
    <row r="705" ht="15.75" customHeight="1">
      <c r="A705" s="23">
        <v>46726.0</v>
      </c>
    </row>
    <row r="706" ht="15.75" customHeight="1">
      <c r="A706" s="23">
        <v>46727.0</v>
      </c>
    </row>
    <row r="707" ht="15.75" customHeight="1">
      <c r="A707" s="23">
        <v>46728.0</v>
      </c>
    </row>
    <row r="708" ht="15.75" customHeight="1">
      <c r="A708" s="23">
        <v>46729.0</v>
      </c>
    </row>
    <row r="709" ht="15.75" customHeight="1">
      <c r="A709" s="23">
        <v>46730.0</v>
      </c>
    </row>
    <row r="710" ht="15.75" customHeight="1">
      <c r="A710" s="23">
        <v>46731.0</v>
      </c>
    </row>
    <row r="711" ht="15.75" customHeight="1">
      <c r="A711" s="23">
        <v>46732.0</v>
      </c>
    </row>
    <row r="712" ht="15.75" customHeight="1">
      <c r="A712" s="23">
        <v>46733.0</v>
      </c>
    </row>
    <row r="713" ht="15.75" customHeight="1">
      <c r="A713" s="23">
        <v>46734.0</v>
      </c>
    </row>
    <row r="714" ht="15.75" customHeight="1">
      <c r="A714" s="23">
        <v>46735.0</v>
      </c>
    </row>
    <row r="715" ht="15.75" customHeight="1">
      <c r="A715" s="23">
        <v>46736.0</v>
      </c>
    </row>
    <row r="716" ht="15.75" customHeight="1">
      <c r="A716" s="23">
        <v>46737.0</v>
      </c>
    </row>
    <row r="717" ht="15.75" customHeight="1">
      <c r="A717" s="23">
        <v>46738.0</v>
      </c>
    </row>
    <row r="718" ht="15.75" customHeight="1">
      <c r="A718" s="23">
        <v>46739.0</v>
      </c>
    </row>
    <row r="719" ht="15.75" customHeight="1">
      <c r="A719" s="23">
        <v>46740.0</v>
      </c>
    </row>
    <row r="720" ht="15.75" customHeight="1">
      <c r="A720" s="23">
        <v>46741.0</v>
      </c>
    </row>
    <row r="721" ht="15.75" customHeight="1">
      <c r="A721" s="23">
        <v>46742.0</v>
      </c>
    </row>
    <row r="722" ht="15.75" customHeight="1">
      <c r="A722" s="23">
        <v>46743.0</v>
      </c>
    </row>
    <row r="723" ht="15.75" customHeight="1">
      <c r="A723" s="23">
        <v>46744.0</v>
      </c>
    </row>
    <row r="724" ht="15.75" customHeight="1">
      <c r="A724" s="23">
        <v>46745.0</v>
      </c>
    </row>
    <row r="725" ht="15.75" customHeight="1">
      <c r="A725" s="23">
        <v>46746.0</v>
      </c>
    </row>
    <row r="726" ht="15.75" customHeight="1">
      <c r="A726" s="23">
        <v>46747.0</v>
      </c>
    </row>
    <row r="727" ht="15.75" customHeight="1">
      <c r="A727" s="23">
        <v>46748.0</v>
      </c>
    </row>
    <row r="728" ht="15.75" customHeight="1">
      <c r="A728" s="23">
        <v>46749.0</v>
      </c>
    </row>
    <row r="729" ht="15.75" customHeight="1">
      <c r="A729" s="23">
        <v>46750.0</v>
      </c>
    </row>
    <row r="730" ht="15.75" customHeight="1">
      <c r="A730" s="23">
        <v>46751.0</v>
      </c>
    </row>
    <row r="731" ht="15.75" customHeight="1">
      <c r="A731" s="23">
        <v>46752.0</v>
      </c>
    </row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2026-02-28T23:44:55Z</dcterms:created>
  <dc:creator>openpyxl</dc:creator>
</cp:coreProperties>
</file>